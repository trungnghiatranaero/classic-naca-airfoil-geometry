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ghia\Downloads\"/>
    </mc:Choice>
  </mc:AlternateContent>
  <xr:revisionPtr revIDLastSave="0" documentId="13_ncr:1_{7E3BAE0D-4AFE-4A48-8607-A351933AF513}" xr6:coauthVersionLast="47" xr6:coauthVersionMax="47" xr10:uidLastSave="{00000000-0000-0000-0000-000000000000}"/>
  <workbookProtection workbookAlgorithmName="SHA-512" workbookHashValue="MfCjn2jL1/Vo7lEX2n9slFralc6HrelCvZCf4yRuGjRRQDo/i9jlmsYWt4J+W9BcgyVU4a6B00pW6TfOF6TpJg==" workbookSaltValue="iOoL5rfLzY3jtrTk+/AQRw==" workbookSpinCount="100000" lockStructure="1"/>
  <bookViews>
    <workbookView showHorizontalScroll="0" showVerticalScroll="0" xWindow="-108" yWindow="-108" windowWidth="23256" windowHeight="12456" activeTab="2" xr2:uid="{C7B7226B-D5B4-4EF3-AAA0-D75BE5DCC693}"/>
  </bookViews>
  <sheets>
    <sheet name="Start_page" sheetId="5" r:id="rId1"/>
    <sheet name="Data1" sheetId="1" state="hidden" r:id="rId2"/>
    <sheet name="NACA_4-digit" sheetId="2" r:id="rId3"/>
    <sheet name="Data2" sheetId="3" state="hidden" r:id="rId4"/>
    <sheet name="NACA_5-digit" sheetId="4" r:id="rId5"/>
    <sheet name="Data3" sheetId="8" state="hidden" r:id="rId6"/>
    <sheet name="NACA_4mod" sheetId="6" r:id="rId7"/>
    <sheet name="Data4" sheetId="9" state="hidden" r:id="rId8"/>
    <sheet name="NACA_5mod" sheetId="7" r:id="rId9"/>
    <sheet name="Data5" sheetId="14" state="hidden" r:id="rId10"/>
    <sheet name="NACA_16-series" sheetId="15" r:id="rId11"/>
  </sheets>
  <definedNames>
    <definedName name="_xlnm.Print_Area" localSheetId="10">'NACA_16-series'!$A$1:$K$24</definedName>
    <definedName name="_xlnm.Print_Area" localSheetId="2">'NACA_4-digit'!$A$1:$M$28</definedName>
    <definedName name="_xlnm.Print_Area" localSheetId="6">NACA_4mod!$A$1:$M$28</definedName>
    <definedName name="_xlnm.Print_Area" localSheetId="4">'NACA_5-digit'!$A$1:$M$27</definedName>
    <definedName name="_xlnm.Print_Area" localSheetId="8">NACA_5mod!$A$1:$L$26</definedName>
    <definedName name="_xlnm.Print_Area" localSheetId="0">Start_page!$A$1:$V$34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7" l="1"/>
  <c r="A14" i="3"/>
  <c r="F2" i="4" s="1"/>
  <c r="F4" i="4"/>
  <c r="F1" i="4" s="1"/>
  <c r="D1" i="15"/>
  <c r="T1" i="14"/>
  <c r="A1" i="14"/>
  <c r="C67" i="14" s="1"/>
  <c r="Y67" i="14" s="1"/>
  <c r="B1" i="14" a="1"/>
  <c r="L1" i="14"/>
  <c r="D2" i="15" s="1"/>
  <c r="N1" i="14"/>
  <c r="O1" i="14"/>
  <c r="AB1" i="14" a="1"/>
  <c r="AB1" i="14" s="1"/>
  <c r="A2" i="14"/>
  <c r="A3" i="14"/>
  <c r="D3" i="15" s="1"/>
  <c r="G3" i="15" s="1"/>
  <c r="O1" i="1"/>
  <c r="C350" i="14" l="1"/>
  <c r="Y350" i="14" s="1"/>
  <c r="E473" i="14"/>
  <c r="F473" i="14" s="1"/>
  <c r="C446" i="14"/>
  <c r="Y446" i="14" s="1"/>
  <c r="C15" i="14"/>
  <c r="Y15" i="14" s="1"/>
  <c r="E407" i="14"/>
  <c r="F407" i="14" s="1"/>
  <c r="E398" i="14"/>
  <c r="F398" i="14" s="1"/>
  <c r="C426" i="14"/>
  <c r="Y426" i="14" s="1"/>
  <c r="E300" i="14"/>
  <c r="F300" i="14" s="1"/>
  <c r="E230" i="14"/>
  <c r="F230" i="14" s="1"/>
  <c r="C486" i="14"/>
  <c r="Y486" i="14" s="1"/>
  <c r="C434" i="14"/>
  <c r="Y434" i="14" s="1"/>
  <c r="C328" i="14"/>
  <c r="Y328" i="14" s="1"/>
  <c r="E469" i="14"/>
  <c r="F469" i="14" s="1"/>
  <c r="E375" i="14"/>
  <c r="F375" i="14" s="1"/>
  <c r="C365" i="14"/>
  <c r="Y365" i="14" s="1"/>
  <c r="E478" i="14"/>
  <c r="F478" i="14" s="1"/>
  <c r="C469" i="14"/>
  <c r="Y469" i="14" s="1"/>
  <c r="E460" i="14"/>
  <c r="F460" i="14" s="1"/>
  <c r="C412" i="14"/>
  <c r="Y412" i="14" s="1"/>
  <c r="E403" i="14"/>
  <c r="F403" i="14" s="1"/>
  <c r="E308" i="14"/>
  <c r="F308" i="14" s="1"/>
  <c r="C247" i="14"/>
  <c r="Y247" i="14" s="1"/>
  <c r="E484" i="14"/>
  <c r="F484" i="14" s="1"/>
  <c r="E440" i="14"/>
  <c r="F440" i="14" s="1"/>
  <c r="C403" i="14"/>
  <c r="Y403" i="14" s="1"/>
  <c r="E344" i="14"/>
  <c r="F344" i="14" s="1"/>
  <c r="E326" i="14"/>
  <c r="F326" i="14" s="1"/>
  <c r="E316" i="14"/>
  <c r="F316" i="14" s="1"/>
  <c r="C207" i="14"/>
  <c r="Y207" i="14" s="1"/>
  <c r="E492" i="14"/>
  <c r="F492" i="14" s="1"/>
  <c r="C484" i="14"/>
  <c r="Y484" i="14" s="1"/>
  <c r="E431" i="14"/>
  <c r="F431" i="14" s="1"/>
  <c r="E392" i="14"/>
  <c r="F392" i="14" s="1"/>
  <c r="C382" i="14"/>
  <c r="Y382" i="14" s="1"/>
  <c r="C373" i="14"/>
  <c r="Y373" i="14" s="1"/>
  <c r="C353" i="14"/>
  <c r="Y353" i="14" s="1"/>
  <c r="C344" i="14"/>
  <c r="Y344" i="14" s="1"/>
  <c r="C316" i="14"/>
  <c r="Y316" i="14" s="1"/>
  <c r="C138" i="14"/>
  <c r="Y138" i="14" s="1"/>
  <c r="C455" i="14"/>
  <c r="Y455" i="14" s="1"/>
  <c r="C407" i="14"/>
  <c r="Y407" i="14" s="1"/>
  <c r="C251" i="14"/>
  <c r="Y251" i="14" s="1"/>
  <c r="E223" i="14"/>
  <c r="F223" i="14" s="1"/>
  <c r="C202" i="14"/>
  <c r="Y202" i="14" s="1"/>
  <c r="E496" i="14"/>
  <c r="E480" i="14"/>
  <c r="F480" i="14" s="1"/>
  <c r="E463" i="14"/>
  <c r="F463" i="14" s="1"/>
  <c r="E320" i="14"/>
  <c r="F320" i="14" s="1"/>
  <c r="E290" i="14"/>
  <c r="F290" i="14" s="1"/>
  <c r="C282" i="14"/>
  <c r="Y282" i="14" s="1"/>
  <c r="E211" i="14"/>
  <c r="F211" i="14" s="1"/>
  <c r="E486" i="14"/>
  <c r="F486" i="14" s="1"/>
  <c r="E434" i="14"/>
  <c r="F434" i="14" s="1"/>
  <c r="E357" i="14"/>
  <c r="F357" i="14" s="1"/>
  <c r="C290" i="14"/>
  <c r="Y290" i="14" s="1"/>
  <c r="E495" i="14"/>
  <c r="F495" i="14" s="1"/>
  <c r="E479" i="14"/>
  <c r="F479" i="14" s="1"/>
  <c r="C338" i="14"/>
  <c r="Y338" i="14" s="1"/>
  <c r="C309" i="14"/>
  <c r="Y309" i="14" s="1"/>
  <c r="E238" i="14"/>
  <c r="F238" i="14" s="1"/>
  <c r="C431" i="14"/>
  <c r="Y431" i="14" s="1"/>
  <c r="C334" i="14"/>
  <c r="Y334" i="14" s="1"/>
  <c r="E225" i="14"/>
  <c r="F225" i="14" s="1"/>
  <c r="C184" i="14"/>
  <c r="Y184" i="14" s="1"/>
  <c r="E499" i="14"/>
  <c r="F499" i="14" s="1"/>
  <c r="C466" i="14"/>
  <c r="Y466" i="14" s="1"/>
  <c r="E438" i="14"/>
  <c r="F438" i="14" s="1"/>
  <c r="E391" i="14"/>
  <c r="F391" i="14" s="1"/>
  <c r="C381" i="14"/>
  <c r="Y381" i="14" s="1"/>
  <c r="E284" i="14"/>
  <c r="F284" i="14" s="1"/>
  <c r="E275" i="14"/>
  <c r="F275" i="14" s="1"/>
  <c r="E233" i="14"/>
  <c r="F233" i="14" s="1"/>
  <c r="E482" i="14"/>
  <c r="F482" i="14" s="1"/>
  <c r="C456" i="14"/>
  <c r="Y456" i="14" s="1"/>
  <c r="E446" i="14"/>
  <c r="F446" i="14" s="1"/>
  <c r="C360" i="14"/>
  <c r="Y360" i="14" s="1"/>
  <c r="E342" i="14"/>
  <c r="F342" i="14" s="1"/>
  <c r="C284" i="14"/>
  <c r="Y284" i="14" s="1"/>
  <c r="C275" i="14"/>
  <c r="Y275" i="14" s="1"/>
  <c r="E264" i="14"/>
  <c r="F264" i="14" s="1"/>
  <c r="C233" i="14"/>
  <c r="Y233" i="14" s="1"/>
  <c r="C224" i="14"/>
  <c r="Y224" i="14" s="1"/>
  <c r="E193" i="14"/>
  <c r="F193" i="14" s="1"/>
  <c r="C190" i="14"/>
  <c r="Y190" i="14" s="1"/>
  <c r="C156" i="14"/>
  <c r="Y156" i="14" s="1"/>
  <c r="E490" i="14"/>
  <c r="F490" i="14" s="1"/>
  <c r="E476" i="14"/>
  <c r="F476" i="14" s="1"/>
  <c r="C441" i="14"/>
  <c r="Y441" i="14" s="1"/>
  <c r="E358" i="14"/>
  <c r="F358" i="14" s="1"/>
  <c r="C342" i="14"/>
  <c r="Y342" i="14" s="1"/>
  <c r="C285" i="14"/>
  <c r="Y285" i="14" s="1"/>
  <c r="E256" i="14"/>
  <c r="F256" i="14" s="1"/>
  <c r="E208" i="14"/>
  <c r="F208" i="14" s="1"/>
  <c r="E109" i="14"/>
  <c r="F109" i="14" s="1"/>
  <c r="C497" i="14"/>
  <c r="Y497" i="14" s="1"/>
  <c r="C490" i="14"/>
  <c r="Y490" i="14" s="1"/>
  <c r="C476" i="14"/>
  <c r="Y476" i="14" s="1"/>
  <c r="E449" i="14"/>
  <c r="F449" i="14" s="1"/>
  <c r="E424" i="14"/>
  <c r="F424" i="14" s="1"/>
  <c r="E413" i="14"/>
  <c r="F413" i="14" s="1"/>
  <c r="E396" i="14"/>
  <c r="F396" i="14" s="1"/>
  <c r="E349" i="14"/>
  <c r="F349" i="14" s="1"/>
  <c r="E313" i="14"/>
  <c r="F313" i="14" s="1"/>
  <c r="C304" i="14"/>
  <c r="Y304" i="14" s="1"/>
  <c r="C217" i="14"/>
  <c r="Y217" i="14" s="1"/>
  <c r="E131" i="14"/>
  <c r="F131" i="14" s="1"/>
  <c r="C491" i="14"/>
  <c r="Y491" i="14" s="1"/>
  <c r="E456" i="14"/>
  <c r="F456" i="14" s="1"/>
  <c r="E417" i="14"/>
  <c r="F417" i="14" s="1"/>
  <c r="E376" i="14"/>
  <c r="F376" i="14" s="1"/>
  <c r="E368" i="14"/>
  <c r="F368" i="14" s="1"/>
  <c r="C343" i="14"/>
  <c r="Y343" i="14" s="1"/>
  <c r="E336" i="14"/>
  <c r="F336" i="14" s="1"/>
  <c r="C319" i="14"/>
  <c r="Y319" i="14" s="1"/>
  <c r="C276" i="14"/>
  <c r="Y276" i="14" s="1"/>
  <c r="E267" i="14"/>
  <c r="F267" i="14" s="1"/>
  <c r="E258" i="14"/>
  <c r="F258" i="14" s="1"/>
  <c r="C215" i="14"/>
  <c r="Y215" i="14" s="1"/>
  <c r="E166" i="14"/>
  <c r="F166" i="14" s="1"/>
  <c r="E156" i="14"/>
  <c r="F156" i="14" s="1"/>
  <c r="E487" i="14"/>
  <c r="F487" i="14" s="1"/>
  <c r="E475" i="14"/>
  <c r="F475" i="14" s="1"/>
  <c r="C452" i="14"/>
  <c r="Y452" i="14" s="1"/>
  <c r="E420" i="14"/>
  <c r="F420" i="14" s="1"/>
  <c r="C397" i="14"/>
  <c r="Y397" i="14" s="1"/>
  <c r="E389" i="14"/>
  <c r="F389" i="14" s="1"/>
  <c r="C339" i="14"/>
  <c r="Y339" i="14" s="1"/>
  <c r="C331" i="14"/>
  <c r="Y331" i="14" s="1"/>
  <c r="E297" i="14"/>
  <c r="F297" i="14" s="1"/>
  <c r="C288" i="14"/>
  <c r="Y288" i="14" s="1"/>
  <c r="E244" i="14"/>
  <c r="F244" i="14" s="1"/>
  <c r="E226" i="14"/>
  <c r="F226" i="14" s="1"/>
  <c r="C218" i="14"/>
  <c r="Y218" i="14" s="1"/>
  <c r="E182" i="14"/>
  <c r="F182" i="14" s="1"/>
  <c r="C160" i="14"/>
  <c r="Y160" i="14" s="1"/>
  <c r="C482" i="14"/>
  <c r="Y482" i="14" s="1"/>
  <c r="C460" i="14"/>
  <c r="Y460" i="14" s="1"/>
  <c r="C413" i="14"/>
  <c r="Y413" i="14" s="1"/>
  <c r="E364" i="14"/>
  <c r="F364" i="14" s="1"/>
  <c r="E307" i="14"/>
  <c r="F307" i="14" s="1"/>
  <c r="C263" i="14"/>
  <c r="Y263" i="14" s="1"/>
  <c r="E192" i="14"/>
  <c r="F192" i="14" s="1"/>
  <c r="C109" i="14"/>
  <c r="Y109" i="14" s="1"/>
  <c r="C493" i="14"/>
  <c r="Y493" i="14" s="1"/>
  <c r="E466" i="14"/>
  <c r="F466" i="14" s="1"/>
  <c r="C459" i="14"/>
  <c r="Y459" i="14" s="1"/>
  <c r="E435" i="14"/>
  <c r="F435" i="14" s="1"/>
  <c r="C428" i="14"/>
  <c r="Y428" i="14" s="1"/>
  <c r="C420" i="14"/>
  <c r="Y420" i="14" s="1"/>
  <c r="E412" i="14"/>
  <c r="F412" i="14" s="1"/>
  <c r="E404" i="14"/>
  <c r="F404" i="14" s="1"/>
  <c r="E379" i="14"/>
  <c r="F379" i="14" s="1"/>
  <c r="E371" i="14"/>
  <c r="F371" i="14" s="1"/>
  <c r="E321" i="14"/>
  <c r="F321" i="14" s="1"/>
  <c r="C252" i="14"/>
  <c r="Y252" i="14" s="1"/>
  <c r="C244" i="14"/>
  <c r="Y244" i="14" s="1"/>
  <c r="C200" i="14"/>
  <c r="Y200" i="14" s="1"/>
  <c r="E138" i="14"/>
  <c r="F138" i="14" s="1"/>
  <c r="E117" i="14"/>
  <c r="F117" i="14" s="1"/>
  <c r="C478" i="14"/>
  <c r="Y478" i="14" s="1"/>
  <c r="E458" i="14"/>
  <c r="F458" i="14" s="1"/>
  <c r="E451" i="14"/>
  <c r="F451" i="14" s="1"/>
  <c r="E444" i="14"/>
  <c r="F444" i="14" s="1"/>
  <c r="E408" i="14"/>
  <c r="F408" i="14" s="1"/>
  <c r="C386" i="14"/>
  <c r="Y386" i="14" s="1"/>
  <c r="E363" i="14"/>
  <c r="F363" i="14" s="1"/>
  <c r="C355" i="14"/>
  <c r="Y355" i="14" s="1"/>
  <c r="E287" i="14"/>
  <c r="F287" i="14" s="1"/>
  <c r="C246" i="14"/>
  <c r="Y246" i="14" s="1"/>
  <c r="C195" i="14"/>
  <c r="Y195" i="14" s="1"/>
  <c r="E188" i="14"/>
  <c r="F188" i="14" s="1"/>
  <c r="E168" i="14"/>
  <c r="F168" i="14" s="1"/>
  <c r="E134" i="14"/>
  <c r="F134" i="14" s="1"/>
  <c r="C87" i="14"/>
  <c r="Y87" i="14" s="1"/>
  <c r="C54" i="14"/>
  <c r="Y54" i="14" s="1"/>
  <c r="E35" i="14"/>
  <c r="F35" i="14" s="1"/>
  <c r="E500" i="14"/>
  <c r="F500" i="14" s="1"/>
  <c r="E494" i="14"/>
  <c r="F494" i="14" s="1"/>
  <c r="E488" i="14"/>
  <c r="F488" i="14" s="1"/>
  <c r="E483" i="14"/>
  <c r="F483" i="14" s="1"/>
  <c r="E470" i="14"/>
  <c r="F470" i="14" s="1"/>
  <c r="C464" i="14"/>
  <c r="Y464" i="14" s="1"/>
  <c r="C422" i="14"/>
  <c r="Y422" i="14" s="1"/>
  <c r="E414" i="14"/>
  <c r="F414" i="14" s="1"/>
  <c r="C408" i="14"/>
  <c r="Y408" i="14" s="1"/>
  <c r="E347" i="14"/>
  <c r="F347" i="14" s="1"/>
  <c r="E325" i="14"/>
  <c r="F325" i="14" s="1"/>
  <c r="C318" i="14"/>
  <c r="Y318" i="14" s="1"/>
  <c r="E303" i="14"/>
  <c r="F303" i="14" s="1"/>
  <c r="E270" i="14"/>
  <c r="F270" i="14" s="1"/>
  <c r="C262" i="14"/>
  <c r="Y262" i="14" s="1"/>
  <c r="E116" i="14"/>
  <c r="F116" i="14" s="1"/>
  <c r="C500" i="14"/>
  <c r="Y500" i="14" s="1"/>
  <c r="C488" i="14"/>
  <c r="Y488" i="14" s="1"/>
  <c r="C470" i="14"/>
  <c r="Y470" i="14" s="1"/>
  <c r="C450" i="14"/>
  <c r="Y450" i="14" s="1"/>
  <c r="E443" i="14"/>
  <c r="F443" i="14" s="1"/>
  <c r="C429" i="14"/>
  <c r="Y429" i="14" s="1"/>
  <c r="C401" i="14"/>
  <c r="Y401" i="14" s="1"/>
  <c r="C385" i="14"/>
  <c r="Y385" i="14" s="1"/>
  <c r="C369" i="14"/>
  <c r="Y369" i="14" s="1"/>
  <c r="C354" i="14"/>
  <c r="Y354" i="14" s="1"/>
  <c r="E332" i="14"/>
  <c r="F332" i="14" s="1"/>
  <c r="C325" i="14"/>
  <c r="Y325" i="14" s="1"/>
  <c r="E309" i="14"/>
  <c r="F309" i="14" s="1"/>
  <c r="C303" i="14"/>
  <c r="Y303" i="14" s="1"/>
  <c r="E252" i="14"/>
  <c r="F252" i="14" s="1"/>
  <c r="C236" i="14"/>
  <c r="Y236" i="14" s="1"/>
  <c r="C220" i="14"/>
  <c r="Y220" i="14" s="1"/>
  <c r="C194" i="14"/>
  <c r="Y194" i="14" s="1"/>
  <c r="E187" i="14"/>
  <c r="F187" i="14" s="1"/>
  <c r="E150" i="14"/>
  <c r="F150" i="14" s="1"/>
  <c r="E123" i="14"/>
  <c r="F123" i="14" s="1"/>
  <c r="E96" i="14"/>
  <c r="F96" i="14" s="1"/>
  <c r="C75" i="14"/>
  <c r="Y75" i="14" s="1"/>
  <c r="C157" i="14"/>
  <c r="Y157" i="14" s="1"/>
  <c r="C140" i="14"/>
  <c r="Y140" i="14" s="1"/>
  <c r="E132" i="14"/>
  <c r="F132" i="14" s="1"/>
  <c r="C123" i="14"/>
  <c r="Y123" i="14" s="1"/>
  <c r="C149" i="14"/>
  <c r="Y149" i="14" s="1"/>
  <c r="E112" i="14"/>
  <c r="F112" i="14" s="1"/>
  <c r="C162" i="14"/>
  <c r="Y162" i="14" s="1"/>
  <c r="C155" i="14"/>
  <c r="Y155" i="14" s="1"/>
  <c r="E146" i="14"/>
  <c r="F146" i="14" s="1"/>
  <c r="C80" i="14"/>
  <c r="Y80" i="14" s="1"/>
  <c r="E213" i="14"/>
  <c r="F213" i="14" s="1"/>
  <c r="E160" i="14"/>
  <c r="F160" i="14" s="1"/>
  <c r="C127" i="14"/>
  <c r="Y127" i="14" s="1"/>
  <c r="E69" i="14"/>
  <c r="F69" i="14" s="1"/>
  <c r="E468" i="14"/>
  <c r="F468" i="14" s="1"/>
  <c r="C458" i="14"/>
  <c r="Y458" i="14" s="1"/>
  <c r="C449" i="14"/>
  <c r="Y449" i="14" s="1"/>
  <c r="C438" i="14"/>
  <c r="Y438" i="14" s="1"/>
  <c r="C362" i="14"/>
  <c r="Y362" i="14" s="1"/>
  <c r="C346" i="14"/>
  <c r="Y346" i="14" s="1"/>
  <c r="C335" i="14"/>
  <c r="Y335" i="14" s="1"/>
  <c r="E312" i="14"/>
  <c r="F312" i="14" s="1"/>
  <c r="C300" i="14"/>
  <c r="Y300" i="14" s="1"/>
  <c r="E293" i="14"/>
  <c r="F293" i="14" s="1"/>
  <c r="C287" i="14"/>
  <c r="Y287" i="14" s="1"/>
  <c r="C267" i="14"/>
  <c r="Y267" i="14" s="1"/>
  <c r="E249" i="14"/>
  <c r="F249" i="14" s="1"/>
  <c r="E243" i="14"/>
  <c r="F243" i="14" s="1"/>
  <c r="C205" i="14"/>
  <c r="Y205" i="14" s="1"/>
  <c r="E198" i="14"/>
  <c r="F198" i="14" s="1"/>
  <c r="C192" i="14"/>
  <c r="Y192" i="14" s="1"/>
  <c r="C179" i="14"/>
  <c r="Y179" i="14" s="1"/>
  <c r="E172" i="14"/>
  <c r="F172" i="14" s="1"/>
  <c r="C166" i="14"/>
  <c r="Y166" i="14" s="1"/>
  <c r="C116" i="14"/>
  <c r="Y116" i="14" s="1"/>
  <c r="C82" i="14"/>
  <c r="Y82" i="14" s="1"/>
  <c r="C499" i="14"/>
  <c r="Y499" i="14" s="1"/>
  <c r="C494" i="14"/>
  <c r="Y494" i="14" s="1"/>
  <c r="C485" i="14"/>
  <c r="Y485" i="14" s="1"/>
  <c r="C481" i="14"/>
  <c r="Y481" i="14" s="1"/>
  <c r="E477" i="14"/>
  <c r="F477" i="14" s="1"/>
  <c r="C453" i="14"/>
  <c r="Y453" i="14" s="1"/>
  <c r="E427" i="14"/>
  <c r="F427" i="14" s="1"/>
  <c r="E421" i="14"/>
  <c r="F421" i="14" s="1"/>
  <c r="E415" i="14"/>
  <c r="F415" i="14" s="1"/>
  <c r="E405" i="14"/>
  <c r="F405" i="14" s="1"/>
  <c r="C400" i="14"/>
  <c r="Y400" i="14" s="1"/>
  <c r="C394" i="14"/>
  <c r="Y394" i="14" s="1"/>
  <c r="C383" i="14"/>
  <c r="Y383" i="14" s="1"/>
  <c r="C378" i="14"/>
  <c r="Y378" i="14" s="1"/>
  <c r="E367" i="14"/>
  <c r="F367" i="14" s="1"/>
  <c r="E356" i="14"/>
  <c r="F356" i="14" s="1"/>
  <c r="C351" i="14"/>
  <c r="Y351" i="14" s="1"/>
  <c r="E340" i="14"/>
  <c r="F340" i="14" s="1"/>
  <c r="C323" i="14"/>
  <c r="Y323" i="14" s="1"/>
  <c r="C312" i="14"/>
  <c r="Y312" i="14" s="1"/>
  <c r="C293" i="14"/>
  <c r="Y293" i="14" s="1"/>
  <c r="C254" i="14"/>
  <c r="Y254" i="14" s="1"/>
  <c r="C235" i="14"/>
  <c r="Y235" i="14" s="1"/>
  <c r="E228" i="14"/>
  <c r="F228" i="14" s="1"/>
  <c r="E216" i="14"/>
  <c r="F216" i="14" s="1"/>
  <c r="C198" i="14"/>
  <c r="Y198" i="14" s="1"/>
  <c r="E185" i="14"/>
  <c r="F185" i="14" s="1"/>
  <c r="E159" i="14"/>
  <c r="F159" i="14" s="1"/>
  <c r="E152" i="14"/>
  <c r="F152" i="14" s="1"/>
  <c r="C129" i="14"/>
  <c r="Y129" i="14" s="1"/>
  <c r="C99" i="14"/>
  <c r="Y99" i="14" s="1"/>
  <c r="C62" i="14"/>
  <c r="Y62" i="14" s="1"/>
  <c r="C28" i="14"/>
  <c r="Y28" i="14" s="1"/>
  <c r="C473" i="14"/>
  <c r="Y473" i="14" s="1"/>
  <c r="C463" i="14"/>
  <c r="Y463" i="14" s="1"/>
  <c r="E453" i="14"/>
  <c r="F453" i="14" s="1"/>
  <c r="C443" i="14"/>
  <c r="Y443" i="14" s="1"/>
  <c r="C411" i="14"/>
  <c r="Y411" i="14" s="1"/>
  <c r="E400" i="14"/>
  <c r="F400" i="14" s="1"/>
  <c r="C389" i="14"/>
  <c r="Y389" i="14" s="1"/>
  <c r="E383" i="14"/>
  <c r="F383" i="14" s="1"/>
  <c r="E378" i="14"/>
  <c r="F378" i="14" s="1"/>
  <c r="E351" i="14"/>
  <c r="F351" i="14" s="1"/>
  <c r="E330" i="14"/>
  <c r="F330" i="14" s="1"/>
  <c r="E489" i="14"/>
  <c r="F489" i="14" s="1"/>
  <c r="E472" i="14"/>
  <c r="F472" i="14" s="1"/>
  <c r="E467" i="14"/>
  <c r="F467" i="14" s="1"/>
  <c r="E457" i="14"/>
  <c r="F457" i="14" s="1"/>
  <c r="E437" i="14"/>
  <c r="F437" i="14" s="1"/>
  <c r="E432" i="14"/>
  <c r="F432" i="14" s="1"/>
  <c r="C427" i="14"/>
  <c r="Y427" i="14" s="1"/>
  <c r="C421" i="14"/>
  <c r="Y421" i="14" s="1"/>
  <c r="C415" i="14"/>
  <c r="Y415" i="14" s="1"/>
  <c r="C405" i="14"/>
  <c r="Y405" i="14" s="1"/>
  <c r="E372" i="14"/>
  <c r="F372" i="14" s="1"/>
  <c r="C367" i="14"/>
  <c r="Y367" i="14" s="1"/>
  <c r="C361" i="14"/>
  <c r="Y361" i="14" s="1"/>
  <c r="C356" i="14"/>
  <c r="Y356" i="14" s="1"/>
  <c r="E345" i="14"/>
  <c r="F345" i="14" s="1"/>
  <c r="C340" i="14"/>
  <c r="Y340" i="14" s="1"/>
  <c r="E317" i="14"/>
  <c r="F317" i="14" s="1"/>
  <c r="E305" i="14"/>
  <c r="F305" i="14" s="1"/>
  <c r="E299" i="14"/>
  <c r="F299" i="14" s="1"/>
  <c r="E272" i="14"/>
  <c r="F272" i="14" s="1"/>
  <c r="E266" i="14"/>
  <c r="F266" i="14" s="1"/>
  <c r="E260" i="14"/>
  <c r="F260" i="14" s="1"/>
  <c r="E221" i="14"/>
  <c r="F221" i="14" s="1"/>
  <c r="C209" i="14"/>
  <c r="Y209" i="14" s="1"/>
  <c r="C185" i="14"/>
  <c r="Y185" i="14" s="1"/>
  <c r="E178" i="14"/>
  <c r="F178" i="14" s="1"/>
  <c r="E165" i="14"/>
  <c r="F165" i="14" s="1"/>
  <c r="C152" i="14"/>
  <c r="Y152" i="14" s="1"/>
  <c r="E120" i="14"/>
  <c r="F120" i="14" s="1"/>
  <c r="E90" i="14"/>
  <c r="F90" i="14" s="1"/>
  <c r="E498" i="14"/>
  <c r="F498" i="14" s="1"/>
  <c r="E493" i="14"/>
  <c r="F493" i="14" s="1"/>
  <c r="C472" i="14"/>
  <c r="Y472" i="14" s="1"/>
  <c r="C467" i="14"/>
  <c r="Y467" i="14" s="1"/>
  <c r="E461" i="14"/>
  <c r="F461" i="14" s="1"/>
  <c r="E452" i="14"/>
  <c r="F452" i="14" s="1"/>
  <c r="E447" i="14"/>
  <c r="F447" i="14" s="1"/>
  <c r="E441" i="14"/>
  <c r="F441" i="14" s="1"/>
  <c r="C437" i="14"/>
  <c r="Y437" i="14" s="1"/>
  <c r="E410" i="14"/>
  <c r="F410" i="14" s="1"/>
  <c r="E393" i="14"/>
  <c r="F393" i="14" s="1"/>
  <c r="C387" i="14"/>
  <c r="Y387" i="14" s="1"/>
  <c r="E382" i="14"/>
  <c r="F382" i="14" s="1"/>
  <c r="C372" i="14"/>
  <c r="Y372" i="14" s="1"/>
  <c r="E350" i="14"/>
  <c r="F350" i="14" s="1"/>
  <c r="E334" i="14"/>
  <c r="F334" i="14" s="1"/>
  <c r="E328" i="14"/>
  <c r="F328" i="14" s="1"/>
  <c r="C322" i="14"/>
  <c r="Y322" i="14" s="1"/>
  <c r="E285" i="14"/>
  <c r="F285" i="14" s="1"/>
  <c r="E279" i="14"/>
  <c r="F279" i="14" s="1"/>
  <c r="C272" i="14"/>
  <c r="Y272" i="14" s="1"/>
  <c r="C266" i="14"/>
  <c r="Y266" i="14" s="1"/>
  <c r="C260" i="14"/>
  <c r="Y260" i="14" s="1"/>
  <c r="E253" i="14"/>
  <c r="F253" i="14" s="1"/>
  <c r="E247" i="14"/>
  <c r="F247" i="14" s="1"/>
  <c r="C241" i="14"/>
  <c r="Y241" i="14" s="1"/>
  <c r="C234" i="14"/>
  <c r="Y234" i="14" s="1"/>
  <c r="C221" i="14"/>
  <c r="Y221" i="14" s="1"/>
  <c r="E215" i="14"/>
  <c r="F215" i="14" s="1"/>
  <c r="C204" i="14"/>
  <c r="Y204" i="14" s="1"/>
  <c r="E190" i="14"/>
  <c r="F190" i="14" s="1"/>
  <c r="C178" i="14"/>
  <c r="Y178" i="14" s="1"/>
  <c r="C170" i="14"/>
  <c r="Y170" i="14" s="1"/>
  <c r="C165" i="14"/>
  <c r="Y165" i="14" s="1"/>
  <c r="C143" i="14"/>
  <c r="Y143" i="14" s="1"/>
  <c r="C120" i="14"/>
  <c r="Y120" i="14" s="1"/>
  <c r="C106" i="14"/>
  <c r="Y106" i="14" s="1"/>
  <c r="E80" i="14"/>
  <c r="F80" i="14" s="1"/>
  <c r="E33" i="14"/>
  <c r="F33" i="14" s="1"/>
  <c r="C496" i="14"/>
  <c r="Y496" i="14" s="1"/>
  <c r="E491" i="14"/>
  <c r="F491" i="14" s="1"/>
  <c r="C487" i="14"/>
  <c r="Y487" i="14" s="1"/>
  <c r="C483" i="14"/>
  <c r="Y483" i="14" s="1"/>
  <c r="C479" i="14"/>
  <c r="Y479" i="14" s="1"/>
  <c r="C475" i="14"/>
  <c r="Y475" i="14" s="1"/>
  <c r="E455" i="14"/>
  <c r="F455" i="14" s="1"/>
  <c r="E450" i="14"/>
  <c r="F450" i="14" s="1"/>
  <c r="C440" i="14"/>
  <c r="Y440" i="14" s="1"/>
  <c r="C435" i="14"/>
  <c r="Y435" i="14" s="1"/>
  <c r="E429" i="14"/>
  <c r="F429" i="14" s="1"/>
  <c r="C424" i="14"/>
  <c r="Y424" i="14" s="1"/>
  <c r="E418" i="14"/>
  <c r="F418" i="14" s="1"/>
  <c r="C391" i="14"/>
  <c r="Y391" i="14" s="1"/>
  <c r="E385" i="14"/>
  <c r="F385" i="14" s="1"/>
  <c r="C380" i="14"/>
  <c r="Y380" i="14" s="1"/>
  <c r="C375" i="14"/>
  <c r="Y375" i="14" s="1"/>
  <c r="E369" i="14"/>
  <c r="F369" i="14" s="1"/>
  <c r="C364" i="14"/>
  <c r="Y364" i="14" s="1"/>
  <c r="C358" i="14"/>
  <c r="Y358" i="14" s="1"/>
  <c r="E353" i="14"/>
  <c r="F353" i="14" s="1"/>
  <c r="C296" i="14"/>
  <c r="Y296" i="14" s="1"/>
  <c r="E269" i="14"/>
  <c r="F269" i="14" s="1"/>
  <c r="E263" i="14"/>
  <c r="F263" i="14" s="1"/>
  <c r="C257" i="14"/>
  <c r="Y257" i="14" s="1"/>
  <c r="C238" i="14"/>
  <c r="Y238" i="14" s="1"/>
  <c r="E224" i="14"/>
  <c r="F224" i="14" s="1"/>
  <c r="E218" i="14"/>
  <c r="F218" i="14" s="1"/>
  <c r="C213" i="14"/>
  <c r="Y213" i="14" s="1"/>
  <c r="E207" i="14"/>
  <c r="F207" i="14" s="1"/>
  <c r="C188" i="14"/>
  <c r="Y188" i="14" s="1"/>
  <c r="C182" i="14"/>
  <c r="Y182" i="14" s="1"/>
  <c r="C174" i="14"/>
  <c r="Y174" i="14" s="1"/>
  <c r="C168" i="14"/>
  <c r="Y168" i="14" s="1"/>
  <c r="C132" i="14"/>
  <c r="Y132" i="14" s="1"/>
  <c r="C117" i="14"/>
  <c r="Y117" i="14" s="1"/>
  <c r="E103" i="14"/>
  <c r="F103" i="14" s="1"/>
  <c r="E95" i="14"/>
  <c r="F95" i="14" s="1"/>
  <c r="E37" i="14"/>
  <c r="F37" i="14" s="1"/>
  <c r="C11" i="14"/>
  <c r="Y11" i="14" s="1"/>
  <c r="F496" i="14"/>
  <c r="E481" i="14"/>
  <c r="F481" i="14" s="1"/>
  <c r="E464" i="14"/>
  <c r="F464" i="14" s="1"/>
  <c r="C461" i="14"/>
  <c r="Y461" i="14" s="1"/>
  <c r="C447" i="14"/>
  <c r="Y447" i="14" s="1"/>
  <c r="C444" i="14"/>
  <c r="Y444" i="14" s="1"/>
  <c r="C432" i="14"/>
  <c r="Y432" i="14" s="1"/>
  <c r="C425" i="14"/>
  <c r="Y425" i="14" s="1"/>
  <c r="C418" i="14"/>
  <c r="Y418" i="14" s="1"/>
  <c r="E411" i="14"/>
  <c r="F411" i="14" s="1"/>
  <c r="E397" i="14"/>
  <c r="F397" i="14" s="1"/>
  <c r="E394" i="14"/>
  <c r="F394" i="14" s="1"/>
  <c r="E390" i="14"/>
  <c r="F390" i="14" s="1"/>
  <c r="E386" i="14"/>
  <c r="F386" i="14" s="1"/>
  <c r="C379" i="14"/>
  <c r="Y379" i="14" s="1"/>
  <c r="E361" i="14"/>
  <c r="F361" i="14" s="1"/>
  <c r="C347" i="14"/>
  <c r="Y347" i="14" s="1"/>
  <c r="E343" i="14"/>
  <c r="F343" i="14" s="1"/>
  <c r="E339" i="14"/>
  <c r="F339" i="14" s="1"/>
  <c r="E331" i="14"/>
  <c r="F331" i="14" s="1"/>
  <c r="E327" i="14"/>
  <c r="F327" i="14" s="1"/>
  <c r="E322" i="14"/>
  <c r="F322" i="14" s="1"/>
  <c r="C294" i="14"/>
  <c r="Y294" i="14" s="1"/>
  <c r="E289" i="14"/>
  <c r="F289" i="14" s="1"/>
  <c r="C281" i="14"/>
  <c r="Y281" i="14" s="1"/>
  <c r="E276" i="14"/>
  <c r="F276" i="14" s="1"/>
  <c r="E257" i="14"/>
  <c r="F257" i="14" s="1"/>
  <c r="C249" i="14"/>
  <c r="Y249" i="14" s="1"/>
  <c r="C240" i="14"/>
  <c r="Y240" i="14" s="1"/>
  <c r="C230" i="14"/>
  <c r="Y230" i="14" s="1"/>
  <c r="E220" i="14"/>
  <c r="F220" i="14" s="1"/>
  <c r="C216" i="14"/>
  <c r="Y216" i="14" s="1"/>
  <c r="C212" i="14"/>
  <c r="Y212" i="14" s="1"/>
  <c r="C208" i="14"/>
  <c r="Y208" i="14" s="1"/>
  <c r="E204" i="14"/>
  <c r="F204" i="14" s="1"/>
  <c r="E184" i="14"/>
  <c r="F184" i="14" s="1"/>
  <c r="C169" i="14"/>
  <c r="Y169" i="14" s="1"/>
  <c r="C145" i="14"/>
  <c r="Y145" i="14" s="1"/>
  <c r="C128" i="14"/>
  <c r="Y128" i="14" s="1"/>
  <c r="E15" i="14"/>
  <c r="F15" i="14" s="1"/>
  <c r="C498" i="14"/>
  <c r="Y498" i="14" s="1"/>
  <c r="C495" i="14"/>
  <c r="Y495" i="14" s="1"/>
  <c r="C492" i="14"/>
  <c r="Y492" i="14" s="1"/>
  <c r="C489" i="14"/>
  <c r="Y489" i="14" s="1"/>
  <c r="C480" i="14"/>
  <c r="Y480" i="14" s="1"/>
  <c r="C477" i="14"/>
  <c r="Y477" i="14" s="1"/>
  <c r="C457" i="14"/>
  <c r="Y457" i="14" s="1"/>
  <c r="E454" i="14"/>
  <c r="F454" i="14" s="1"/>
  <c r="C451" i="14"/>
  <c r="Y451" i="14" s="1"/>
  <c r="E442" i="14"/>
  <c r="F442" i="14" s="1"/>
  <c r="E439" i="14"/>
  <c r="F439" i="14" s="1"/>
  <c r="E436" i="14"/>
  <c r="F436" i="14" s="1"/>
  <c r="E430" i="14"/>
  <c r="F430" i="14" s="1"/>
  <c r="E423" i="14"/>
  <c r="F423" i="14" s="1"/>
  <c r="E416" i="14"/>
  <c r="F416" i="14" s="1"/>
  <c r="C410" i="14"/>
  <c r="Y410" i="14" s="1"/>
  <c r="C406" i="14"/>
  <c r="Y406" i="14" s="1"/>
  <c r="E399" i="14"/>
  <c r="F399" i="14" s="1"/>
  <c r="C396" i="14"/>
  <c r="Y396" i="14" s="1"/>
  <c r="C392" i="14"/>
  <c r="Y392" i="14" s="1"/>
  <c r="E388" i="14"/>
  <c r="F388" i="14" s="1"/>
  <c r="E374" i="14"/>
  <c r="F374" i="14" s="1"/>
  <c r="E370" i="14"/>
  <c r="F370" i="14" s="1"/>
  <c r="C363" i="14"/>
  <c r="Y363" i="14" s="1"/>
  <c r="E359" i="14"/>
  <c r="F359" i="14" s="1"/>
  <c r="E352" i="14"/>
  <c r="F352" i="14" s="1"/>
  <c r="E348" i="14"/>
  <c r="F348" i="14" s="1"/>
  <c r="C345" i="14"/>
  <c r="Y345" i="14" s="1"/>
  <c r="E306" i="14"/>
  <c r="F306" i="14" s="1"/>
  <c r="C302" i="14"/>
  <c r="Y302" i="14" s="1"/>
  <c r="C297" i="14"/>
  <c r="Y297" i="14" s="1"/>
  <c r="C279" i="14"/>
  <c r="Y279" i="14" s="1"/>
  <c r="C269" i="14"/>
  <c r="Y269" i="14" s="1"/>
  <c r="C264" i="14"/>
  <c r="Y264" i="14" s="1"/>
  <c r="E255" i="14"/>
  <c r="F255" i="14" s="1"/>
  <c r="C237" i="14"/>
  <c r="Y237" i="14" s="1"/>
  <c r="E227" i="14"/>
  <c r="F227" i="14" s="1"/>
  <c r="C214" i="14"/>
  <c r="Y214" i="14" s="1"/>
  <c r="E210" i="14"/>
  <c r="F210" i="14" s="1"/>
  <c r="C191" i="14"/>
  <c r="Y191" i="14" s="1"/>
  <c r="C187" i="14"/>
  <c r="Y187" i="14" s="1"/>
  <c r="E163" i="14"/>
  <c r="F163" i="14" s="1"/>
  <c r="C159" i="14"/>
  <c r="Y159" i="14" s="1"/>
  <c r="E148" i="14"/>
  <c r="F148" i="14" s="1"/>
  <c r="C131" i="14"/>
  <c r="Y131" i="14" s="1"/>
  <c r="E125" i="14"/>
  <c r="F125" i="14" s="1"/>
  <c r="E119" i="14"/>
  <c r="F119" i="14" s="1"/>
  <c r="E61" i="14"/>
  <c r="F61" i="14" s="1"/>
  <c r="E465" i="14"/>
  <c r="F465" i="14" s="1"/>
  <c r="E462" i="14"/>
  <c r="F462" i="14" s="1"/>
  <c r="C454" i="14"/>
  <c r="Y454" i="14" s="1"/>
  <c r="E448" i="14"/>
  <c r="F448" i="14" s="1"/>
  <c r="E445" i="14"/>
  <c r="F445" i="14" s="1"/>
  <c r="C442" i="14"/>
  <c r="Y442" i="14" s="1"/>
  <c r="C439" i="14"/>
  <c r="Y439" i="14" s="1"/>
  <c r="C436" i="14"/>
  <c r="Y436" i="14" s="1"/>
  <c r="E433" i="14"/>
  <c r="F433" i="14" s="1"/>
  <c r="C430" i="14"/>
  <c r="Y430" i="14" s="1"/>
  <c r="C423" i="14"/>
  <c r="Y423" i="14" s="1"/>
  <c r="E419" i="14"/>
  <c r="F419" i="14" s="1"/>
  <c r="C416" i="14"/>
  <c r="Y416" i="14" s="1"/>
  <c r="E402" i="14"/>
  <c r="F402" i="14" s="1"/>
  <c r="C399" i="14"/>
  <c r="Y399" i="14" s="1"/>
  <c r="C388" i="14"/>
  <c r="Y388" i="14" s="1"/>
  <c r="E377" i="14"/>
  <c r="F377" i="14" s="1"/>
  <c r="C374" i="14"/>
  <c r="Y374" i="14" s="1"/>
  <c r="C370" i="14"/>
  <c r="Y370" i="14" s="1"/>
  <c r="E366" i="14"/>
  <c r="F366" i="14" s="1"/>
  <c r="C359" i="14"/>
  <c r="Y359" i="14" s="1"/>
  <c r="C352" i="14"/>
  <c r="Y352" i="14" s="1"/>
  <c r="C348" i="14"/>
  <c r="Y348" i="14" s="1"/>
  <c r="C341" i="14"/>
  <c r="Y341" i="14" s="1"/>
  <c r="E337" i="14"/>
  <c r="F337" i="14" s="1"/>
  <c r="E333" i="14"/>
  <c r="F333" i="14" s="1"/>
  <c r="E324" i="14"/>
  <c r="F324" i="14" s="1"/>
  <c r="C310" i="14"/>
  <c r="Y310" i="14" s="1"/>
  <c r="C306" i="14"/>
  <c r="Y306" i="14" s="1"/>
  <c r="E291" i="14"/>
  <c r="F291" i="14" s="1"/>
  <c r="C255" i="14"/>
  <c r="Y255" i="14" s="1"/>
  <c r="E250" i="14"/>
  <c r="F250" i="14" s="1"/>
  <c r="C227" i="14"/>
  <c r="Y227" i="14" s="1"/>
  <c r="C210" i="14"/>
  <c r="Y210" i="14" s="1"/>
  <c r="C201" i="14"/>
  <c r="Y201" i="14" s="1"/>
  <c r="E181" i="14"/>
  <c r="F181" i="14" s="1"/>
  <c r="E175" i="14"/>
  <c r="F175" i="14" s="1"/>
  <c r="E171" i="14"/>
  <c r="F171" i="14" s="1"/>
  <c r="C167" i="14"/>
  <c r="Y167" i="14" s="1"/>
  <c r="C163" i="14"/>
  <c r="Y163" i="14" s="1"/>
  <c r="E153" i="14"/>
  <c r="F153" i="14" s="1"/>
  <c r="E142" i="14"/>
  <c r="F142" i="14" s="1"/>
  <c r="E135" i="14"/>
  <c r="F135" i="14" s="1"/>
  <c r="C125" i="14"/>
  <c r="Y125" i="14" s="1"/>
  <c r="E113" i="14"/>
  <c r="F113" i="14" s="1"/>
  <c r="E107" i="14"/>
  <c r="F107" i="14" s="1"/>
  <c r="E100" i="14"/>
  <c r="F100" i="14" s="1"/>
  <c r="E67" i="14"/>
  <c r="F67" i="14" s="1"/>
  <c r="C61" i="14"/>
  <c r="Y61" i="14" s="1"/>
  <c r="E34" i="14"/>
  <c r="F34" i="14" s="1"/>
  <c r="C8" i="14"/>
  <c r="Y8" i="14" s="1"/>
  <c r="E474" i="14"/>
  <c r="F474" i="14" s="1"/>
  <c r="E471" i="14"/>
  <c r="F471" i="14" s="1"/>
  <c r="E497" i="14"/>
  <c r="F497" i="14" s="1"/>
  <c r="E485" i="14"/>
  <c r="F485" i="14" s="1"/>
  <c r="C474" i="14"/>
  <c r="Y474" i="14" s="1"/>
  <c r="C471" i="14"/>
  <c r="Y471" i="14" s="1"/>
  <c r="C468" i="14"/>
  <c r="Y468" i="14" s="1"/>
  <c r="C465" i="14"/>
  <c r="Y465" i="14" s="1"/>
  <c r="C462" i="14"/>
  <c r="Y462" i="14" s="1"/>
  <c r="E459" i="14"/>
  <c r="F459" i="14" s="1"/>
  <c r="C448" i="14"/>
  <c r="Y448" i="14" s="1"/>
  <c r="C445" i="14"/>
  <c r="Y445" i="14" s="1"/>
  <c r="C433" i="14"/>
  <c r="Y433" i="14" s="1"/>
  <c r="E426" i="14"/>
  <c r="F426" i="14" s="1"/>
  <c r="C419" i="14"/>
  <c r="Y419" i="14" s="1"/>
  <c r="E409" i="14"/>
  <c r="F409" i="14" s="1"/>
  <c r="C402" i="14"/>
  <c r="Y402" i="14" s="1"/>
  <c r="C395" i="14"/>
  <c r="Y395" i="14" s="1"/>
  <c r="C384" i="14"/>
  <c r="Y384" i="14" s="1"/>
  <c r="E380" i="14"/>
  <c r="F380" i="14" s="1"/>
  <c r="C377" i="14"/>
  <c r="Y377" i="14" s="1"/>
  <c r="C366" i="14"/>
  <c r="Y366" i="14" s="1"/>
  <c r="E362" i="14"/>
  <c r="F362" i="14" s="1"/>
  <c r="E355" i="14"/>
  <c r="F355" i="14" s="1"/>
  <c r="C337" i="14"/>
  <c r="Y337" i="14" s="1"/>
  <c r="E319" i="14"/>
  <c r="F319" i="14" s="1"/>
  <c r="C315" i="14"/>
  <c r="Y315" i="14" s="1"/>
  <c r="E296" i="14"/>
  <c r="F296" i="14" s="1"/>
  <c r="E282" i="14"/>
  <c r="F282" i="14" s="1"/>
  <c r="E278" i="14"/>
  <c r="F278" i="14" s="1"/>
  <c r="C273" i="14"/>
  <c r="Y273" i="14" s="1"/>
  <c r="C259" i="14"/>
  <c r="Y259" i="14" s="1"/>
  <c r="C250" i="14"/>
  <c r="Y250" i="14" s="1"/>
  <c r="E246" i="14"/>
  <c r="F246" i="14" s="1"/>
  <c r="E241" i="14"/>
  <c r="F241" i="14" s="1"/>
  <c r="E236" i="14"/>
  <c r="F236" i="14" s="1"/>
  <c r="E231" i="14"/>
  <c r="F231" i="14" s="1"/>
  <c r="E217" i="14"/>
  <c r="F217" i="14" s="1"/>
  <c r="E205" i="14"/>
  <c r="F205" i="14" s="1"/>
  <c r="E195" i="14"/>
  <c r="F195" i="14" s="1"/>
  <c r="C175" i="14"/>
  <c r="Y175" i="14" s="1"/>
  <c r="C171" i="14"/>
  <c r="Y171" i="14" s="1"/>
  <c r="C142" i="14"/>
  <c r="Y142" i="14" s="1"/>
  <c r="C135" i="14"/>
  <c r="Y135" i="14" s="1"/>
  <c r="C107" i="14"/>
  <c r="Y107" i="14" s="1"/>
  <c r="C81" i="14"/>
  <c r="Y81" i="14" s="1"/>
  <c r="E89" i="14"/>
  <c r="F89" i="14" s="1"/>
  <c r="C101" i="14"/>
  <c r="Y101" i="14" s="1"/>
  <c r="E108" i="14"/>
  <c r="F108" i="14" s="1"/>
  <c r="C111" i="14"/>
  <c r="Y111" i="14" s="1"/>
  <c r="C124" i="14"/>
  <c r="Y124" i="14" s="1"/>
  <c r="E127" i="14"/>
  <c r="F127" i="14" s="1"/>
  <c r="C130" i="14"/>
  <c r="Y130" i="14" s="1"/>
  <c r="E141" i="14"/>
  <c r="F141" i="14" s="1"/>
  <c r="C144" i="14"/>
  <c r="Y144" i="14" s="1"/>
  <c r="C147" i="14"/>
  <c r="Y147" i="14" s="1"/>
  <c r="E155" i="14"/>
  <c r="F155" i="14" s="1"/>
  <c r="C158" i="14"/>
  <c r="Y158" i="14" s="1"/>
  <c r="C161" i="14"/>
  <c r="Y161" i="14" s="1"/>
  <c r="C164" i="14"/>
  <c r="Y164" i="14" s="1"/>
  <c r="E174" i="14"/>
  <c r="F174" i="14" s="1"/>
  <c r="E191" i="14"/>
  <c r="F191" i="14" s="1"/>
  <c r="E194" i="14"/>
  <c r="F194" i="14" s="1"/>
  <c r="C197" i="14"/>
  <c r="Y197" i="14" s="1"/>
  <c r="C211" i="14"/>
  <c r="Y211" i="14" s="1"/>
  <c r="E219" i="14"/>
  <c r="F219" i="14" s="1"/>
  <c r="E222" i="14"/>
  <c r="F222" i="14" s="1"/>
  <c r="C225" i="14"/>
  <c r="Y225" i="14" s="1"/>
  <c r="C228" i="14"/>
  <c r="Y228" i="14" s="1"/>
  <c r="C231" i="14"/>
  <c r="Y231" i="14" s="1"/>
  <c r="C245" i="14"/>
  <c r="Y245" i="14" s="1"/>
  <c r="C253" i="14"/>
  <c r="Y253" i="14" s="1"/>
  <c r="C256" i="14"/>
  <c r="Y256" i="14" s="1"/>
  <c r="C270" i="14"/>
  <c r="Y270" i="14" s="1"/>
  <c r="C278" i="14"/>
  <c r="Y278" i="14" s="1"/>
  <c r="E283" i="14"/>
  <c r="F283" i="14" s="1"/>
  <c r="E288" i="14"/>
  <c r="F288" i="14" s="1"/>
  <c r="C291" i="14"/>
  <c r="Y291" i="14" s="1"/>
  <c r="C299" i="14"/>
  <c r="Y299" i="14" s="1"/>
  <c r="C307" i="14"/>
  <c r="Y307" i="14" s="1"/>
  <c r="E315" i="14"/>
  <c r="F315" i="14" s="1"/>
  <c r="E329" i="14"/>
  <c r="F329" i="14" s="1"/>
  <c r="C332" i="14"/>
  <c r="Y332" i="14" s="1"/>
  <c r="E9" i="14"/>
  <c r="F9" i="14" s="1"/>
  <c r="C12" i="14"/>
  <c r="Y12" i="14" s="1"/>
  <c r="E29" i="14"/>
  <c r="F29" i="14" s="1"/>
  <c r="E55" i="14"/>
  <c r="F55" i="14" s="1"/>
  <c r="C68" i="14"/>
  <c r="Y68" i="14" s="1"/>
  <c r="C73" i="14"/>
  <c r="Y73" i="14" s="1"/>
  <c r="C94" i="14"/>
  <c r="Y94" i="14" s="1"/>
  <c r="E97" i="14"/>
  <c r="F97" i="14" s="1"/>
  <c r="E101" i="14"/>
  <c r="F101" i="14" s="1"/>
  <c r="E111" i="14"/>
  <c r="F111" i="14" s="1"/>
  <c r="C115" i="14"/>
  <c r="Y115" i="14" s="1"/>
  <c r="C118" i="14"/>
  <c r="Y118" i="14" s="1"/>
  <c r="C121" i="14"/>
  <c r="Y121" i="14" s="1"/>
  <c r="E130" i="14"/>
  <c r="F130" i="14" s="1"/>
  <c r="C139" i="14"/>
  <c r="Y139" i="14" s="1"/>
  <c r="E144" i="14"/>
  <c r="F144" i="14" s="1"/>
  <c r="E147" i="14"/>
  <c r="F147" i="14" s="1"/>
  <c r="E158" i="14"/>
  <c r="F158" i="14" s="1"/>
  <c r="E12" i="14"/>
  <c r="F12" i="14" s="1"/>
  <c r="C26" i="14"/>
  <c r="Y26" i="14" s="1"/>
  <c r="E94" i="14"/>
  <c r="F94" i="14" s="1"/>
  <c r="E118" i="14"/>
  <c r="F118" i="14" s="1"/>
  <c r="E121" i="14"/>
  <c r="F121" i="14" s="1"/>
  <c r="C136" i="14"/>
  <c r="Y136" i="14" s="1"/>
  <c r="E139" i="14"/>
  <c r="F139" i="14" s="1"/>
  <c r="C150" i="14"/>
  <c r="Y150" i="14" s="1"/>
  <c r="C153" i="14"/>
  <c r="Y153" i="14" s="1"/>
  <c r="E169" i="14"/>
  <c r="F169" i="14" s="1"/>
  <c r="C172" i="14"/>
  <c r="Y172" i="14" s="1"/>
  <c r="E177" i="14"/>
  <c r="F177" i="14" s="1"/>
  <c r="E180" i="14"/>
  <c r="F180" i="14" s="1"/>
  <c r="C183" i="14"/>
  <c r="Y183" i="14" s="1"/>
  <c r="C186" i="14"/>
  <c r="Y186" i="14" s="1"/>
  <c r="C189" i="14"/>
  <c r="Y189" i="14" s="1"/>
  <c r="E200" i="14"/>
  <c r="F200" i="14" s="1"/>
  <c r="E203" i="14"/>
  <c r="F203" i="14" s="1"/>
  <c r="E206" i="14"/>
  <c r="F206" i="14" s="1"/>
  <c r="E214" i="14"/>
  <c r="F214" i="14" s="1"/>
  <c r="E234" i="14"/>
  <c r="F234" i="14" s="1"/>
  <c r="E237" i="14"/>
  <c r="F237" i="14" s="1"/>
  <c r="E240" i="14"/>
  <c r="F240" i="14" s="1"/>
  <c r="C243" i="14"/>
  <c r="Y243" i="14" s="1"/>
  <c r="E248" i="14"/>
  <c r="F248" i="14" s="1"/>
  <c r="E259" i="14"/>
  <c r="F259" i="14" s="1"/>
  <c r="E262" i="14"/>
  <c r="F262" i="14" s="1"/>
  <c r="E265" i="14"/>
  <c r="F265" i="14" s="1"/>
  <c r="E273" i="14"/>
  <c r="F273" i="14" s="1"/>
  <c r="E281" i="14"/>
  <c r="F281" i="14" s="1"/>
  <c r="C286" i="14"/>
  <c r="Y286" i="14" s="1"/>
  <c r="E294" i="14"/>
  <c r="F294" i="14" s="1"/>
  <c r="E302" i="14"/>
  <c r="F302" i="14" s="1"/>
  <c r="E310" i="14"/>
  <c r="F310" i="14" s="1"/>
  <c r="C313" i="14"/>
  <c r="Y313" i="14" s="1"/>
  <c r="E318" i="14"/>
  <c r="F318" i="14" s="1"/>
  <c r="C321" i="14"/>
  <c r="Y321" i="14" s="1"/>
  <c r="C324" i="14"/>
  <c r="Y324" i="14" s="1"/>
  <c r="C327" i="14"/>
  <c r="Y327" i="14" s="1"/>
  <c r="E335" i="14"/>
  <c r="F335" i="14" s="1"/>
  <c r="C88" i="14"/>
  <c r="Y88" i="14" s="1"/>
  <c r="C102" i="14"/>
  <c r="Y102" i="14" s="1"/>
  <c r="E106" i="14"/>
  <c r="F106" i="14" s="1"/>
  <c r="C110" i="14"/>
  <c r="Y110" i="14" s="1"/>
  <c r="E122" i="14"/>
  <c r="F122" i="14" s="1"/>
  <c r="C126" i="14"/>
  <c r="Y126" i="14" s="1"/>
  <c r="E129" i="14"/>
  <c r="F129" i="14" s="1"/>
  <c r="E140" i="14"/>
  <c r="F140" i="14" s="1"/>
  <c r="E143" i="14"/>
  <c r="F143" i="14" s="1"/>
  <c r="E154" i="14"/>
  <c r="F154" i="14" s="1"/>
  <c r="E157" i="14"/>
  <c r="F157" i="14" s="1"/>
  <c r="E164" i="14"/>
  <c r="F164" i="14" s="1"/>
  <c r="E167" i="14"/>
  <c r="F167" i="14" s="1"/>
  <c r="E170" i="14"/>
  <c r="F170" i="14" s="1"/>
  <c r="C173" i="14"/>
  <c r="Y173" i="14" s="1"/>
  <c r="C176" i="14"/>
  <c r="Y176" i="14" s="1"/>
  <c r="E179" i="14"/>
  <c r="F179" i="14" s="1"/>
  <c r="E189" i="14"/>
  <c r="F189" i="14" s="1"/>
  <c r="C196" i="14"/>
  <c r="Y196" i="14" s="1"/>
  <c r="C199" i="14"/>
  <c r="Y199" i="14" s="1"/>
  <c r="E202" i="14"/>
  <c r="F202" i="14" s="1"/>
  <c r="C206" i="14"/>
  <c r="Y206" i="14" s="1"/>
  <c r="E209" i="14"/>
  <c r="F209" i="14" s="1"/>
  <c r="E212" i="14"/>
  <c r="F212" i="14" s="1"/>
  <c r="C222" i="14"/>
  <c r="Y222" i="14" s="1"/>
  <c r="C232" i="14"/>
  <c r="Y232" i="14" s="1"/>
  <c r="E235" i="14"/>
  <c r="F235" i="14" s="1"/>
  <c r="C242" i="14"/>
  <c r="Y242" i="14" s="1"/>
  <c r="C248" i="14"/>
  <c r="Y248" i="14" s="1"/>
  <c r="E251" i="14"/>
  <c r="F251" i="14" s="1"/>
  <c r="E254" i="14"/>
  <c r="F254" i="14" s="1"/>
  <c r="C261" i="14"/>
  <c r="Y261" i="14" s="1"/>
  <c r="C268" i="14"/>
  <c r="Y268" i="14" s="1"/>
  <c r="C271" i="14"/>
  <c r="Y271" i="14" s="1"/>
  <c r="C274" i="14"/>
  <c r="Y274" i="14" s="1"/>
  <c r="C277" i="14"/>
  <c r="Y277" i="14" s="1"/>
  <c r="C280" i="14"/>
  <c r="Y280" i="14" s="1"/>
  <c r="C283" i="14"/>
  <c r="Y283" i="14" s="1"/>
  <c r="C295" i="14"/>
  <c r="Y295" i="14" s="1"/>
  <c r="C301" i="14"/>
  <c r="Y301" i="14" s="1"/>
  <c r="E304" i="14"/>
  <c r="F304" i="14" s="1"/>
  <c r="C326" i="14"/>
  <c r="Y326" i="14" s="1"/>
  <c r="C329" i="14"/>
  <c r="Y329" i="14" s="1"/>
  <c r="E338" i="14"/>
  <c r="F338" i="14" s="1"/>
  <c r="E346" i="14"/>
  <c r="F346" i="14" s="1"/>
  <c r="E354" i="14"/>
  <c r="F354" i="14" s="1"/>
  <c r="C357" i="14"/>
  <c r="Y357" i="14" s="1"/>
  <c r="E365" i="14"/>
  <c r="F365" i="14" s="1"/>
  <c r="C368" i="14"/>
  <c r="Y368" i="14" s="1"/>
  <c r="E373" i="14"/>
  <c r="F373" i="14" s="1"/>
  <c r="C376" i="14"/>
  <c r="Y376" i="14" s="1"/>
  <c r="E381" i="14"/>
  <c r="F381" i="14" s="1"/>
  <c r="E395" i="14"/>
  <c r="F395" i="14" s="1"/>
  <c r="C398" i="14"/>
  <c r="Y398" i="14" s="1"/>
  <c r="E406" i="14"/>
  <c r="F406" i="14" s="1"/>
  <c r="C409" i="14"/>
  <c r="Y409" i="14" s="1"/>
  <c r="C414" i="14"/>
  <c r="Y414" i="14" s="1"/>
  <c r="E422" i="14"/>
  <c r="F422" i="14" s="1"/>
  <c r="C13" i="14"/>
  <c r="Y13" i="14" s="1"/>
  <c r="C44" i="14"/>
  <c r="Y44" i="14" s="1"/>
  <c r="C53" i="14"/>
  <c r="Y53" i="14" s="1"/>
  <c r="C79" i="14"/>
  <c r="Y79" i="14" s="1"/>
  <c r="E83" i="14"/>
  <c r="F83" i="14" s="1"/>
  <c r="E88" i="14"/>
  <c r="F88" i="14" s="1"/>
  <c r="C93" i="14"/>
  <c r="Y93" i="14" s="1"/>
  <c r="E102" i="14"/>
  <c r="F102" i="14" s="1"/>
  <c r="E110" i="14"/>
  <c r="F110" i="14" s="1"/>
  <c r="E126" i="14"/>
  <c r="F126" i="14" s="1"/>
  <c r="C133" i="14"/>
  <c r="Y133" i="14" s="1"/>
  <c r="C137" i="14"/>
  <c r="Y137" i="14" s="1"/>
  <c r="C151" i="14"/>
  <c r="Y151" i="14" s="1"/>
  <c r="E161" i="14"/>
  <c r="F161" i="14" s="1"/>
  <c r="E173" i="14"/>
  <c r="F173" i="14" s="1"/>
  <c r="E176" i="14"/>
  <c r="F176" i="14" s="1"/>
  <c r="E186" i="14"/>
  <c r="F186" i="14" s="1"/>
  <c r="E196" i="14"/>
  <c r="F196" i="14" s="1"/>
  <c r="E199" i="14"/>
  <c r="F199" i="14" s="1"/>
  <c r="C229" i="14"/>
  <c r="Y229" i="14" s="1"/>
  <c r="E232" i="14"/>
  <c r="F232" i="14" s="1"/>
  <c r="C239" i="14"/>
  <c r="Y239" i="14" s="1"/>
  <c r="E242" i="14"/>
  <c r="F242" i="14" s="1"/>
  <c r="E245" i="14"/>
  <c r="F245" i="14" s="1"/>
  <c r="E261" i="14"/>
  <c r="F261" i="14" s="1"/>
  <c r="C265" i="14"/>
  <c r="Y265" i="14" s="1"/>
  <c r="E268" i="14"/>
  <c r="F268" i="14" s="1"/>
  <c r="E271" i="14"/>
  <c r="F271" i="14" s="1"/>
  <c r="E274" i="14"/>
  <c r="F274" i="14" s="1"/>
  <c r="E277" i="14"/>
  <c r="F277" i="14" s="1"/>
  <c r="E280" i="14"/>
  <c r="F280" i="14" s="1"/>
  <c r="C292" i="14"/>
  <c r="Y292" i="14" s="1"/>
  <c r="E295" i="14"/>
  <c r="F295" i="14" s="1"/>
  <c r="C298" i="14"/>
  <c r="Y298" i="14" s="1"/>
  <c r="E301" i="14"/>
  <c r="F301" i="14" s="1"/>
  <c r="C311" i="14"/>
  <c r="Y311" i="14" s="1"/>
  <c r="C314" i="14"/>
  <c r="Y314" i="14" s="1"/>
  <c r="E10" i="14"/>
  <c r="F10" i="14" s="1"/>
  <c r="E53" i="14"/>
  <c r="F53" i="14" s="1"/>
  <c r="E63" i="14"/>
  <c r="F63" i="14" s="1"/>
  <c r="C74" i="14"/>
  <c r="Y74" i="14" s="1"/>
  <c r="E133" i="14"/>
  <c r="F133" i="14" s="1"/>
  <c r="E137" i="14"/>
  <c r="F137" i="14" s="1"/>
  <c r="C148" i="14"/>
  <c r="Y148" i="14" s="1"/>
  <c r="E151" i="14"/>
  <c r="F151" i="14" s="1"/>
  <c r="C180" i="14"/>
  <c r="Y180" i="14" s="1"/>
  <c r="E183" i="14"/>
  <c r="F183" i="14" s="1"/>
  <c r="C193" i="14"/>
  <c r="Y193" i="14" s="1"/>
  <c r="C203" i="14"/>
  <c r="Y203" i="14" s="1"/>
  <c r="C219" i="14"/>
  <c r="Y219" i="14" s="1"/>
  <c r="C223" i="14"/>
  <c r="Y223" i="14" s="1"/>
  <c r="C226" i="14"/>
  <c r="Y226" i="14" s="1"/>
  <c r="E229" i="14"/>
  <c r="F229" i="14" s="1"/>
  <c r="E239" i="14"/>
  <c r="F239" i="14" s="1"/>
  <c r="C258" i="14"/>
  <c r="Y258" i="14" s="1"/>
  <c r="E286" i="14"/>
  <c r="F286" i="14" s="1"/>
  <c r="C289" i="14"/>
  <c r="Y289" i="14" s="1"/>
  <c r="E292" i="14"/>
  <c r="F292" i="14" s="1"/>
  <c r="E298" i="14"/>
  <c r="F298" i="14" s="1"/>
  <c r="C305" i="14"/>
  <c r="Y305" i="14" s="1"/>
  <c r="C308" i="14"/>
  <c r="Y308" i="14" s="1"/>
  <c r="E311" i="14"/>
  <c r="F311" i="14" s="1"/>
  <c r="E314" i="14"/>
  <c r="F314" i="14" s="1"/>
  <c r="C317" i="14"/>
  <c r="Y317" i="14" s="1"/>
  <c r="C320" i="14"/>
  <c r="Y320" i="14" s="1"/>
  <c r="E323" i="14"/>
  <c r="F323" i="14" s="1"/>
  <c r="C330" i="14"/>
  <c r="Y330" i="14" s="1"/>
  <c r="C333" i="14"/>
  <c r="Y333" i="14" s="1"/>
  <c r="C336" i="14"/>
  <c r="Y336" i="14" s="1"/>
  <c r="E341" i="14"/>
  <c r="F341" i="14" s="1"/>
  <c r="C349" i="14"/>
  <c r="Y349" i="14" s="1"/>
  <c r="E360" i="14"/>
  <c r="F360" i="14" s="1"/>
  <c r="C371" i="14"/>
  <c r="Y371" i="14" s="1"/>
  <c r="E384" i="14"/>
  <c r="F384" i="14" s="1"/>
  <c r="E387" i="14"/>
  <c r="F387" i="14" s="1"/>
  <c r="C390" i="14"/>
  <c r="Y390" i="14" s="1"/>
  <c r="C393" i="14"/>
  <c r="Y393" i="14" s="1"/>
  <c r="E401" i="14"/>
  <c r="F401" i="14" s="1"/>
  <c r="C404" i="14"/>
  <c r="Y404" i="14" s="1"/>
  <c r="C417" i="14"/>
  <c r="Y417" i="14" s="1"/>
  <c r="E425" i="14"/>
  <c r="F425" i="14" s="1"/>
  <c r="E428" i="14"/>
  <c r="F428" i="14" s="1"/>
  <c r="C89" i="14"/>
  <c r="Y89" i="14" s="1"/>
  <c r="E14" i="14"/>
  <c r="F14" i="14" s="1"/>
  <c r="C7" i="14"/>
  <c r="Y7" i="14" s="1"/>
  <c r="E201" i="14"/>
  <c r="F201" i="14" s="1"/>
  <c r="E197" i="14"/>
  <c r="F197" i="14" s="1"/>
  <c r="C181" i="14"/>
  <c r="Y181" i="14" s="1"/>
  <c r="C177" i="14"/>
  <c r="Y177" i="14" s="1"/>
  <c r="E162" i="14"/>
  <c r="F162" i="14" s="1"/>
  <c r="C154" i="14"/>
  <c r="Y154" i="14" s="1"/>
  <c r="E149" i="14"/>
  <c r="F149" i="14" s="1"/>
  <c r="E145" i="14"/>
  <c r="F145" i="14" s="1"/>
  <c r="C141" i="14"/>
  <c r="Y141" i="14" s="1"/>
  <c r="E128" i="14"/>
  <c r="F128" i="14" s="1"/>
  <c r="C119" i="14"/>
  <c r="Y119" i="14" s="1"/>
  <c r="C95" i="14"/>
  <c r="Y95" i="14" s="1"/>
  <c r="C31" i="14"/>
  <c r="Y31" i="14" s="1"/>
  <c r="C14" i="14"/>
  <c r="Y14" i="14" s="1"/>
  <c r="E82" i="14"/>
  <c r="F82" i="14" s="1"/>
  <c r="E76" i="14"/>
  <c r="F76" i="14" s="1"/>
  <c r="C59" i="14"/>
  <c r="Y59" i="14" s="1"/>
  <c r="E8" i="14"/>
  <c r="F8" i="14" s="1"/>
  <c r="AA2" i="14"/>
  <c r="P1" i="14"/>
  <c r="U1" i="14"/>
  <c r="W1" i="14"/>
  <c r="R1" i="14" s="1"/>
  <c r="E60" i="14"/>
  <c r="F60" i="14" s="1"/>
  <c r="C52" i="14"/>
  <c r="Y52" i="14" s="1"/>
  <c r="C43" i="14"/>
  <c r="Y43" i="14" s="1"/>
  <c r="E36" i="14"/>
  <c r="F36" i="14" s="1"/>
  <c r="E32" i="14"/>
  <c r="F32" i="14" s="1"/>
  <c r="C29" i="14"/>
  <c r="Y29" i="14" s="1"/>
  <c r="E13" i="14"/>
  <c r="F13" i="14" s="1"/>
  <c r="C10" i="14"/>
  <c r="Y10" i="14" s="1"/>
  <c r="E68" i="14"/>
  <c r="F68" i="14" s="1"/>
  <c r="C66" i="14"/>
  <c r="Y66" i="14" s="1"/>
  <c r="E54" i="14"/>
  <c r="F54" i="14" s="1"/>
  <c r="C27" i="14"/>
  <c r="Y27" i="14" s="1"/>
  <c r="C2" i="14"/>
  <c r="Y2" i="14" s="1"/>
  <c r="C5" i="14"/>
  <c r="Y5" i="14" s="1"/>
  <c r="E6" i="14"/>
  <c r="F6" i="14" s="1"/>
  <c r="C23" i="14"/>
  <c r="Y23" i="14" s="1"/>
  <c r="C24" i="14"/>
  <c r="Y24" i="14" s="1"/>
  <c r="C25" i="14"/>
  <c r="Y25" i="14" s="1"/>
  <c r="E27" i="14"/>
  <c r="F27" i="14" s="1"/>
  <c r="C41" i="14"/>
  <c r="Y41" i="14" s="1"/>
  <c r="E42" i="14"/>
  <c r="F42" i="14" s="1"/>
  <c r="C45" i="14"/>
  <c r="Y45" i="14" s="1"/>
  <c r="C58" i="14"/>
  <c r="Y58" i="14" s="1"/>
  <c r="C65" i="14"/>
  <c r="Y65" i="14" s="1"/>
  <c r="E66" i="14"/>
  <c r="F66" i="14" s="1"/>
  <c r="E73" i="14"/>
  <c r="F73" i="14" s="1"/>
  <c r="C86" i="14"/>
  <c r="Y86" i="14" s="1"/>
  <c r="E87" i="14"/>
  <c r="F87" i="14" s="1"/>
  <c r="C92" i="14"/>
  <c r="Y92" i="14" s="1"/>
  <c r="E93" i="14"/>
  <c r="F93" i="14" s="1"/>
  <c r="C4" i="14"/>
  <c r="Y4" i="14" s="1"/>
  <c r="E5" i="14"/>
  <c r="F5" i="14" s="1"/>
  <c r="C20" i="14"/>
  <c r="Y20" i="14" s="1"/>
  <c r="C22" i="14"/>
  <c r="Y22" i="14" s="1"/>
  <c r="E26" i="14"/>
  <c r="F26" i="14" s="1"/>
  <c r="C40" i="14"/>
  <c r="Y40" i="14" s="1"/>
  <c r="E41" i="14"/>
  <c r="F41" i="14" s="1"/>
  <c r="E43" i="14"/>
  <c r="F43" i="14" s="1"/>
  <c r="E44" i="14"/>
  <c r="F44" i="14" s="1"/>
  <c r="C46" i="14"/>
  <c r="Y46" i="14" s="1"/>
  <c r="C47" i="14"/>
  <c r="Y47" i="14" s="1"/>
  <c r="C48" i="14"/>
  <c r="Y48" i="14" s="1"/>
  <c r="C49" i="14"/>
  <c r="Y49" i="14" s="1"/>
  <c r="C50" i="14"/>
  <c r="Y50" i="14" s="1"/>
  <c r="C51" i="14"/>
  <c r="Y51" i="14" s="1"/>
  <c r="E52" i="14"/>
  <c r="F52" i="14" s="1"/>
  <c r="C57" i="14"/>
  <c r="Y57" i="14" s="1"/>
  <c r="E59" i="14"/>
  <c r="F59" i="14" s="1"/>
  <c r="C78" i="14"/>
  <c r="Y78" i="14" s="1"/>
  <c r="E79" i="14"/>
  <c r="F79" i="14" s="1"/>
  <c r="E2" i="14"/>
  <c r="F2" i="14" s="1"/>
  <c r="C3" i="14"/>
  <c r="Y3" i="14" s="1"/>
  <c r="C19" i="14"/>
  <c r="Y19" i="14" s="1"/>
  <c r="E20" i="14"/>
  <c r="F20" i="14" s="1"/>
  <c r="E21" i="14"/>
  <c r="F21" i="14" s="1"/>
  <c r="E23" i="14"/>
  <c r="F23" i="14" s="1"/>
  <c r="E24" i="14"/>
  <c r="F24" i="14" s="1"/>
  <c r="E25" i="14"/>
  <c r="F25" i="14" s="1"/>
  <c r="C39" i="14"/>
  <c r="Y39" i="14" s="1"/>
  <c r="E45" i="14"/>
  <c r="F45" i="14" s="1"/>
  <c r="E58" i="14"/>
  <c r="F58" i="14" s="1"/>
  <c r="C64" i="14"/>
  <c r="Y64" i="14" s="1"/>
  <c r="E65" i="14"/>
  <c r="F65" i="14" s="1"/>
  <c r="C71" i="14"/>
  <c r="Y71" i="14" s="1"/>
  <c r="E72" i="14"/>
  <c r="F72" i="14" s="1"/>
  <c r="C85" i="14"/>
  <c r="Y85" i="14" s="1"/>
  <c r="C91" i="14"/>
  <c r="Y91" i="14" s="1"/>
  <c r="E92" i="14"/>
  <c r="F92" i="14" s="1"/>
  <c r="E22" i="14"/>
  <c r="F22" i="14" s="1"/>
  <c r="C38" i="14"/>
  <c r="Y38" i="14" s="1"/>
  <c r="E46" i="14"/>
  <c r="F46" i="14" s="1"/>
  <c r="E47" i="14"/>
  <c r="F47" i="14" s="1"/>
  <c r="E48" i="14"/>
  <c r="F48" i="14" s="1"/>
  <c r="E49" i="14"/>
  <c r="F49" i="14" s="1"/>
  <c r="E50" i="14"/>
  <c r="F50" i="14" s="1"/>
  <c r="E51" i="14"/>
  <c r="F51" i="14" s="1"/>
  <c r="C56" i="14"/>
  <c r="Y56" i="14" s="1"/>
  <c r="E57" i="14"/>
  <c r="F57" i="14" s="1"/>
  <c r="C70" i="14"/>
  <c r="Y70" i="14" s="1"/>
  <c r="C77" i="14"/>
  <c r="Y77" i="14" s="1"/>
  <c r="E78" i="14"/>
  <c r="F78" i="14" s="1"/>
  <c r="E85" i="14"/>
  <c r="F85" i="14" s="1"/>
  <c r="C98" i="14"/>
  <c r="Y98" i="14" s="1"/>
  <c r="E99" i="14"/>
  <c r="F99" i="14" s="1"/>
  <c r="C104" i="14"/>
  <c r="Y104" i="14" s="1"/>
  <c r="E105" i="14"/>
  <c r="F105" i="14" s="1"/>
  <c r="E3" i="14"/>
  <c r="F3" i="14" s="1"/>
  <c r="C17" i="14"/>
  <c r="Y17" i="14" s="1"/>
  <c r="E18" i="14"/>
  <c r="F18" i="14" s="1"/>
  <c r="C35" i="14"/>
  <c r="Y35" i="14" s="1"/>
  <c r="C36" i="14"/>
  <c r="Y36" i="14" s="1"/>
  <c r="C37" i="14"/>
  <c r="Y37" i="14" s="1"/>
  <c r="E39" i="14"/>
  <c r="F39" i="14" s="1"/>
  <c r="C63" i="14"/>
  <c r="Y63" i="14" s="1"/>
  <c r="E64" i="14"/>
  <c r="F64" i="14" s="1"/>
  <c r="C69" i="14"/>
  <c r="Y69" i="14" s="1"/>
  <c r="E71" i="14"/>
  <c r="F71" i="14" s="1"/>
  <c r="C90" i="14"/>
  <c r="Y90" i="14" s="1"/>
  <c r="E91" i="14"/>
  <c r="F91" i="14" s="1"/>
  <c r="C113" i="14"/>
  <c r="Y113" i="14" s="1"/>
  <c r="E115" i="14"/>
  <c r="F115" i="14" s="1"/>
  <c r="C16" i="14"/>
  <c r="Y16" i="14" s="1"/>
  <c r="E17" i="14"/>
  <c r="F17" i="14" s="1"/>
  <c r="C32" i="14"/>
  <c r="Y32" i="14" s="1"/>
  <c r="C34" i="14"/>
  <c r="Y34" i="14" s="1"/>
  <c r="E38" i="14"/>
  <c r="F38" i="14" s="1"/>
  <c r="C55" i="14"/>
  <c r="Y55" i="14" s="1"/>
  <c r="E56" i="14"/>
  <c r="F56" i="14" s="1"/>
  <c r="E70" i="14"/>
  <c r="F70" i="14" s="1"/>
  <c r="C76" i="14"/>
  <c r="Y76" i="14" s="1"/>
  <c r="E77" i="14"/>
  <c r="F77" i="14" s="1"/>
  <c r="C83" i="14"/>
  <c r="Y83" i="14" s="1"/>
  <c r="E84" i="14"/>
  <c r="F84" i="14" s="1"/>
  <c r="C97" i="14"/>
  <c r="Y97" i="14" s="1"/>
  <c r="C103" i="14"/>
  <c r="Y103" i="14" s="1"/>
  <c r="E104" i="14"/>
  <c r="F104" i="14" s="1"/>
  <c r="C112" i="14"/>
  <c r="Y112" i="14" s="1"/>
  <c r="E114" i="14"/>
  <c r="F114" i="14" s="1"/>
  <c r="C146" i="14"/>
  <c r="Y146" i="14" s="1"/>
  <c r="E136" i="14"/>
  <c r="F136" i="14" s="1"/>
  <c r="C134" i="14"/>
  <c r="Y134" i="14" s="1"/>
  <c r="E124" i="14"/>
  <c r="F124" i="14" s="1"/>
  <c r="C122" i="14"/>
  <c r="Y122" i="14" s="1"/>
  <c r="C114" i="14"/>
  <c r="Y114" i="14" s="1"/>
  <c r="C105" i="14"/>
  <c r="Y105" i="14" s="1"/>
  <c r="C100" i="14"/>
  <c r="Y100" i="14" s="1"/>
  <c r="E81" i="14"/>
  <c r="F81" i="14" s="1"/>
  <c r="E75" i="14"/>
  <c r="F75" i="14" s="1"/>
  <c r="E30" i="14"/>
  <c r="F30" i="14" s="1"/>
  <c r="E11" i="14"/>
  <c r="F11" i="14" s="1"/>
  <c r="C33" i="14"/>
  <c r="Y33" i="14" s="1"/>
  <c r="E31" i="14"/>
  <c r="F31" i="14" s="1"/>
  <c r="C21" i="14"/>
  <c r="Y21" i="14" s="1"/>
  <c r="E19" i="14"/>
  <c r="F19" i="14" s="1"/>
  <c r="C9" i="14"/>
  <c r="Y9" i="14" s="1"/>
  <c r="E7" i="14"/>
  <c r="F7" i="14" s="1"/>
  <c r="B1" i="14"/>
  <c r="C108" i="14"/>
  <c r="Y108" i="14" s="1"/>
  <c r="E98" i="14"/>
  <c r="F98" i="14" s="1"/>
  <c r="C96" i="14"/>
  <c r="Y96" i="14" s="1"/>
  <c r="E86" i="14"/>
  <c r="F86" i="14" s="1"/>
  <c r="C84" i="14"/>
  <c r="Y84" i="14" s="1"/>
  <c r="E74" i="14"/>
  <c r="F74" i="14" s="1"/>
  <c r="C72" i="14"/>
  <c r="Y72" i="14" s="1"/>
  <c r="E62" i="14"/>
  <c r="F62" i="14" s="1"/>
  <c r="C60" i="14"/>
  <c r="Y60" i="14" s="1"/>
  <c r="C42" i="14"/>
  <c r="Y42" i="14" s="1"/>
  <c r="E40" i="14"/>
  <c r="F40" i="14" s="1"/>
  <c r="C30" i="14"/>
  <c r="Y30" i="14" s="1"/>
  <c r="E28" i="14"/>
  <c r="F28" i="14" s="1"/>
  <c r="C18" i="14"/>
  <c r="Y18" i="14" s="1"/>
  <c r="E16" i="14"/>
  <c r="F16" i="14" s="1"/>
  <c r="C6" i="14"/>
  <c r="Y6" i="14" s="1"/>
  <c r="E4" i="14"/>
  <c r="F4" i="14" s="1"/>
  <c r="B1" i="3" a="1"/>
  <c r="B1" i="3" s="1"/>
  <c r="F1" i="6"/>
  <c r="AD2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1" i="9"/>
  <c r="AB1" i="9" a="1"/>
  <c r="AB1" i="9" s="1"/>
  <c r="Y2" i="9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1" i="9"/>
  <c r="S1" i="1" a="1"/>
  <c r="S1" i="1" s="1"/>
  <c r="AB1" i="8" a="1"/>
  <c r="AB1" i="8" s="1"/>
  <c r="V1" i="3" a="1"/>
  <c r="V1" i="3" s="1"/>
  <c r="B1" i="1" a="1"/>
  <c r="B1" i="1" s="1"/>
  <c r="O2" i="1"/>
  <c r="O1" i="8"/>
  <c r="A7" i="9"/>
  <c r="D4" i="7" s="1"/>
  <c r="D5" i="7"/>
  <c r="N1" i="9"/>
  <c r="T1" i="9" s="1"/>
  <c r="A5" i="9"/>
  <c r="A6" i="9"/>
  <c r="D2" i="7" s="1"/>
  <c r="B1" i="9" a="1"/>
  <c r="B1" i="9" s="1"/>
  <c r="O1" i="9"/>
  <c r="G2" i="15" l="1"/>
  <c r="G3" i="7"/>
  <c r="C1" i="14"/>
  <c r="Y1" i="14" s="1"/>
  <c r="E1" i="14"/>
  <c r="F1" i="14" s="1"/>
  <c r="AA1" i="14" s="1"/>
  <c r="AD16" i="14" s="1"/>
  <c r="Q1" i="14"/>
  <c r="D196" i="14" s="1"/>
  <c r="D258" i="14"/>
  <c r="D264" i="14"/>
  <c r="D275" i="14"/>
  <c r="D283" i="14"/>
  <c r="D288" i="14"/>
  <c r="D326" i="14"/>
  <c r="D352" i="14"/>
  <c r="D364" i="14"/>
  <c r="D390" i="14"/>
  <c r="D381" i="14"/>
  <c r="D263" i="14"/>
  <c r="D269" i="14"/>
  <c r="D440" i="14"/>
  <c r="D306" i="14"/>
  <c r="D498" i="14"/>
  <c r="D457" i="14"/>
  <c r="D464" i="14"/>
  <c r="D466" i="14"/>
  <c r="D486" i="14"/>
  <c r="D492" i="14"/>
  <c r="D197" i="14"/>
  <c r="D162" i="14"/>
  <c r="D201" i="14"/>
  <c r="D193" i="14"/>
  <c r="D78" i="14"/>
  <c r="D41" i="14"/>
  <c r="H41" i="14" s="1"/>
  <c r="V1" i="14"/>
  <c r="D284" i="14" s="1"/>
  <c r="D61" i="14"/>
  <c r="D6" i="7"/>
  <c r="AA2" i="9"/>
  <c r="D3" i="7"/>
  <c r="K2" i="9"/>
  <c r="K3" i="9" s="1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A8" i="9" s="1"/>
  <c r="A9" i="9" s="1"/>
  <c r="A10" i="9" s="1"/>
  <c r="D1" i="9" s="1"/>
  <c r="AD35" i="14" l="1"/>
  <c r="AD29" i="14"/>
  <c r="AD23" i="14"/>
  <c r="AD19" i="14"/>
  <c r="AD31" i="14"/>
  <c r="AD4" i="14"/>
  <c r="AD13" i="14"/>
  <c r="AD48" i="14"/>
  <c r="AD39" i="14"/>
  <c r="AD17" i="14"/>
  <c r="AD14" i="14"/>
  <c r="AD8" i="14"/>
  <c r="AD37" i="14"/>
  <c r="AD6" i="14"/>
  <c r="AD25" i="14"/>
  <c r="AD45" i="14"/>
  <c r="AD41" i="14"/>
  <c r="AD33" i="14"/>
  <c r="AD47" i="14"/>
  <c r="AD42" i="14"/>
  <c r="AD11" i="14"/>
  <c r="AD5" i="14"/>
  <c r="AD21" i="14"/>
  <c r="AD36" i="14"/>
  <c r="AD10" i="14"/>
  <c r="AD46" i="14"/>
  <c r="AD15" i="14"/>
  <c r="AD30" i="14"/>
  <c r="AD40" i="14"/>
  <c r="AD24" i="14"/>
  <c r="AD18" i="14"/>
  <c r="AD32" i="14"/>
  <c r="AD49" i="14"/>
  <c r="AD12" i="14"/>
  <c r="AD26" i="14"/>
  <c r="AD22" i="14"/>
  <c r="AD2" i="14"/>
  <c r="AD27" i="14"/>
  <c r="AD50" i="14"/>
  <c r="AD9" i="14"/>
  <c r="AD44" i="14"/>
  <c r="AD34" i="14"/>
  <c r="AD3" i="14"/>
  <c r="AD7" i="14"/>
  <c r="AD38" i="14"/>
  <c r="AD28" i="14"/>
  <c r="AD43" i="14"/>
  <c r="AD1" i="14"/>
  <c r="AD20" i="14"/>
  <c r="V1" i="9"/>
  <c r="D59" i="14"/>
  <c r="G59" i="14" s="1"/>
  <c r="D160" i="14"/>
  <c r="G160" i="14" s="1"/>
  <c r="D244" i="14"/>
  <c r="I244" i="14" s="1"/>
  <c r="D53" i="14"/>
  <c r="G53" i="14" s="1"/>
  <c r="D199" i="14"/>
  <c r="G199" i="14" s="1"/>
  <c r="D452" i="14"/>
  <c r="D443" i="14"/>
  <c r="H443" i="14" s="1"/>
  <c r="D433" i="14"/>
  <c r="K433" i="14" s="1"/>
  <c r="D494" i="14"/>
  <c r="H494" i="14" s="1"/>
  <c r="D270" i="14"/>
  <c r="K270" i="14" s="1"/>
  <c r="D279" i="14"/>
  <c r="K279" i="14" s="1"/>
  <c r="D70" i="14"/>
  <c r="J70" i="14" s="1"/>
  <c r="D144" i="14"/>
  <c r="K144" i="14" s="1"/>
  <c r="D23" i="14"/>
  <c r="G23" i="14" s="1"/>
  <c r="D118" i="14"/>
  <c r="J118" i="14" s="1"/>
  <c r="D79" i="14"/>
  <c r="H79" i="14" s="1"/>
  <c r="D129" i="14"/>
  <c r="K129" i="14" s="1"/>
  <c r="D48" i="14"/>
  <c r="G48" i="14" s="1"/>
  <c r="D206" i="14"/>
  <c r="D164" i="14"/>
  <c r="I164" i="14" s="1"/>
  <c r="D419" i="14"/>
  <c r="K419" i="14" s="1"/>
  <c r="D5" i="14"/>
  <c r="J5" i="14" s="1"/>
  <c r="D125" i="14"/>
  <c r="I125" i="14" s="1"/>
  <c r="D130" i="14"/>
  <c r="H130" i="14" s="1"/>
  <c r="D438" i="14"/>
  <c r="G438" i="14" s="1"/>
  <c r="D68" i="14"/>
  <c r="H68" i="14" s="1"/>
  <c r="D224" i="14"/>
  <c r="J224" i="14" s="1"/>
  <c r="D342" i="14"/>
  <c r="H342" i="14" s="1"/>
  <c r="D426" i="14"/>
  <c r="J426" i="14" s="1"/>
  <c r="D102" i="14"/>
  <c r="D132" i="14"/>
  <c r="D88" i="14"/>
  <c r="I88" i="14" s="1"/>
  <c r="D180" i="14"/>
  <c r="G180" i="14" s="1"/>
  <c r="D200" i="14"/>
  <c r="H200" i="14" s="1"/>
  <c r="D185" i="14"/>
  <c r="I185" i="14" s="1"/>
  <c r="D235" i="14"/>
  <c r="G235" i="14" s="1"/>
  <c r="D166" i="14"/>
  <c r="H166" i="14" s="1"/>
  <c r="D222" i="14"/>
  <c r="G222" i="14" s="1"/>
  <c r="D453" i="14"/>
  <c r="I453" i="14" s="1"/>
  <c r="D309" i="14"/>
  <c r="K309" i="14" s="1"/>
  <c r="D408" i="14"/>
  <c r="H408" i="14" s="1"/>
  <c r="D356" i="14"/>
  <c r="D451" i="14"/>
  <c r="D361" i="14"/>
  <c r="G361" i="14" s="1"/>
  <c r="D215" i="14"/>
  <c r="G215" i="14" s="1"/>
  <c r="D119" i="14"/>
  <c r="J119" i="14" s="1"/>
  <c r="D56" i="14"/>
  <c r="K56" i="14" s="1"/>
  <c r="D72" i="14"/>
  <c r="H72" i="14" s="1"/>
  <c r="D445" i="14"/>
  <c r="K445" i="14" s="1"/>
  <c r="D55" i="14"/>
  <c r="H55" i="14" s="1"/>
  <c r="D218" i="14"/>
  <c r="I218" i="14" s="1"/>
  <c r="D495" i="14"/>
  <c r="J495" i="14" s="1"/>
  <c r="D62" i="14"/>
  <c r="K62" i="14" s="1"/>
  <c r="D181" i="14"/>
  <c r="D428" i="14"/>
  <c r="D387" i="14"/>
  <c r="I387" i="14" s="1"/>
  <c r="D298" i="14"/>
  <c r="J298" i="14" s="1"/>
  <c r="D391" i="14"/>
  <c r="G391" i="14" s="1"/>
  <c r="D340" i="14"/>
  <c r="I340" i="14" s="1"/>
  <c r="D7" i="14"/>
  <c r="G7" i="14" s="1"/>
  <c r="D140" i="14"/>
  <c r="G140" i="14" s="1"/>
  <c r="D220" i="14"/>
  <c r="K220" i="14" s="1"/>
  <c r="D189" i="14"/>
  <c r="J189" i="14" s="1"/>
  <c r="D91" i="14"/>
  <c r="K91" i="14" s="1"/>
  <c r="D35" i="14"/>
  <c r="G35" i="14" s="1"/>
  <c r="D9" i="14"/>
  <c r="D450" i="14"/>
  <c r="D183" i="14"/>
  <c r="G183" i="14" s="1"/>
  <c r="D416" i="14"/>
  <c r="G416" i="14" s="1"/>
  <c r="D8" i="14"/>
  <c r="G8" i="14" s="1"/>
  <c r="D247" i="14"/>
  <c r="I247" i="14" s="1"/>
  <c r="D256" i="14"/>
  <c r="I256" i="14" s="1"/>
  <c r="D28" i="14"/>
  <c r="K28" i="14" s="1"/>
  <c r="D12" i="14"/>
  <c r="K12" i="14" s="1"/>
  <c r="D248" i="14"/>
  <c r="I248" i="14" s="1"/>
  <c r="D370" i="14"/>
  <c r="H370" i="14" s="1"/>
  <c r="D444" i="14"/>
  <c r="K444" i="14" s="1"/>
  <c r="D365" i="14"/>
  <c r="K365" i="14" s="1"/>
  <c r="D436" i="14"/>
  <c r="D343" i="14"/>
  <c r="I343" i="14" s="1"/>
  <c r="D334" i="14"/>
  <c r="H334" i="14" s="1"/>
  <c r="D30" i="14"/>
  <c r="J30" i="14" s="1"/>
  <c r="D212" i="14"/>
  <c r="I212" i="14" s="1"/>
  <c r="D63" i="14"/>
  <c r="H63" i="14" s="1"/>
  <c r="D86" i="14"/>
  <c r="H86" i="14" s="1"/>
  <c r="D109" i="14"/>
  <c r="K109" i="14" s="1"/>
  <c r="D418" i="14"/>
  <c r="I418" i="14" s="1"/>
  <c r="D271" i="14"/>
  <c r="I271" i="14" s="1"/>
  <c r="D195" i="14"/>
  <c r="K195" i="14" s="1"/>
  <c r="D431" i="14"/>
  <c r="D276" i="14"/>
  <c r="D110" i="14"/>
  <c r="I110" i="14" s="1"/>
  <c r="D233" i="14"/>
  <c r="G233" i="14" s="1"/>
  <c r="D447" i="14"/>
  <c r="H447" i="14" s="1"/>
  <c r="D167" i="14"/>
  <c r="H167" i="14" s="1"/>
  <c r="D217" i="14"/>
  <c r="H217" i="14" s="1"/>
  <c r="D175" i="14"/>
  <c r="K175" i="14" s="1"/>
  <c r="D232" i="14"/>
  <c r="G232" i="14" s="1"/>
  <c r="D250" i="14"/>
  <c r="H250" i="14" s="1"/>
  <c r="D238" i="14"/>
  <c r="J238" i="14" s="1"/>
  <c r="D117" i="14"/>
  <c r="K117" i="14" s="1"/>
  <c r="D388" i="14"/>
  <c r="D363" i="14"/>
  <c r="K363" i="14" s="1"/>
  <c r="D400" i="14"/>
  <c r="G400" i="14" s="1"/>
  <c r="D354" i="14"/>
  <c r="I354" i="14" s="1"/>
  <c r="D301" i="14"/>
  <c r="I301" i="14" s="1"/>
  <c r="D186" i="14"/>
  <c r="K186" i="14" s="1"/>
  <c r="D1" i="14"/>
  <c r="I1" i="14" s="1"/>
  <c r="D136" i="14"/>
  <c r="G136" i="14" s="1"/>
  <c r="D51" i="14"/>
  <c r="I51" i="14" s="1"/>
  <c r="D37" i="14"/>
  <c r="H37" i="14" s="1"/>
  <c r="D194" i="14"/>
  <c r="J194" i="14" s="1"/>
  <c r="D482" i="14"/>
  <c r="G482" i="14" s="1"/>
  <c r="D171" i="14"/>
  <c r="G171" i="14" s="1"/>
  <c r="D101" i="14"/>
  <c r="K101" i="14" s="1"/>
  <c r="D394" i="14"/>
  <c r="G394" i="14" s="1"/>
  <c r="D83" i="14"/>
  <c r="K83" i="14" s="1"/>
  <c r="D97" i="14"/>
  <c r="H97" i="14" s="1"/>
  <c r="D329" i="14"/>
  <c r="I329" i="14" s="1"/>
  <c r="D429" i="14"/>
  <c r="G429" i="14" s="1"/>
  <c r="D158" i="14"/>
  <c r="K158" i="14" s="1"/>
  <c r="D138" i="14"/>
  <c r="G138" i="14" s="1"/>
  <c r="D484" i="14"/>
  <c r="K484" i="14" s="1"/>
  <c r="D237" i="14"/>
  <c r="K237" i="14" s="1"/>
  <c r="D154" i="14"/>
  <c r="J154" i="14" s="1"/>
  <c r="D150" i="14"/>
  <c r="D226" i="14"/>
  <c r="D20" i="14"/>
  <c r="G20" i="14" s="1"/>
  <c r="D100" i="14"/>
  <c r="H100" i="14" s="1"/>
  <c r="D213" i="14"/>
  <c r="J213" i="14" s="1"/>
  <c r="D151" i="14"/>
  <c r="J151" i="14" s="1"/>
  <c r="D417" i="14"/>
  <c r="I417" i="14" s="1"/>
  <c r="D22" i="14"/>
  <c r="J22" i="14" s="1"/>
  <c r="D73" i="14"/>
  <c r="G73" i="14" s="1"/>
  <c r="D92" i="14"/>
  <c r="J92" i="14" s="1"/>
  <c r="D74" i="14"/>
  <c r="I74" i="14" s="1"/>
  <c r="D211" i="14"/>
  <c r="H211" i="14" s="1"/>
  <c r="D223" i="14"/>
  <c r="D10" i="14"/>
  <c r="D488" i="14"/>
  <c r="G488" i="14" s="1"/>
  <c r="D396" i="14"/>
  <c r="G396" i="14" s="1"/>
  <c r="D353" i="14"/>
  <c r="K353" i="14" s="1"/>
  <c r="D375" i="14"/>
  <c r="H375" i="14" s="1"/>
  <c r="D282" i="14"/>
  <c r="K282" i="14" s="1"/>
  <c r="D296" i="14"/>
  <c r="J296" i="14" s="1"/>
  <c r="D29" i="14"/>
  <c r="J29" i="14" s="1"/>
  <c r="D469" i="14"/>
  <c r="H469" i="14" s="1"/>
  <c r="D468" i="14"/>
  <c r="I468" i="14" s="1"/>
  <c r="D378" i="14"/>
  <c r="I378" i="14" s="1"/>
  <c r="D392" i="14"/>
  <c r="D328" i="14"/>
  <c r="D367" i="14"/>
  <c r="G367" i="14" s="1"/>
  <c r="D439" i="14"/>
  <c r="G439" i="14" s="1"/>
  <c r="D260" i="14"/>
  <c r="G260" i="14" s="1"/>
  <c r="D255" i="14"/>
  <c r="J255" i="14" s="1"/>
  <c r="D254" i="14"/>
  <c r="G254" i="14" s="1"/>
  <c r="D304" i="14"/>
  <c r="K304" i="14" s="1"/>
  <c r="D291" i="14"/>
  <c r="J291" i="14" s="1"/>
  <c r="D487" i="14"/>
  <c r="K487" i="14" s="1"/>
  <c r="D413" i="14"/>
  <c r="G413" i="14" s="1"/>
  <c r="D382" i="14"/>
  <c r="I382" i="14" s="1"/>
  <c r="D434" i="14"/>
  <c r="D456" i="14"/>
  <c r="K456" i="14" s="1"/>
  <c r="D421" i="14"/>
  <c r="K421" i="14" s="1"/>
  <c r="D455" i="14"/>
  <c r="G455" i="14" s="1"/>
  <c r="D480" i="14"/>
  <c r="I480" i="14" s="1"/>
  <c r="D377" i="14"/>
  <c r="G377" i="14" s="1"/>
  <c r="D265" i="14"/>
  <c r="G265" i="14" s="1"/>
  <c r="D322" i="14"/>
  <c r="I322" i="14" s="1"/>
  <c r="D297" i="14"/>
  <c r="K297" i="14" s="1"/>
  <c r="D384" i="14"/>
  <c r="I384" i="14" s="1"/>
  <c r="D425" i="14"/>
  <c r="G425" i="14" s="1"/>
  <c r="D389" i="14"/>
  <c r="I389" i="14" s="1"/>
  <c r="D446" i="14"/>
  <c r="D490" i="14"/>
  <c r="I490" i="14" s="1"/>
  <c r="D478" i="14"/>
  <c r="G478" i="14" s="1"/>
  <c r="D476" i="14"/>
  <c r="K476" i="14" s="1"/>
  <c r="D491" i="14"/>
  <c r="G491" i="14" s="1"/>
  <c r="D379" i="14"/>
  <c r="H379" i="14" s="1"/>
  <c r="D277" i="14"/>
  <c r="H277" i="14" s="1"/>
  <c r="D339" i="14"/>
  <c r="J339" i="14" s="1"/>
  <c r="D325" i="14"/>
  <c r="K325" i="14" s="1"/>
  <c r="D402" i="14"/>
  <c r="K402" i="14" s="1"/>
  <c r="D461" i="14"/>
  <c r="G461" i="14" s="1"/>
  <c r="D399" i="14"/>
  <c r="I399" i="14" s="1"/>
  <c r="D458" i="14"/>
  <c r="D499" i="14"/>
  <c r="H499" i="14" s="1"/>
  <c r="D489" i="14"/>
  <c r="K489" i="14" s="1"/>
  <c r="D302" i="14"/>
  <c r="G302" i="14" s="1"/>
  <c r="D366" i="14"/>
  <c r="I366" i="14" s="1"/>
  <c r="D406" i="14"/>
  <c r="I406" i="14" s="1"/>
  <c r="D285" i="14"/>
  <c r="K285" i="14" s="1"/>
  <c r="D371" i="14"/>
  <c r="G371" i="14" s="1"/>
  <c r="D336" i="14"/>
  <c r="K336" i="14" s="1"/>
  <c r="D414" i="14"/>
  <c r="K414" i="14" s="1"/>
  <c r="D472" i="14"/>
  <c r="H472" i="14" s="1"/>
  <c r="D411" i="14"/>
  <c r="I411" i="14" s="1"/>
  <c r="D470" i="14"/>
  <c r="D481" i="14"/>
  <c r="H481" i="14" s="1"/>
  <c r="D432" i="14"/>
  <c r="J432" i="14" s="1"/>
  <c r="D405" i="14"/>
  <c r="G405" i="14" s="1"/>
  <c r="D496" i="14"/>
  <c r="H496" i="14" s="1"/>
  <c r="D324" i="14"/>
  <c r="H324" i="14" s="1"/>
  <c r="D272" i="14"/>
  <c r="G272" i="14" s="1"/>
  <c r="D441" i="14"/>
  <c r="J441" i="14" s="1"/>
  <c r="D373" i="14"/>
  <c r="I373" i="14" s="1"/>
  <c r="D386" i="14"/>
  <c r="G386" i="14" s="1"/>
  <c r="D314" i="14"/>
  <c r="H314" i="14" s="1"/>
  <c r="D427" i="14"/>
  <c r="I427" i="14" s="1"/>
  <c r="D358" i="14"/>
  <c r="I358" i="14" s="1"/>
  <c r="D454" i="14"/>
  <c r="D380" i="14"/>
  <c r="K380" i="14" s="1"/>
  <c r="D337" i="14"/>
  <c r="H337" i="14" s="1"/>
  <c r="D362" i="14"/>
  <c r="J362" i="14" s="1"/>
  <c r="D307" i="14"/>
  <c r="H307" i="14" s="1"/>
  <c r="D266" i="14"/>
  <c r="G266" i="14" s="1"/>
  <c r="D415" i="14"/>
  <c r="G415" i="14" s="1"/>
  <c r="D346" i="14"/>
  <c r="K346" i="14" s="1"/>
  <c r="D257" i="14"/>
  <c r="I257" i="14" s="1"/>
  <c r="D401" i="14"/>
  <c r="I401" i="14" s="1"/>
  <c r="D403" i="14"/>
  <c r="H403" i="14" s="1"/>
  <c r="D289" i="14"/>
  <c r="J289" i="14" s="1"/>
  <c r="D273" i="14"/>
  <c r="D131" i="14"/>
  <c r="H131" i="14" s="1"/>
  <c r="D52" i="14"/>
  <c r="H52" i="14" s="1"/>
  <c r="D84" i="14"/>
  <c r="H84" i="14" s="1"/>
  <c r="D103" i="14"/>
  <c r="H103" i="14" s="1"/>
  <c r="D89" i="14"/>
  <c r="J89" i="14" s="1"/>
  <c r="D207" i="14"/>
  <c r="I207" i="14" s="1"/>
  <c r="D42" i="14"/>
  <c r="J42" i="14" s="1"/>
  <c r="D149" i="14"/>
  <c r="K149" i="14" s="1"/>
  <c r="D108" i="14"/>
  <c r="J108" i="14" s="1"/>
  <c r="D81" i="14"/>
  <c r="K81" i="14" s="1"/>
  <c r="D242" i="14"/>
  <c r="G242" i="14" s="1"/>
  <c r="D69" i="14"/>
  <c r="I69" i="14" s="1"/>
  <c r="D93" i="14"/>
  <c r="H93" i="14" s="1"/>
  <c r="D145" i="14"/>
  <c r="I145" i="14" s="1"/>
  <c r="D65" i="14"/>
  <c r="J65" i="14" s="1"/>
  <c r="D80" i="14"/>
  <c r="K80" i="14" s="1"/>
  <c r="D187" i="14"/>
  <c r="G187" i="14" s="1"/>
  <c r="D192" i="14"/>
  <c r="H192" i="14" s="1"/>
  <c r="D95" i="14"/>
  <c r="H95" i="14" s="1"/>
  <c r="D208" i="14"/>
  <c r="I208" i="14" s="1"/>
  <c r="D111" i="14"/>
  <c r="G111" i="14" s="1"/>
  <c r="D112" i="14"/>
  <c r="I112" i="14" s="1"/>
  <c r="D236" i="14"/>
  <c r="D229" i="14"/>
  <c r="I229" i="14" s="1"/>
  <c r="D116" i="14"/>
  <c r="I116" i="14" s="1"/>
  <c r="D107" i="14"/>
  <c r="H107" i="14" s="1"/>
  <c r="D205" i="14"/>
  <c r="G205" i="14" s="1"/>
  <c r="D50" i="14"/>
  <c r="I50" i="14" s="1"/>
  <c r="D157" i="14"/>
  <c r="J157" i="14" s="1"/>
  <c r="D14" i="14"/>
  <c r="I14" i="14" s="1"/>
  <c r="D179" i="14"/>
  <c r="G179" i="14" s="1"/>
  <c r="D204" i="14"/>
  <c r="G204" i="14" s="1"/>
  <c r="D198" i="14"/>
  <c r="K198" i="14" s="1"/>
  <c r="D245" i="14"/>
  <c r="G245" i="14" s="1"/>
  <c r="D11" i="14"/>
  <c r="D137" i="14"/>
  <c r="D202" i="14"/>
  <c r="K202" i="14" s="1"/>
  <c r="D177" i="14"/>
  <c r="I177" i="14" s="1"/>
  <c r="D128" i="14"/>
  <c r="I128" i="14" s="1"/>
  <c r="J41" i="14"/>
  <c r="I196" i="14"/>
  <c r="K196" i="14"/>
  <c r="G196" i="14"/>
  <c r="J196" i="14"/>
  <c r="H196" i="14"/>
  <c r="G466" i="14"/>
  <c r="I466" i="14"/>
  <c r="K466" i="14"/>
  <c r="H466" i="14"/>
  <c r="J466" i="14"/>
  <c r="G284" i="14"/>
  <c r="K284" i="14"/>
  <c r="H284" i="14"/>
  <c r="I284" i="14"/>
  <c r="J284" i="14"/>
  <c r="I61" i="14"/>
  <c r="K61" i="14"/>
  <c r="G61" i="14"/>
  <c r="H61" i="14"/>
  <c r="J61" i="14"/>
  <c r="G258" i="14"/>
  <c r="K258" i="14"/>
  <c r="J258" i="14"/>
  <c r="I258" i="14"/>
  <c r="H258" i="14"/>
  <c r="G78" i="14"/>
  <c r="K78" i="14"/>
  <c r="I78" i="14"/>
  <c r="K457" i="14"/>
  <c r="H457" i="14"/>
  <c r="I457" i="14"/>
  <c r="G457" i="14"/>
  <c r="J457" i="14"/>
  <c r="G193" i="14"/>
  <c r="I193" i="14"/>
  <c r="K193" i="14"/>
  <c r="H193" i="14"/>
  <c r="J193" i="14"/>
  <c r="K390" i="14"/>
  <c r="G390" i="14"/>
  <c r="H390" i="14"/>
  <c r="I390" i="14"/>
  <c r="J390" i="14"/>
  <c r="D293" i="14"/>
  <c r="D349" i="14"/>
  <c r="D268" i="14"/>
  <c r="D262" i="14"/>
  <c r="D253" i="14"/>
  <c r="D148" i="14"/>
  <c r="D178" i="14"/>
  <c r="D174" i="14"/>
  <c r="D31" i="14"/>
  <c r="G269" i="14"/>
  <c r="I269" i="14"/>
  <c r="K269" i="14"/>
  <c r="J269" i="14"/>
  <c r="H269" i="14"/>
  <c r="G288" i="14"/>
  <c r="I288" i="14"/>
  <c r="J288" i="14"/>
  <c r="K288" i="14"/>
  <c r="H288" i="14"/>
  <c r="K438" i="14"/>
  <c r="G264" i="14"/>
  <c r="H264" i="14"/>
  <c r="K264" i="14"/>
  <c r="I264" i="14"/>
  <c r="J264" i="14"/>
  <c r="I41" i="14"/>
  <c r="K41" i="14"/>
  <c r="G41" i="14"/>
  <c r="G352" i="14"/>
  <c r="I352" i="14"/>
  <c r="K352" i="14"/>
  <c r="H352" i="14"/>
  <c r="J352" i="14"/>
  <c r="D2" i="14"/>
  <c r="D21" i="14"/>
  <c r="D168" i="14"/>
  <c r="D243" i="14"/>
  <c r="D57" i="14"/>
  <c r="D191" i="14"/>
  <c r="D142" i="14"/>
  <c r="D249" i="14"/>
  <c r="D240" i="14"/>
  <c r="D172" i="14"/>
  <c r="D234" i="14"/>
  <c r="D228" i="14"/>
  <c r="D170" i="14"/>
  <c r="D188" i="14"/>
  <c r="D404" i="14"/>
  <c r="D420" i="14"/>
  <c r="D409" i="14"/>
  <c r="D295" i="14"/>
  <c r="D500" i="14"/>
  <c r="D430" i="14"/>
  <c r="D351" i="14"/>
  <c r="D422" i="14"/>
  <c r="D483" i="14"/>
  <c r="D274" i="14"/>
  <c r="D497" i="14"/>
  <c r="D319" i="14"/>
  <c r="D376" i="14"/>
  <c r="D385" i="14"/>
  <c r="D345" i="14"/>
  <c r="D321" i="14"/>
  <c r="D360" i="14"/>
  <c r="D316" i="14"/>
  <c r="D290" i="14"/>
  <c r="D252" i="14"/>
  <c r="D219" i="14"/>
  <c r="D4" i="14"/>
  <c r="D3" i="14"/>
  <c r="D24" i="14"/>
  <c r="D26" i="14"/>
  <c r="G201" i="14"/>
  <c r="K201" i="14"/>
  <c r="I201" i="14"/>
  <c r="J201" i="14"/>
  <c r="H201" i="14"/>
  <c r="G464" i="14"/>
  <c r="I464" i="14"/>
  <c r="K464" i="14"/>
  <c r="H464" i="14"/>
  <c r="J464" i="14"/>
  <c r="I283" i="14"/>
  <c r="G283" i="14"/>
  <c r="H283" i="14"/>
  <c r="J283" i="14"/>
  <c r="K283" i="14"/>
  <c r="I197" i="14"/>
  <c r="G197" i="14"/>
  <c r="K197" i="14"/>
  <c r="J197" i="14"/>
  <c r="H197" i="14"/>
  <c r="K306" i="14"/>
  <c r="G306" i="14"/>
  <c r="I306" i="14"/>
  <c r="H306" i="14"/>
  <c r="J306" i="14"/>
  <c r="D40" i="14"/>
  <c r="D96" i="14"/>
  <c r="D54" i="14"/>
  <c r="D214" i="14"/>
  <c r="D67" i="14"/>
  <c r="D60" i="14"/>
  <c r="D105" i="14"/>
  <c r="D143" i="14"/>
  <c r="D87" i="14"/>
  <c r="D152" i="14"/>
  <c r="D239" i="14"/>
  <c r="D210" i="14"/>
  <c r="D18" i="14"/>
  <c r="D161" i="14"/>
  <c r="D156" i="14"/>
  <c r="D44" i="14"/>
  <c r="D49" i="14"/>
  <c r="D33" i="14"/>
  <c r="D221" i="14"/>
  <c r="D58" i="14"/>
  <c r="D71" i="14"/>
  <c r="D159" i="14"/>
  <c r="D17" i="14"/>
  <c r="D165" i="14"/>
  <c r="D155" i="14"/>
  <c r="D66" i="14"/>
  <c r="D36" i="14"/>
  <c r="D38" i="14"/>
  <c r="D98" i="14"/>
  <c r="D127" i="14"/>
  <c r="D94" i="14"/>
  <c r="D15" i="14"/>
  <c r="D141" i="14"/>
  <c r="D122" i="14"/>
  <c r="D230" i="14"/>
  <c r="D190" i="14"/>
  <c r="D163" i="14"/>
  <c r="D82" i="14"/>
  <c r="D397" i="14"/>
  <c r="D393" i="14"/>
  <c r="D395" i="14"/>
  <c r="D286" i="14"/>
  <c r="D467" i="14"/>
  <c r="D407" i="14"/>
  <c r="D372" i="14"/>
  <c r="D410" i="14"/>
  <c r="D471" i="14"/>
  <c r="D460" i="14"/>
  <c r="D485" i="14"/>
  <c r="D317" i="14"/>
  <c r="D368" i="14"/>
  <c r="D369" i="14"/>
  <c r="D338" i="14"/>
  <c r="D315" i="14"/>
  <c r="D348" i="14"/>
  <c r="D305" i="14"/>
  <c r="D278" i="14"/>
  <c r="D335" i="14"/>
  <c r="D121" i="14"/>
  <c r="D77" i="14"/>
  <c r="J78" i="14"/>
  <c r="D113" i="14"/>
  <c r="D46" i="14"/>
  <c r="D25" i="14"/>
  <c r="D225" i="14"/>
  <c r="G498" i="14"/>
  <c r="K498" i="14"/>
  <c r="I498" i="14"/>
  <c r="J498" i="14"/>
  <c r="H498" i="14"/>
  <c r="G275" i="14"/>
  <c r="I275" i="14"/>
  <c r="H275" i="14"/>
  <c r="J275" i="14"/>
  <c r="K275" i="14"/>
  <c r="K263" i="14"/>
  <c r="G263" i="14"/>
  <c r="J263" i="14"/>
  <c r="H263" i="14"/>
  <c r="I263" i="14"/>
  <c r="D173" i="14"/>
  <c r="D176" i="14"/>
  <c r="D106" i="14"/>
  <c r="D115" i="14"/>
  <c r="D184" i="14"/>
  <c r="D169" i="14"/>
  <c r="D153" i="14"/>
  <c r="D76" i="14"/>
  <c r="D465" i="14"/>
  <c r="D442" i="14"/>
  <c r="D493" i="14"/>
  <c r="D355" i="14"/>
  <c r="D398" i="14"/>
  <c r="D459" i="14"/>
  <c r="D448" i="14"/>
  <c r="D473" i="14"/>
  <c r="D281" i="14"/>
  <c r="D303" i="14"/>
  <c r="D357" i="14"/>
  <c r="D331" i="14"/>
  <c r="D383" i="14"/>
  <c r="D333" i="14"/>
  <c r="D294" i="14"/>
  <c r="D259" i="14"/>
  <c r="D323" i="14"/>
  <c r="D6" i="14"/>
  <c r="D90" i="14"/>
  <c r="H78" i="14"/>
  <c r="D13" i="14"/>
  <c r="D19" i="14"/>
  <c r="D47" i="14"/>
  <c r="D45" i="14"/>
  <c r="D99" i="14"/>
  <c r="AC21" i="14"/>
  <c r="AC27" i="14"/>
  <c r="AC39" i="14"/>
  <c r="AC50" i="14"/>
  <c r="AC45" i="14"/>
  <c r="AC48" i="14"/>
  <c r="AC6" i="14"/>
  <c r="AC23" i="14"/>
  <c r="AC8" i="14"/>
  <c r="AC46" i="14"/>
  <c r="AC34" i="14"/>
  <c r="AC30" i="14"/>
  <c r="AC3" i="14"/>
  <c r="AC35" i="14"/>
  <c r="AC36" i="14"/>
  <c r="AC18" i="14"/>
  <c r="AC13" i="14"/>
  <c r="AC24" i="14"/>
  <c r="AC5" i="14"/>
  <c r="AC31" i="14"/>
  <c r="AC38" i="14"/>
  <c r="AC29" i="14"/>
  <c r="AC40" i="14"/>
  <c r="AC17" i="14"/>
  <c r="AC12" i="14"/>
  <c r="AC44" i="14"/>
  <c r="AC37" i="14"/>
  <c r="AC47" i="14"/>
  <c r="AC11" i="14"/>
  <c r="AC41" i="14"/>
  <c r="AC9" i="14"/>
  <c r="AC7" i="14"/>
  <c r="AC16" i="14"/>
  <c r="AC26" i="14"/>
  <c r="AC25" i="14"/>
  <c r="AC19" i="14"/>
  <c r="AC4" i="14"/>
  <c r="AC43" i="14"/>
  <c r="AC15" i="14"/>
  <c r="AC20" i="14"/>
  <c r="AC10" i="14"/>
  <c r="AC42" i="14"/>
  <c r="AC22" i="14"/>
  <c r="AC49" i="14"/>
  <c r="AC1" i="14"/>
  <c r="AC32" i="14"/>
  <c r="AC28" i="14"/>
  <c r="AC33" i="14"/>
  <c r="AC2" i="14"/>
  <c r="AC14" i="14"/>
  <c r="G364" i="14"/>
  <c r="I364" i="14"/>
  <c r="H364" i="14"/>
  <c r="K364" i="14"/>
  <c r="J364" i="14"/>
  <c r="K492" i="14"/>
  <c r="G492" i="14"/>
  <c r="I492" i="14"/>
  <c r="J492" i="14"/>
  <c r="H492" i="14"/>
  <c r="G440" i="14"/>
  <c r="I440" i="14"/>
  <c r="K440" i="14"/>
  <c r="J440" i="14"/>
  <c r="H440" i="14"/>
  <c r="K381" i="14"/>
  <c r="I381" i="14"/>
  <c r="G381" i="14"/>
  <c r="H381" i="14"/>
  <c r="J381" i="14"/>
  <c r="G326" i="14"/>
  <c r="H326" i="14"/>
  <c r="I326" i="14"/>
  <c r="K326" i="14"/>
  <c r="J326" i="14"/>
  <c r="D327" i="14"/>
  <c r="D261" i="14"/>
  <c r="D332" i="14"/>
  <c r="D311" i="14"/>
  <c r="D203" i="14"/>
  <c r="D231" i="14"/>
  <c r="D227" i="14"/>
  <c r="D104" i="14"/>
  <c r="D32" i="14"/>
  <c r="D39" i="14"/>
  <c r="D64" i="14"/>
  <c r="D251" i="14"/>
  <c r="G162" i="14"/>
  <c r="K162" i="14"/>
  <c r="I162" i="14"/>
  <c r="H162" i="14"/>
  <c r="J162" i="14"/>
  <c r="D182" i="14"/>
  <c r="D146" i="14"/>
  <c r="D246" i="14"/>
  <c r="D126" i="14"/>
  <c r="G486" i="14"/>
  <c r="I486" i="14"/>
  <c r="J486" i="14"/>
  <c r="K486" i="14"/>
  <c r="H486" i="14"/>
  <c r="D479" i="14"/>
  <c r="D344" i="14"/>
  <c r="D374" i="14"/>
  <c r="D435" i="14"/>
  <c r="D424" i="14"/>
  <c r="D449" i="14"/>
  <c r="D474" i="14"/>
  <c r="D475" i="14"/>
  <c r="D341" i="14"/>
  <c r="D310" i="14"/>
  <c r="D359" i="14"/>
  <c r="D300" i="14"/>
  <c r="D350" i="14"/>
  <c r="D320" i="14"/>
  <c r="D299" i="14"/>
  <c r="D139" i="14"/>
  <c r="D133" i="14"/>
  <c r="D34" i="14"/>
  <c r="D123" i="14"/>
  <c r="D85" i="14"/>
  <c r="D114" i="14"/>
  <c r="D147" i="14"/>
  <c r="D267" i="14"/>
  <c r="D134" i="14"/>
  <c r="D75" i="14"/>
  <c r="D241" i="14"/>
  <c r="D124" i="14"/>
  <c r="D477" i="14"/>
  <c r="D318" i="14"/>
  <c r="D330" i="14"/>
  <c r="D423" i="14"/>
  <c r="D412" i="14"/>
  <c r="D437" i="14"/>
  <c r="D462" i="14"/>
  <c r="D463" i="14"/>
  <c r="D313" i="14"/>
  <c r="D292" i="14"/>
  <c r="D347" i="14"/>
  <c r="D280" i="14"/>
  <c r="D312" i="14"/>
  <c r="D308" i="14"/>
  <c r="D287" i="14"/>
  <c r="D216" i="14"/>
  <c r="D27" i="14"/>
  <c r="D209" i="14"/>
  <c r="D120" i="14"/>
  <c r="D43" i="14"/>
  <c r="D135" i="14"/>
  <c r="D16" i="14"/>
  <c r="G2" i="7"/>
  <c r="D6" i="9"/>
  <c r="D20" i="9"/>
  <c r="E118" i="9"/>
  <c r="F118" i="9" s="1"/>
  <c r="E44" i="9"/>
  <c r="F44" i="9" s="1"/>
  <c r="D330" i="9"/>
  <c r="D32" i="9"/>
  <c r="D162" i="9"/>
  <c r="E369" i="9"/>
  <c r="F369" i="9" s="1"/>
  <c r="E32" i="9"/>
  <c r="F32" i="9" s="1"/>
  <c r="E280" i="9"/>
  <c r="F280" i="9" s="1"/>
  <c r="E357" i="9"/>
  <c r="F357" i="9" s="1"/>
  <c r="E20" i="9"/>
  <c r="F20" i="9" s="1"/>
  <c r="E489" i="9"/>
  <c r="F489" i="9" s="1"/>
  <c r="D450" i="9"/>
  <c r="E237" i="9"/>
  <c r="F237" i="9" s="1"/>
  <c r="E415" i="9"/>
  <c r="F415" i="9" s="1"/>
  <c r="D115" i="9"/>
  <c r="D152" i="9"/>
  <c r="E264" i="9"/>
  <c r="F264" i="9" s="1"/>
  <c r="D462" i="9"/>
  <c r="D296" i="9"/>
  <c r="E353" i="9"/>
  <c r="F353" i="9" s="1"/>
  <c r="D25" i="9"/>
  <c r="E403" i="9"/>
  <c r="F403" i="9" s="1"/>
  <c r="D474" i="9"/>
  <c r="E247" i="9"/>
  <c r="F247" i="9" s="1"/>
  <c r="D139" i="9"/>
  <c r="E335" i="9"/>
  <c r="F335" i="9" s="1"/>
  <c r="E93" i="9"/>
  <c r="F93" i="9" s="1"/>
  <c r="D259" i="9"/>
  <c r="E351" i="9"/>
  <c r="F351" i="9" s="1"/>
  <c r="E418" i="9"/>
  <c r="F418" i="9" s="1"/>
  <c r="E81" i="9"/>
  <c r="F81" i="9" s="1"/>
  <c r="E115" i="9"/>
  <c r="F115" i="9" s="1"/>
  <c r="D271" i="9"/>
  <c r="E2" i="9"/>
  <c r="F2" i="9" s="1"/>
  <c r="E84" i="9"/>
  <c r="F84" i="9" s="1"/>
  <c r="D174" i="9"/>
  <c r="D127" i="9"/>
  <c r="E213" i="9"/>
  <c r="F213" i="9" s="1"/>
  <c r="D176" i="9"/>
  <c r="E430" i="9"/>
  <c r="F430" i="9" s="1"/>
  <c r="E127" i="9"/>
  <c r="F127" i="9" s="1"/>
  <c r="E371" i="9"/>
  <c r="F371" i="9" s="1"/>
  <c r="E406" i="9"/>
  <c r="F406" i="9" s="1"/>
  <c r="E308" i="9"/>
  <c r="F308" i="9" s="1"/>
  <c r="E103" i="9"/>
  <c r="F103" i="9" s="1"/>
  <c r="D283" i="9"/>
  <c r="E424" i="9"/>
  <c r="F424" i="9" s="1"/>
  <c r="D42" i="9"/>
  <c r="E164" i="9"/>
  <c r="F164" i="9" s="1"/>
  <c r="E381" i="9"/>
  <c r="F381" i="9" s="1"/>
  <c r="E225" i="9"/>
  <c r="F225" i="9" s="1"/>
  <c r="D164" i="9"/>
  <c r="E155" i="9"/>
  <c r="F155" i="9" s="1"/>
  <c r="D18" i="9"/>
  <c r="E286" i="9"/>
  <c r="F286" i="9" s="1"/>
  <c r="E188" i="9"/>
  <c r="F188" i="9" s="1"/>
  <c r="E48" i="9"/>
  <c r="F48" i="9" s="1"/>
  <c r="E101" i="9"/>
  <c r="F101" i="9" s="1"/>
  <c r="D30" i="9"/>
  <c r="E274" i="9"/>
  <c r="F274" i="9" s="1"/>
  <c r="E176" i="9"/>
  <c r="F176" i="9" s="1"/>
  <c r="E64" i="9"/>
  <c r="F64" i="9" s="1"/>
  <c r="E121" i="9"/>
  <c r="F121" i="9" s="1"/>
  <c r="W1" i="9"/>
  <c r="P1" i="9" s="1"/>
  <c r="U1" i="9"/>
  <c r="D186" i="9"/>
  <c r="E262" i="9"/>
  <c r="F262" i="9" s="1"/>
  <c r="E69" i="9"/>
  <c r="F69" i="9" s="1"/>
  <c r="E391" i="9"/>
  <c r="F391" i="9" s="1"/>
  <c r="E300" i="9"/>
  <c r="F300" i="9" s="1"/>
  <c r="E137" i="9"/>
  <c r="F137" i="9" s="1"/>
  <c r="E198" i="9"/>
  <c r="F198" i="9" s="1"/>
  <c r="E119" i="9"/>
  <c r="F119" i="9" s="1"/>
  <c r="D306" i="9"/>
  <c r="E142" i="9"/>
  <c r="F142" i="9" s="1"/>
  <c r="E332" i="9"/>
  <c r="F332" i="9" s="1"/>
  <c r="E271" i="9"/>
  <c r="F271" i="9" s="1"/>
  <c r="E460" i="9"/>
  <c r="F460" i="9" s="1"/>
  <c r="E317" i="9"/>
  <c r="F317" i="9" s="1"/>
  <c r="E218" i="9"/>
  <c r="F218" i="9" s="1"/>
  <c r="E135" i="9"/>
  <c r="F135" i="9" s="1"/>
  <c r="D318" i="9"/>
  <c r="E130" i="9"/>
  <c r="F130" i="9" s="1"/>
  <c r="E320" i="9"/>
  <c r="F320" i="9" s="1"/>
  <c r="E259" i="9"/>
  <c r="F259" i="9" s="1"/>
  <c r="E474" i="9"/>
  <c r="F474" i="9" s="1"/>
  <c r="E337" i="9"/>
  <c r="F337" i="9" s="1"/>
  <c r="E410" i="9"/>
  <c r="F410" i="9" s="1"/>
  <c r="E18" i="9"/>
  <c r="F18" i="9" s="1"/>
  <c r="E234" i="9"/>
  <c r="F234" i="9" s="1"/>
  <c r="E438" i="9"/>
  <c r="F438" i="9" s="1"/>
  <c r="E171" i="9"/>
  <c r="F171" i="9" s="1"/>
  <c r="E387" i="9"/>
  <c r="F387" i="9" s="1"/>
  <c r="D54" i="9"/>
  <c r="D198" i="9"/>
  <c r="D342" i="9"/>
  <c r="D486" i="9"/>
  <c r="E394" i="9"/>
  <c r="F394" i="9" s="1"/>
  <c r="E250" i="9"/>
  <c r="F250" i="9" s="1"/>
  <c r="E106" i="9"/>
  <c r="F106" i="9" s="1"/>
  <c r="E345" i="9"/>
  <c r="F345" i="9" s="1"/>
  <c r="E201" i="9"/>
  <c r="F201" i="9" s="1"/>
  <c r="E57" i="9"/>
  <c r="F57" i="9" s="1"/>
  <c r="E296" i="9"/>
  <c r="F296" i="9" s="1"/>
  <c r="E152" i="9"/>
  <c r="F152" i="9" s="1"/>
  <c r="E8" i="9"/>
  <c r="F8" i="9" s="1"/>
  <c r="E379" i="9"/>
  <c r="F379" i="9" s="1"/>
  <c r="E235" i="9"/>
  <c r="F235" i="9" s="1"/>
  <c r="E91" i="9"/>
  <c r="F91" i="9" s="1"/>
  <c r="E100" i="9"/>
  <c r="F100" i="9" s="1"/>
  <c r="E316" i="9"/>
  <c r="F316" i="9" s="1"/>
  <c r="D5" i="9"/>
  <c r="D151" i="9"/>
  <c r="D295" i="9"/>
  <c r="E157" i="9"/>
  <c r="F157" i="9" s="1"/>
  <c r="E373" i="9"/>
  <c r="F373" i="9" s="1"/>
  <c r="D44" i="9"/>
  <c r="D188" i="9"/>
  <c r="E38" i="9"/>
  <c r="F38" i="9" s="1"/>
  <c r="E254" i="9"/>
  <c r="F254" i="9" s="1"/>
  <c r="E453" i="9"/>
  <c r="F453" i="9" s="1"/>
  <c r="E1" i="9"/>
  <c r="F1" i="9" s="1"/>
  <c r="AA1" i="9" s="1"/>
  <c r="AC34" i="9" s="1"/>
  <c r="E191" i="9"/>
  <c r="F191" i="9" s="1"/>
  <c r="E401" i="9"/>
  <c r="F401" i="9" s="1"/>
  <c r="D66" i="9"/>
  <c r="D210" i="9"/>
  <c r="D354" i="9"/>
  <c r="D498" i="9"/>
  <c r="E382" i="9"/>
  <c r="F382" i="9" s="1"/>
  <c r="E238" i="9"/>
  <c r="F238" i="9" s="1"/>
  <c r="E94" i="9"/>
  <c r="F94" i="9" s="1"/>
  <c r="E333" i="9"/>
  <c r="F333" i="9" s="1"/>
  <c r="E189" i="9"/>
  <c r="F189" i="9" s="1"/>
  <c r="E45" i="9"/>
  <c r="F45" i="9" s="1"/>
  <c r="E284" i="9"/>
  <c r="F284" i="9" s="1"/>
  <c r="E140" i="9"/>
  <c r="F140" i="9" s="1"/>
  <c r="D12" i="9"/>
  <c r="E367" i="9"/>
  <c r="F367" i="9" s="1"/>
  <c r="E223" i="9"/>
  <c r="F223" i="9" s="1"/>
  <c r="E79" i="9"/>
  <c r="F79" i="9" s="1"/>
  <c r="E120" i="9"/>
  <c r="F120" i="9" s="1"/>
  <c r="E336" i="9"/>
  <c r="F336" i="9" s="1"/>
  <c r="D19" i="9"/>
  <c r="D163" i="9"/>
  <c r="D307" i="9"/>
  <c r="E173" i="9"/>
  <c r="F173" i="9" s="1"/>
  <c r="E389" i="9"/>
  <c r="F389" i="9" s="1"/>
  <c r="D56" i="9"/>
  <c r="D200" i="9"/>
  <c r="E54" i="9"/>
  <c r="F54" i="9" s="1"/>
  <c r="E270" i="9"/>
  <c r="F270" i="9" s="1"/>
  <c r="E468" i="9"/>
  <c r="F468" i="9" s="1"/>
  <c r="E207" i="9"/>
  <c r="F207" i="9" s="1"/>
  <c r="D78" i="9"/>
  <c r="D15" i="9"/>
  <c r="E226" i="9"/>
  <c r="F226" i="9" s="1"/>
  <c r="E177" i="9"/>
  <c r="F177" i="9" s="1"/>
  <c r="E128" i="9"/>
  <c r="F128" i="9" s="1"/>
  <c r="E211" i="9"/>
  <c r="F211" i="9" s="1"/>
  <c r="E136" i="9"/>
  <c r="F136" i="9" s="1"/>
  <c r="D319" i="9"/>
  <c r="E404" i="9"/>
  <c r="F404" i="9" s="1"/>
  <c r="E290" i="9"/>
  <c r="F290" i="9" s="1"/>
  <c r="D234" i="9"/>
  <c r="E70" i="9"/>
  <c r="F70" i="9" s="1"/>
  <c r="E21" i="9"/>
  <c r="F21" i="9" s="1"/>
  <c r="E343" i="9"/>
  <c r="F343" i="9" s="1"/>
  <c r="E372" i="9"/>
  <c r="F372" i="9" s="1"/>
  <c r="E419" i="9"/>
  <c r="F419" i="9" s="1"/>
  <c r="E496" i="9"/>
  <c r="F496" i="9" s="1"/>
  <c r="E27" i="9"/>
  <c r="F27" i="9" s="1"/>
  <c r="D102" i="9"/>
  <c r="E346" i="9"/>
  <c r="F346" i="9" s="1"/>
  <c r="E153" i="9"/>
  <c r="F153" i="9" s="1"/>
  <c r="E248" i="9"/>
  <c r="F248" i="9" s="1"/>
  <c r="E187" i="9"/>
  <c r="F187" i="9" s="1"/>
  <c r="E433" i="9"/>
  <c r="F433" i="9" s="1"/>
  <c r="E326" i="9"/>
  <c r="F326" i="9" s="1"/>
  <c r="E47" i="9"/>
  <c r="F47" i="9" s="1"/>
  <c r="E263" i="9"/>
  <c r="F263" i="9" s="1"/>
  <c r="E459" i="9"/>
  <c r="F459" i="9" s="1"/>
  <c r="D114" i="9"/>
  <c r="D258" i="9"/>
  <c r="D402" i="9"/>
  <c r="E478" i="9"/>
  <c r="F478" i="9" s="1"/>
  <c r="E334" i="9"/>
  <c r="F334" i="9" s="1"/>
  <c r="E190" i="9"/>
  <c r="F190" i="9" s="1"/>
  <c r="E46" i="9"/>
  <c r="F46" i="9" s="1"/>
  <c r="E285" i="9"/>
  <c r="F285" i="9" s="1"/>
  <c r="E141" i="9"/>
  <c r="F141" i="9" s="1"/>
  <c r="E380" i="9"/>
  <c r="F380" i="9" s="1"/>
  <c r="E236" i="9"/>
  <c r="F236" i="9" s="1"/>
  <c r="E92" i="9"/>
  <c r="F92" i="9" s="1"/>
  <c r="E463" i="9"/>
  <c r="F463" i="9" s="1"/>
  <c r="E319" i="9"/>
  <c r="F319" i="9" s="1"/>
  <c r="E175" i="9"/>
  <c r="F175" i="9" s="1"/>
  <c r="E31" i="9"/>
  <c r="F31" i="9" s="1"/>
  <c r="E192" i="9"/>
  <c r="F192" i="9" s="1"/>
  <c r="E402" i="9"/>
  <c r="F402" i="9" s="1"/>
  <c r="D67" i="9"/>
  <c r="D211" i="9"/>
  <c r="E29" i="9"/>
  <c r="F29" i="9" s="1"/>
  <c r="E245" i="9"/>
  <c r="F245" i="9" s="1"/>
  <c r="E447" i="9"/>
  <c r="F447" i="9" s="1"/>
  <c r="D104" i="9"/>
  <c r="D248" i="9"/>
  <c r="E126" i="9"/>
  <c r="F126" i="9" s="1"/>
  <c r="E342" i="9"/>
  <c r="F342" i="9" s="1"/>
  <c r="E23" i="9"/>
  <c r="F23" i="9" s="1"/>
  <c r="E50" i="9"/>
  <c r="F50" i="9" s="1"/>
  <c r="E75" i="9"/>
  <c r="F75" i="9" s="1"/>
  <c r="E102" i="9"/>
  <c r="F102" i="9" s="1"/>
  <c r="E131" i="9"/>
  <c r="F131" i="9" s="1"/>
  <c r="E158" i="9"/>
  <c r="F158" i="9" s="1"/>
  <c r="E183" i="9"/>
  <c r="F183" i="9" s="1"/>
  <c r="E210" i="9"/>
  <c r="F210" i="9" s="1"/>
  <c r="E239" i="9"/>
  <c r="F239" i="9" s="1"/>
  <c r="E266" i="9"/>
  <c r="F266" i="9" s="1"/>
  <c r="E291" i="9"/>
  <c r="F291" i="9" s="1"/>
  <c r="E318" i="9"/>
  <c r="F318" i="9" s="1"/>
  <c r="E347" i="9"/>
  <c r="F347" i="9" s="1"/>
  <c r="E374" i="9"/>
  <c r="F374" i="9" s="1"/>
  <c r="E397" i="9"/>
  <c r="F397" i="9" s="1"/>
  <c r="E420" i="9"/>
  <c r="F420" i="9" s="1"/>
  <c r="E440" i="9"/>
  <c r="F440" i="9" s="1"/>
  <c r="E462" i="9"/>
  <c r="F462" i="9" s="1"/>
  <c r="E483" i="9"/>
  <c r="F483" i="9" s="1"/>
  <c r="D7" i="9"/>
  <c r="D26" i="9"/>
  <c r="D45" i="9"/>
  <c r="D61" i="9"/>
  <c r="D76" i="9"/>
  <c r="D94" i="9"/>
  <c r="D109" i="9"/>
  <c r="D124" i="9"/>
  <c r="D142" i="9"/>
  <c r="D157" i="9"/>
  <c r="D172" i="9"/>
  <c r="D190" i="9"/>
  <c r="D205" i="9"/>
  <c r="D220" i="9"/>
  <c r="D238" i="9"/>
  <c r="D253" i="9"/>
  <c r="D268" i="9"/>
  <c r="D286" i="9"/>
  <c r="D301" i="9"/>
  <c r="D315" i="9"/>
  <c r="D329" i="9"/>
  <c r="D344" i="9"/>
  <c r="D357" i="9"/>
  <c r="D370" i="9"/>
  <c r="D383" i="9"/>
  <c r="D396" i="9"/>
  <c r="D409" i="9"/>
  <c r="D422" i="9"/>
  <c r="D435" i="9"/>
  <c r="D448" i="9"/>
  <c r="D461" i="9"/>
  <c r="D475" i="9"/>
  <c r="D488" i="9"/>
  <c r="E26" i="9"/>
  <c r="F26" i="9" s="1"/>
  <c r="E109" i="9"/>
  <c r="F109" i="9" s="1"/>
  <c r="E24" i="9"/>
  <c r="F24" i="9" s="1"/>
  <c r="E51" i="9"/>
  <c r="F51" i="9" s="1"/>
  <c r="E76" i="9"/>
  <c r="F76" i="9" s="1"/>
  <c r="E107" i="9"/>
  <c r="F107" i="9" s="1"/>
  <c r="E132" i="9"/>
  <c r="F132" i="9" s="1"/>
  <c r="E159" i="9"/>
  <c r="F159" i="9" s="1"/>
  <c r="E184" i="9"/>
  <c r="F184" i="9" s="1"/>
  <c r="E215" i="9"/>
  <c r="F215" i="9" s="1"/>
  <c r="E240" i="9"/>
  <c r="F240" i="9" s="1"/>
  <c r="E267" i="9"/>
  <c r="F267" i="9" s="1"/>
  <c r="E292" i="9"/>
  <c r="F292" i="9" s="1"/>
  <c r="E323" i="9"/>
  <c r="F323" i="9" s="1"/>
  <c r="E348" i="9"/>
  <c r="F348" i="9" s="1"/>
  <c r="E375" i="9"/>
  <c r="F375" i="9" s="1"/>
  <c r="E398" i="9"/>
  <c r="F398" i="9" s="1"/>
  <c r="E421" i="9"/>
  <c r="F421" i="9" s="1"/>
  <c r="E441" i="9"/>
  <c r="F441" i="9" s="1"/>
  <c r="E464" i="9"/>
  <c r="F464" i="9" s="1"/>
  <c r="E484" i="9"/>
  <c r="F484" i="9" s="1"/>
  <c r="D8" i="9"/>
  <c r="D27" i="9"/>
  <c r="D46" i="9"/>
  <c r="D62" i="9"/>
  <c r="D77" i="9"/>
  <c r="D95" i="9"/>
  <c r="D110" i="9"/>
  <c r="D125" i="9"/>
  <c r="D143" i="9"/>
  <c r="D158" i="9"/>
  <c r="D173" i="9"/>
  <c r="D191" i="9"/>
  <c r="D206" i="9"/>
  <c r="D221" i="9"/>
  <c r="D239" i="9"/>
  <c r="D254" i="9"/>
  <c r="D269" i="9"/>
  <c r="D287" i="9"/>
  <c r="D302" i="9"/>
  <c r="D316" i="9"/>
  <c r="D332" i="9"/>
  <c r="D345" i="9"/>
  <c r="D358" i="9"/>
  <c r="D371" i="9"/>
  <c r="D384" i="9"/>
  <c r="D397" i="9"/>
  <c r="D410" i="9"/>
  <c r="D423" i="9"/>
  <c r="D436" i="9"/>
  <c r="D449" i="9"/>
  <c r="D463" i="9"/>
  <c r="D476" i="9"/>
  <c r="D489" i="9"/>
  <c r="E53" i="9"/>
  <c r="F53" i="9" s="1"/>
  <c r="E25" i="9"/>
  <c r="F25" i="9" s="1"/>
  <c r="E52" i="9"/>
  <c r="F52" i="9" s="1"/>
  <c r="E77" i="9"/>
  <c r="F77" i="9" s="1"/>
  <c r="E108" i="9"/>
  <c r="F108" i="9" s="1"/>
  <c r="E133" i="9"/>
  <c r="F133" i="9" s="1"/>
  <c r="E160" i="9"/>
  <c r="F160" i="9" s="1"/>
  <c r="E185" i="9"/>
  <c r="F185" i="9" s="1"/>
  <c r="E216" i="9"/>
  <c r="F216" i="9" s="1"/>
  <c r="E241" i="9"/>
  <c r="F241" i="9" s="1"/>
  <c r="E268" i="9"/>
  <c r="F268" i="9" s="1"/>
  <c r="E293" i="9"/>
  <c r="F293" i="9" s="1"/>
  <c r="E324" i="9"/>
  <c r="F324" i="9" s="1"/>
  <c r="E349" i="9"/>
  <c r="F349" i="9" s="1"/>
  <c r="E376" i="9"/>
  <c r="F376" i="9" s="1"/>
  <c r="E399" i="9"/>
  <c r="F399" i="9" s="1"/>
  <c r="E422" i="9"/>
  <c r="F422" i="9" s="1"/>
  <c r="E443" i="9"/>
  <c r="F443" i="9" s="1"/>
  <c r="E465" i="9"/>
  <c r="F465" i="9" s="1"/>
  <c r="E485" i="9"/>
  <c r="F485" i="9" s="1"/>
  <c r="D9" i="9"/>
  <c r="D28" i="9"/>
  <c r="D47" i="9"/>
  <c r="D63" i="9"/>
  <c r="D81" i="9"/>
  <c r="D96" i="9"/>
  <c r="D111" i="9"/>
  <c r="D129" i="9"/>
  <c r="D144" i="9"/>
  <c r="D159" i="9"/>
  <c r="D177" i="9"/>
  <c r="D192" i="9"/>
  <c r="D207" i="9"/>
  <c r="D225" i="9"/>
  <c r="D240" i="9"/>
  <c r="D255" i="9"/>
  <c r="D273" i="9"/>
  <c r="D288" i="9"/>
  <c r="D303" i="9"/>
  <c r="D317" i="9"/>
  <c r="D333" i="9"/>
  <c r="D346" i="9"/>
  <c r="D359" i="9"/>
  <c r="D372" i="9"/>
  <c r="D385" i="9"/>
  <c r="D398" i="9"/>
  <c r="D411" i="9"/>
  <c r="D424" i="9"/>
  <c r="D437" i="9"/>
  <c r="D451" i="9"/>
  <c r="D464" i="9"/>
  <c r="D477" i="9"/>
  <c r="D490" i="9"/>
  <c r="E6" i="9"/>
  <c r="F6" i="9" s="1"/>
  <c r="E37" i="9"/>
  <c r="F37" i="9" s="1"/>
  <c r="E62" i="9"/>
  <c r="F62" i="9" s="1"/>
  <c r="E89" i="9"/>
  <c r="F89" i="9" s="1"/>
  <c r="E114" i="9"/>
  <c r="F114" i="9" s="1"/>
  <c r="E145" i="9"/>
  <c r="F145" i="9" s="1"/>
  <c r="E170" i="9"/>
  <c r="F170" i="9" s="1"/>
  <c r="E197" i="9"/>
  <c r="F197" i="9" s="1"/>
  <c r="E222" i="9"/>
  <c r="F222" i="9" s="1"/>
  <c r="E253" i="9"/>
  <c r="F253" i="9" s="1"/>
  <c r="E278" i="9"/>
  <c r="F278" i="9" s="1"/>
  <c r="E305" i="9"/>
  <c r="F305" i="9" s="1"/>
  <c r="E330" i="9"/>
  <c r="F330" i="9" s="1"/>
  <c r="E361" i="9"/>
  <c r="F361" i="9" s="1"/>
  <c r="E386" i="9"/>
  <c r="F386" i="9" s="1"/>
  <c r="E409" i="9"/>
  <c r="F409" i="9" s="1"/>
  <c r="E429" i="9"/>
  <c r="F429" i="9" s="1"/>
  <c r="E452" i="9"/>
  <c r="F452" i="9" s="1"/>
  <c r="E472" i="9"/>
  <c r="F472" i="9" s="1"/>
  <c r="E495" i="9"/>
  <c r="F495" i="9" s="1"/>
  <c r="D17" i="9"/>
  <c r="D36" i="9"/>
  <c r="D53" i="9"/>
  <c r="D71" i="9"/>
  <c r="D86" i="9"/>
  <c r="D101" i="9"/>
  <c r="D119" i="9"/>
  <c r="D134" i="9"/>
  <c r="D149" i="9"/>
  <c r="D167" i="9"/>
  <c r="D182" i="9"/>
  <c r="D197" i="9"/>
  <c r="D215" i="9"/>
  <c r="D230" i="9"/>
  <c r="D245" i="9"/>
  <c r="D263" i="9"/>
  <c r="D278" i="9"/>
  <c r="D293" i="9"/>
  <c r="D310" i="9"/>
  <c r="D324" i="9"/>
  <c r="D338" i="9"/>
  <c r="D351" i="9"/>
  <c r="D364" i="9"/>
  <c r="D377" i="9"/>
  <c r="D391" i="9"/>
  <c r="D404" i="9"/>
  <c r="D417" i="9"/>
  <c r="D430" i="9"/>
  <c r="D443" i="9"/>
  <c r="D456" i="9"/>
  <c r="D469" i="9"/>
  <c r="D482" i="9"/>
  <c r="D495" i="9"/>
  <c r="E5" i="9"/>
  <c r="F5" i="9" s="1"/>
  <c r="E59" i="9"/>
  <c r="F59" i="9" s="1"/>
  <c r="E96" i="9"/>
  <c r="F96" i="9" s="1"/>
  <c r="E143" i="9"/>
  <c r="F143" i="9" s="1"/>
  <c r="E180" i="9"/>
  <c r="F180" i="9" s="1"/>
  <c r="E220" i="9"/>
  <c r="F220" i="9" s="1"/>
  <c r="E257" i="9"/>
  <c r="F257" i="9" s="1"/>
  <c r="E303" i="9"/>
  <c r="F303" i="9" s="1"/>
  <c r="E340" i="9"/>
  <c r="F340" i="9" s="1"/>
  <c r="E384" i="9"/>
  <c r="F384" i="9" s="1"/>
  <c r="E413" i="9"/>
  <c r="F413" i="9" s="1"/>
  <c r="E449" i="9"/>
  <c r="F449" i="9" s="1"/>
  <c r="E480" i="9"/>
  <c r="F480" i="9" s="1"/>
  <c r="D14" i="9"/>
  <c r="D40" i="9"/>
  <c r="D69" i="9"/>
  <c r="D89" i="9"/>
  <c r="D117" i="9"/>
  <c r="D137" i="9"/>
  <c r="D165" i="9"/>
  <c r="D185" i="9"/>
  <c r="D213" i="9"/>
  <c r="D233" i="9"/>
  <c r="D261" i="9"/>
  <c r="D281" i="9"/>
  <c r="D308" i="9"/>
  <c r="D327" i="9"/>
  <c r="D349" i="9"/>
  <c r="D368" i="9"/>
  <c r="D388" i="9"/>
  <c r="D407" i="9"/>
  <c r="D428" i="9"/>
  <c r="D446" i="9"/>
  <c r="D467" i="9"/>
  <c r="D485" i="9"/>
  <c r="D487" i="9"/>
  <c r="E15" i="9"/>
  <c r="F15" i="9" s="1"/>
  <c r="E98" i="9"/>
  <c r="F98" i="9" s="1"/>
  <c r="E186" i="9"/>
  <c r="F186" i="9" s="1"/>
  <c r="E269" i="9"/>
  <c r="F269" i="9" s="1"/>
  <c r="E350" i="9"/>
  <c r="F350" i="9" s="1"/>
  <c r="E423" i="9"/>
  <c r="F423" i="9" s="1"/>
  <c r="E486" i="9"/>
  <c r="F486" i="9" s="1"/>
  <c r="D48" i="9"/>
  <c r="E14" i="9"/>
  <c r="F14" i="9" s="1"/>
  <c r="E60" i="9"/>
  <c r="F60" i="9" s="1"/>
  <c r="E97" i="9"/>
  <c r="F97" i="9" s="1"/>
  <c r="E144" i="9"/>
  <c r="F144" i="9" s="1"/>
  <c r="E181" i="9"/>
  <c r="F181" i="9" s="1"/>
  <c r="E221" i="9"/>
  <c r="F221" i="9" s="1"/>
  <c r="E258" i="9"/>
  <c r="F258" i="9" s="1"/>
  <c r="E304" i="9"/>
  <c r="F304" i="9" s="1"/>
  <c r="E341" i="9"/>
  <c r="F341" i="9" s="1"/>
  <c r="E385" i="9"/>
  <c r="F385" i="9" s="1"/>
  <c r="E414" i="9"/>
  <c r="F414" i="9" s="1"/>
  <c r="E450" i="9"/>
  <c r="F450" i="9" s="1"/>
  <c r="E481" i="9"/>
  <c r="F481" i="9" s="1"/>
  <c r="D16" i="9"/>
  <c r="D41" i="9"/>
  <c r="D70" i="9"/>
  <c r="D93" i="9"/>
  <c r="D118" i="9"/>
  <c r="D141" i="9"/>
  <c r="D166" i="9"/>
  <c r="D189" i="9"/>
  <c r="D214" i="9"/>
  <c r="D237" i="9"/>
  <c r="D262" i="9"/>
  <c r="D285" i="9"/>
  <c r="D309" i="9"/>
  <c r="D328" i="9"/>
  <c r="D350" i="9"/>
  <c r="D369" i="9"/>
  <c r="D389" i="9"/>
  <c r="D408" i="9"/>
  <c r="D429" i="9"/>
  <c r="D447" i="9"/>
  <c r="D468" i="9"/>
  <c r="E61" i="9"/>
  <c r="F61" i="9" s="1"/>
  <c r="E147" i="9"/>
  <c r="F147" i="9" s="1"/>
  <c r="E230" i="9"/>
  <c r="F230" i="9" s="1"/>
  <c r="E311" i="9"/>
  <c r="F311" i="9" s="1"/>
  <c r="E390" i="9"/>
  <c r="F390" i="9" s="1"/>
  <c r="E455" i="9"/>
  <c r="F455" i="9" s="1"/>
  <c r="D21" i="9"/>
  <c r="E17" i="9"/>
  <c r="F17" i="9" s="1"/>
  <c r="E71" i="9"/>
  <c r="F71" i="9" s="1"/>
  <c r="E112" i="9"/>
  <c r="F112" i="9" s="1"/>
  <c r="E149" i="9"/>
  <c r="F149" i="9" s="1"/>
  <c r="E195" i="9"/>
  <c r="F195" i="9" s="1"/>
  <c r="E232" i="9"/>
  <c r="F232" i="9" s="1"/>
  <c r="E276" i="9"/>
  <c r="F276" i="9" s="1"/>
  <c r="E313" i="9"/>
  <c r="F313" i="9" s="1"/>
  <c r="E359" i="9"/>
  <c r="F359" i="9" s="1"/>
  <c r="E393" i="9"/>
  <c r="F393" i="9" s="1"/>
  <c r="E426" i="9"/>
  <c r="F426" i="9" s="1"/>
  <c r="E457" i="9"/>
  <c r="F457" i="9" s="1"/>
  <c r="E493" i="9"/>
  <c r="F493" i="9" s="1"/>
  <c r="D23" i="9"/>
  <c r="D51" i="9"/>
  <c r="D74" i="9"/>
  <c r="D99" i="9"/>
  <c r="D122" i="9"/>
  <c r="D147" i="9"/>
  <c r="D170" i="9"/>
  <c r="D195" i="9"/>
  <c r="D218" i="9"/>
  <c r="D243" i="9"/>
  <c r="D266" i="9"/>
  <c r="D291" i="9"/>
  <c r="D313" i="9"/>
  <c r="D336" i="9"/>
  <c r="D355" i="9"/>
  <c r="D375" i="9"/>
  <c r="D394" i="9"/>
  <c r="D415" i="9"/>
  <c r="D433" i="9"/>
  <c r="D454" i="9"/>
  <c r="D472" i="9"/>
  <c r="D493" i="9"/>
  <c r="E30" i="9"/>
  <c r="F30" i="9" s="1"/>
  <c r="E72" i="9"/>
  <c r="F72" i="9" s="1"/>
  <c r="E113" i="9"/>
  <c r="F113" i="9" s="1"/>
  <c r="E150" i="9"/>
  <c r="F150" i="9" s="1"/>
  <c r="E196" i="9"/>
  <c r="F196" i="9" s="1"/>
  <c r="E233" i="9"/>
  <c r="F233" i="9" s="1"/>
  <c r="E277" i="9"/>
  <c r="F277" i="9" s="1"/>
  <c r="E314" i="9"/>
  <c r="F314" i="9" s="1"/>
  <c r="E360" i="9"/>
  <c r="F360" i="9" s="1"/>
  <c r="E395" i="9"/>
  <c r="F395" i="9" s="1"/>
  <c r="E428" i="9"/>
  <c r="F428" i="9" s="1"/>
  <c r="E458" i="9"/>
  <c r="F458" i="9" s="1"/>
  <c r="E494" i="9"/>
  <c r="F494" i="9" s="1"/>
  <c r="D24" i="9"/>
  <c r="D52" i="9"/>
  <c r="D75" i="9"/>
  <c r="D100" i="9"/>
  <c r="D123" i="9"/>
  <c r="D148" i="9"/>
  <c r="D171" i="9"/>
  <c r="D196" i="9"/>
  <c r="D219" i="9"/>
  <c r="D244" i="9"/>
  <c r="D267" i="9"/>
  <c r="D292" i="9"/>
  <c r="D314" i="9"/>
  <c r="D337" i="9"/>
  <c r="D356" i="9"/>
  <c r="D376" i="9"/>
  <c r="D395" i="9"/>
  <c r="E36" i="9"/>
  <c r="F36" i="9" s="1"/>
  <c r="E78" i="9"/>
  <c r="F78" i="9" s="1"/>
  <c r="E123" i="9"/>
  <c r="F123" i="9" s="1"/>
  <c r="E167" i="9"/>
  <c r="F167" i="9" s="1"/>
  <c r="E204" i="9"/>
  <c r="F204" i="9" s="1"/>
  <c r="E246" i="9"/>
  <c r="F246" i="9" s="1"/>
  <c r="E287" i="9"/>
  <c r="F287" i="9" s="1"/>
  <c r="E327" i="9"/>
  <c r="F327" i="9" s="1"/>
  <c r="E364" i="9"/>
  <c r="F364" i="9" s="1"/>
  <c r="E405" i="9"/>
  <c r="F405" i="9" s="1"/>
  <c r="E435" i="9"/>
  <c r="F435" i="9" s="1"/>
  <c r="E469" i="9"/>
  <c r="F469" i="9" s="1"/>
  <c r="E498" i="9"/>
  <c r="F498" i="9" s="1"/>
  <c r="D33" i="9"/>
  <c r="D58" i="9"/>
  <c r="D83" i="9"/>
  <c r="D106" i="9"/>
  <c r="D131" i="9"/>
  <c r="D154" i="9"/>
  <c r="D179" i="9"/>
  <c r="D202" i="9"/>
  <c r="D227" i="9"/>
  <c r="D250" i="9"/>
  <c r="D275" i="9"/>
  <c r="D298" i="9"/>
  <c r="D321" i="9"/>
  <c r="D340" i="9"/>
  <c r="D361" i="9"/>
  <c r="D380" i="9"/>
  <c r="D400" i="9"/>
  <c r="D419" i="9"/>
  <c r="D440" i="9"/>
  <c r="D458" i="9"/>
  <c r="D479" i="9"/>
  <c r="D497" i="9"/>
  <c r="E39" i="9"/>
  <c r="F39" i="9" s="1"/>
  <c r="E86" i="9"/>
  <c r="F86" i="9" s="1"/>
  <c r="E124" i="9"/>
  <c r="F124" i="9" s="1"/>
  <c r="E168" i="9"/>
  <c r="F168" i="9" s="1"/>
  <c r="E205" i="9"/>
  <c r="F205" i="9" s="1"/>
  <c r="E251" i="9"/>
  <c r="F251" i="9" s="1"/>
  <c r="E288" i="9"/>
  <c r="F288" i="9" s="1"/>
  <c r="E328" i="9"/>
  <c r="F328" i="9" s="1"/>
  <c r="E365" i="9"/>
  <c r="F365" i="9" s="1"/>
  <c r="E407" i="9"/>
  <c r="F407" i="9" s="1"/>
  <c r="E436" i="9"/>
  <c r="F436" i="9" s="1"/>
  <c r="E470" i="9"/>
  <c r="F470" i="9" s="1"/>
  <c r="E500" i="9"/>
  <c r="F500" i="9" s="1"/>
  <c r="D34" i="9"/>
  <c r="D59" i="9"/>
  <c r="D84" i="9"/>
  <c r="D107" i="9"/>
  <c r="D132" i="9"/>
  <c r="D155" i="9"/>
  <c r="D180" i="9"/>
  <c r="E3" i="9"/>
  <c r="F3" i="9" s="1"/>
  <c r="E111" i="9"/>
  <c r="F111" i="9" s="1"/>
  <c r="E206" i="9"/>
  <c r="F206" i="9" s="1"/>
  <c r="E302" i="9"/>
  <c r="F302" i="9" s="1"/>
  <c r="E400" i="9"/>
  <c r="F400" i="9" s="1"/>
  <c r="E477" i="9"/>
  <c r="F477" i="9" s="1"/>
  <c r="D50" i="9"/>
  <c r="D98" i="9"/>
  <c r="D146" i="9"/>
  <c r="D194" i="9"/>
  <c r="D232" i="9"/>
  <c r="D277" i="9"/>
  <c r="D320" i="9"/>
  <c r="D352" i="9"/>
  <c r="D386" i="9"/>
  <c r="D418" i="9"/>
  <c r="D445" i="9"/>
  <c r="D478" i="9"/>
  <c r="E411" i="9"/>
  <c r="F411" i="9" s="1"/>
  <c r="D108" i="9"/>
  <c r="D203" i="9"/>
  <c r="D280" i="9"/>
  <c r="D323" i="9"/>
  <c r="D392" i="9"/>
  <c r="D421" i="9"/>
  <c r="D481" i="9"/>
  <c r="E134" i="9"/>
  <c r="F134" i="9" s="1"/>
  <c r="E231" i="9"/>
  <c r="F231" i="9" s="1"/>
  <c r="E412" i="9"/>
  <c r="F412" i="9" s="1"/>
  <c r="D64" i="9"/>
  <c r="D160" i="9"/>
  <c r="D249" i="9"/>
  <c r="D325" i="9"/>
  <c r="D393" i="9"/>
  <c r="D455" i="9"/>
  <c r="E40" i="9"/>
  <c r="F40" i="9" s="1"/>
  <c r="E242" i="9"/>
  <c r="F242" i="9" s="1"/>
  <c r="E338" i="9"/>
  <c r="F338" i="9" s="1"/>
  <c r="D2" i="9"/>
  <c r="D113" i="9"/>
  <c r="D208" i="9"/>
  <c r="D290" i="9"/>
  <c r="D363" i="9"/>
  <c r="D427" i="9"/>
  <c r="D484" i="9"/>
  <c r="E41" i="9"/>
  <c r="F41" i="9" s="1"/>
  <c r="E252" i="9"/>
  <c r="F252" i="9" s="1"/>
  <c r="E434" i="9"/>
  <c r="F434" i="9" s="1"/>
  <c r="D72" i="9"/>
  <c r="D168" i="9"/>
  <c r="D252" i="9"/>
  <c r="D334" i="9"/>
  <c r="D401" i="9"/>
  <c r="D459" i="9"/>
  <c r="E42" i="9"/>
  <c r="F42" i="9" s="1"/>
  <c r="E161" i="9"/>
  <c r="F161" i="9" s="1"/>
  <c r="E354" i="9"/>
  <c r="F354" i="9" s="1"/>
  <c r="D13" i="9"/>
  <c r="D121" i="9"/>
  <c r="D169" i="9"/>
  <c r="D256" i="9"/>
  <c r="D335" i="9"/>
  <c r="D403" i="9"/>
  <c r="D460" i="9"/>
  <c r="E87" i="9"/>
  <c r="F87" i="9" s="1"/>
  <c r="E282" i="9"/>
  <c r="F282" i="9" s="1"/>
  <c r="E456" i="9"/>
  <c r="F456" i="9" s="1"/>
  <c r="D87" i="9"/>
  <c r="D183" i="9"/>
  <c r="D265" i="9"/>
  <c r="D343" i="9"/>
  <c r="D412" i="9"/>
  <c r="D470" i="9"/>
  <c r="E383" i="9"/>
  <c r="F383" i="9" s="1"/>
  <c r="D88" i="9"/>
  <c r="D229" i="9"/>
  <c r="D347" i="9"/>
  <c r="D413" i="9"/>
  <c r="D471" i="9"/>
  <c r="E203" i="9"/>
  <c r="F203" i="9" s="1"/>
  <c r="E392" i="9"/>
  <c r="F392" i="9" s="1"/>
  <c r="D39" i="9"/>
  <c r="D193" i="9"/>
  <c r="D276" i="9"/>
  <c r="D348" i="9"/>
  <c r="D416" i="9"/>
  <c r="E4" i="9"/>
  <c r="F4" i="9" s="1"/>
  <c r="E122" i="9"/>
  <c r="F122" i="9" s="1"/>
  <c r="E217" i="9"/>
  <c r="F217" i="9" s="1"/>
  <c r="E312" i="9"/>
  <c r="F312" i="9" s="1"/>
  <c r="E408" i="9"/>
  <c r="F408" i="9" s="1"/>
  <c r="E479" i="9"/>
  <c r="F479" i="9" s="1"/>
  <c r="D57" i="9"/>
  <c r="D105" i="9"/>
  <c r="D153" i="9"/>
  <c r="D201" i="9"/>
  <c r="D241" i="9"/>
  <c r="D279" i="9"/>
  <c r="D322" i="9"/>
  <c r="D353" i="9"/>
  <c r="D387" i="9"/>
  <c r="D420" i="9"/>
  <c r="D452" i="9"/>
  <c r="D480" i="9"/>
  <c r="E16" i="9"/>
  <c r="F16" i="9" s="1"/>
  <c r="E125" i="9"/>
  <c r="F125" i="9" s="1"/>
  <c r="E219" i="9"/>
  <c r="F219" i="9" s="1"/>
  <c r="E325" i="9"/>
  <c r="F325" i="9" s="1"/>
  <c r="E492" i="9"/>
  <c r="F492" i="9" s="1"/>
  <c r="D60" i="9"/>
  <c r="D156" i="9"/>
  <c r="D242" i="9"/>
  <c r="D360" i="9"/>
  <c r="D453" i="9"/>
  <c r="E35" i="9"/>
  <c r="F35" i="9" s="1"/>
  <c r="E329" i="9"/>
  <c r="F329" i="9" s="1"/>
  <c r="E497" i="9"/>
  <c r="F497" i="9" s="1"/>
  <c r="D112" i="9"/>
  <c r="D204" i="9"/>
  <c r="D289" i="9"/>
  <c r="D362" i="9"/>
  <c r="D425" i="9"/>
  <c r="D483" i="9"/>
  <c r="E138" i="9"/>
  <c r="F138" i="9" s="1"/>
  <c r="E425" i="9"/>
  <c r="F425" i="9" s="1"/>
  <c r="D65" i="9"/>
  <c r="D161" i="9"/>
  <c r="D251" i="9"/>
  <c r="D326" i="9"/>
  <c r="D399" i="9"/>
  <c r="D457" i="9"/>
  <c r="E148" i="9"/>
  <c r="F148" i="9" s="1"/>
  <c r="E339" i="9"/>
  <c r="F339" i="9" s="1"/>
  <c r="D10" i="9"/>
  <c r="D120" i="9"/>
  <c r="D209" i="9"/>
  <c r="D297" i="9"/>
  <c r="D365" i="9"/>
  <c r="D431" i="9"/>
  <c r="D491" i="9"/>
  <c r="E255" i="9"/>
  <c r="F255" i="9" s="1"/>
  <c r="E437" i="9"/>
  <c r="F437" i="9" s="1"/>
  <c r="D73" i="9"/>
  <c r="D216" i="9"/>
  <c r="D299" i="9"/>
  <c r="D367" i="9"/>
  <c r="D432" i="9"/>
  <c r="D492" i="9"/>
  <c r="E179" i="9"/>
  <c r="F179" i="9" s="1"/>
  <c r="E377" i="9"/>
  <c r="F377" i="9" s="1"/>
  <c r="D35" i="9"/>
  <c r="D135" i="9"/>
  <c r="D228" i="9"/>
  <c r="D305" i="9"/>
  <c r="D379" i="9"/>
  <c r="D441" i="9"/>
  <c r="D499" i="9"/>
  <c r="E88" i="9"/>
  <c r="F88" i="9" s="1"/>
  <c r="E194" i="9"/>
  <c r="F194" i="9" s="1"/>
  <c r="E289" i="9"/>
  <c r="F289" i="9" s="1"/>
  <c r="E467" i="9"/>
  <c r="F467" i="9" s="1"/>
  <c r="D38" i="9"/>
  <c r="D136" i="9"/>
  <c r="D184" i="9"/>
  <c r="D274" i="9"/>
  <c r="D311" i="9"/>
  <c r="D381" i="9"/>
  <c r="D442" i="9"/>
  <c r="D500" i="9"/>
  <c r="E95" i="9"/>
  <c r="F95" i="9" s="1"/>
  <c r="E294" i="9"/>
  <c r="F294" i="9" s="1"/>
  <c r="E471" i="9"/>
  <c r="F471" i="9" s="1"/>
  <c r="D97" i="9"/>
  <c r="D145" i="9"/>
  <c r="D312" i="9"/>
  <c r="D382" i="9"/>
  <c r="D444" i="9"/>
  <c r="D473" i="9"/>
  <c r="E66" i="9"/>
  <c r="F66" i="9" s="1"/>
  <c r="E169" i="9"/>
  <c r="F169" i="9" s="1"/>
  <c r="E256" i="9"/>
  <c r="F256" i="9" s="1"/>
  <c r="E363" i="9"/>
  <c r="F363" i="9" s="1"/>
  <c r="E444" i="9"/>
  <c r="F444" i="9" s="1"/>
  <c r="D22" i="9"/>
  <c r="D82" i="9"/>
  <c r="D130" i="9"/>
  <c r="D178" i="9"/>
  <c r="D217" i="9"/>
  <c r="D257" i="9"/>
  <c r="D300" i="9"/>
  <c r="D339" i="9"/>
  <c r="D373" i="9"/>
  <c r="D405" i="9"/>
  <c r="D434" i="9"/>
  <c r="D465" i="9"/>
  <c r="D494" i="9"/>
  <c r="E73" i="9"/>
  <c r="F73" i="9" s="1"/>
  <c r="E174" i="9"/>
  <c r="F174" i="9" s="1"/>
  <c r="E275" i="9"/>
  <c r="F275" i="9" s="1"/>
  <c r="E366" i="9"/>
  <c r="F366" i="9" s="1"/>
  <c r="E448" i="9"/>
  <c r="F448" i="9" s="1"/>
  <c r="D29" i="9"/>
  <c r="D85" i="9"/>
  <c r="D133" i="9"/>
  <c r="D181" i="9"/>
  <c r="D226" i="9"/>
  <c r="D264" i="9"/>
  <c r="D304" i="9"/>
  <c r="D341" i="9"/>
  <c r="D374" i="9"/>
  <c r="D406" i="9"/>
  <c r="D439" i="9"/>
  <c r="D466" i="9"/>
  <c r="D496" i="9"/>
  <c r="D231" i="9"/>
  <c r="D222" i="9"/>
  <c r="E370" i="9"/>
  <c r="F370" i="9" s="1"/>
  <c r="E321" i="9"/>
  <c r="F321" i="9" s="1"/>
  <c r="E272" i="9"/>
  <c r="F272" i="9" s="1"/>
  <c r="E355" i="9"/>
  <c r="F355" i="9" s="1"/>
  <c r="E352" i="9"/>
  <c r="F352" i="9" s="1"/>
  <c r="D175" i="9"/>
  <c r="D68" i="9"/>
  <c r="E74" i="9"/>
  <c r="F74" i="9" s="1"/>
  <c r="E227" i="9"/>
  <c r="F227" i="9" s="1"/>
  <c r="D90" i="9"/>
  <c r="D3" i="9"/>
  <c r="E165" i="9"/>
  <c r="F165" i="9" s="1"/>
  <c r="E487" i="9"/>
  <c r="F487" i="9" s="1"/>
  <c r="E156" i="9"/>
  <c r="F156" i="9" s="1"/>
  <c r="D80" i="9"/>
  <c r="E306" i="9"/>
  <c r="F306" i="9" s="1"/>
  <c r="E445" i="9"/>
  <c r="F445" i="9" s="1"/>
  <c r="E490" i="9"/>
  <c r="F490" i="9" s="1"/>
  <c r="E297" i="9"/>
  <c r="F297" i="9" s="1"/>
  <c r="E475" i="9"/>
  <c r="F475" i="9" s="1"/>
  <c r="E388" i="9"/>
  <c r="F388" i="9" s="1"/>
  <c r="D55" i="9"/>
  <c r="E229" i="9"/>
  <c r="F229" i="9" s="1"/>
  <c r="D11" i="9"/>
  <c r="E63" i="9"/>
  <c r="F63" i="9" s="1"/>
  <c r="E279" i="9"/>
  <c r="F279" i="9" s="1"/>
  <c r="E473" i="9"/>
  <c r="F473" i="9" s="1"/>
  <c r="D126" i="9"/>
  <c r="D270" i="9"/>
  <c r="D414" i="9"/>
  <c r="E466" i="9"/>
  <c r="F466" i="9" s="1"/>
  <c r="E322" i="9"/>
  <c r="F322" i="9" s="1"/>
  <c r="E178" i="9"/>
  <c r="F178" i="9" s="1"/>
  <c r="E34" i="9"/>
  <c r="F34" i="9" s="1"/>
  <c r="E273" i="9"/>
  <c r="F273" i="9" s="1"/>
  <c r="E129" i="9"/>
  <c r="F129" i="9" s="1"/>
  <c r="E368" i="9"/>
  <c r="F368" i="9" s="1"/>
  <c r="E224" i="9"/>
  <c r="F224" i="9" s="1"/>
  <c r="E80" i="9"/>
  <c r="F80" i="9" s="1"/>
  <c r="E451" i="9"/>
  <c r="F451" i="9" s="1"/>
  <c r="E307" i="9"/>
  <c r="F307" i="9" s="1"/>
  <c r="E163" i="9"/>
  <c r="F163" i="9" s="1"/>
  <c r="E19" i="9"/>
  <c r="F19" i="9" s="1"/>
  <c r="E208" i="9"/>
  <c r="F208" i="9" s="1"/>
  <c r="E417" i="9"/>
  <c r="F417" i="9" s="1"/>
  <c r="D79" i="9"/>
  <c r="D223" i="9"/>
  <c r="E49" i="9"/>
  <c r="F49" i="9" s="1"/>
  <c r="E265" i="9"/>
  <c r="F265" i="9" s="1"/>
  <c r="E461" i="9"/>
  <c r="F461" i="9" s="1"/>
  <c r="D116" i="9"/>
  <c r="D260" i="9"/>
  <c r="E146" i="9"/>
  <c r="F146" i="9" s="1"/>
  <c r="E362" i="9"/>
  <c r="F362" i="9" s="1"/>
  <c r="D37" i="9"/>
  <c r="E416" i="9"/>
  <c r="F416" i="9" s="1"/>
  <c r="D366" i="9"/>
  <c r="E82" i="9"/>
  <c r="F82" i="9" s="1"/>
  <c r="E33" i="9"/>
  <c r="F33" i="9" s="1"/>
  <c r="E499" i="9"/>
  <c r="F499" i="9" s="1"/>
  <c r="E67" i="9"/>
  <c r="F67" i="9" s="1"/>
  <c r="D31" i="9"/>
  <c r="E193" i="9"/>
  <c r="F193" i="9" s="1"/>
  <c r="E482" i="9"/>
  <c r="F482" i="9" s="1"/>
  <c r="E431" i="9"/>
  <c r="F431" i="9" s="1"/>
  <c r="E358" i="9"/>
  <c r="F358" i="9" s="1"/>
  <c r="E309" i="9"/>
  <c r="F309" i="9" s="1"/>
  <c r="E116" i="9"/>
  <c r="F116" i="9" s="1"/>
  <c r="E55" i="9"/>
  <c r="F55" i="9" s="1"/>
  <c r="D43" i="9"/>
  <c r="E209" i="9"/>
  <c r="F209" i="9" s="1"/>
  <c r="E90" i="9"/>
  <c r="F90" i="9" s="1"/>
  <c r="D246" i="9"/>
  <c r="E202" i="9"/>
  <c r="F202" i="9" s="1"/>
  <c r="E9" i="9"/>
  <c r="F9" i="9" s="1"/>
  <c r="E331" i="9"/>
  <c r="F331" i="9" s="1"/>
  <c r="E43" i="9"/>
  <c r="F43" i="9" s="1"/>
  <c r="E13" i="9"/>
  <c r="F13" i="9" s="1"/>
  <c r="E110" i="9"/>
  <c r="F110" i="9" s="1"/>
  <c r="E83" i="9"/>
  <c r="F83" i="9" s="1"/>
  <c r="E299" i="9"/>
  <c r="F299" i="9" s="1"/>
  <c r="E488" i="9"/>
  <c r="F488" i="9" s="1"/>
  <c r="D138" i="9"/>
  <c r="D282" i="9"/>
  <c r="D426" i="9"/>
  <c r="E454" i="9"/>
  <c r="F454" i="9" s="1"/>
  <c r="E310" i="9"/>
  <c r="F310" i="9" s="1"/>
  <c r="E166" i="9"/>
  <c r="F166" i="9" s="1"/>
  <c r="E22" i="9"/>
  <c r="F22" i="9" s="1"/>
  <c r="E261" i="9"/>
  <c r="F261" i="9" s="1"/>
  <c r="E117" i="9"/>
  <c r="F117" i="9" s="1"/>
  <c r="E356" i="9"/>
  <c r="F356" i="9" s="1"/>
  <c r="E212" i="9"/>
  <c r="F212" i="9" s="1"/>
  <c r="E68" i="9"/>
  <c r="F68" i="9" s="1"/>
  <c r="E439" i="9"/>
  <c r="F439" i="9" s="1"/>
  <c r="E295" i="9"/>
  <c r="F295" i="9" s="1"/>
  <c r="E151" i="9"/>
  <c r="F151" i="9" s="1"/>
  <c r="E7" i="9"/>
  <c r="F7" i="9" s="1"/>
  <c r="E228" i="9"/>
  <c r="F228" i="9" s="1"/>
  <c r="E432" i="9"/>
  <c r="F432" i="9" s="1"/>
  <c r="D91" i="9"/>
  <c r="D235" i="9"/>
  <c r="E65" i="9"/>
  <c r="F65" i="9" s="1"/>
  <c r="E281" i="9"/>
  <c r="F281" i="9" s="1"/>
  <c r="E476" i="9"/>
  <c r="F476" i="9" s="1"/>
  <c r="D128" i="9"/>
  <c r="D272" i="9"/>
  <c r="E162" i="9"/>
  <c r="F162" i="9" s="1"/>
  <c r="E378" i="9"/>
  <c r="F378" i="9" s="1"/>
  <c r="D49" i="9"/>
  <c r="D212" i="9"/>
  <c r="E11" i="9"/>
  <c r="F11" i="9" s="1"/>
  <c r="D378" i="9"/>
  <c r="E214" i="9"/>
  <c r="F214" i="9" s="1"/>
  <c r="E260" i="9"/>
  <c r="F260" i="9" s="1"/>
  <c r="E199" i="9"/>
  <c r="F199" i="9" s="1"/>
  <c r="D187" i="9"/>
  <c r="D331" i="9"/>
  <c r="D224" i="9"/>
  <c r="E243" i="9"/>
  <c r="F243" i="9" s="1"/>
  <c r="D390" i="9"/>
  <c r="E58" i="9"/>
  <c r="F58" i="9" s="1"/>
  <c r="E104" i="9"/>
  <c r="F104" i="9" s="1"/>
  <c r="E172" i="9"/>
  <c r="F172" i="9" s="1"/>
  <c r="D199" i="9"/>
  <c r="D92" i="9"/>
  <c r="D236" i="9"/>
  <c r="E99" i="9"/>
  <c r="F99" i="9" s="1"/>
  <c r="E315" i="9"/>
  <c r="F315" i="9" s="1"/>
  <c r="D4" i="9"/>
  <c r="D150" i="9"/>
  <c r="D294" i="9"/>
  <c r="D438" i="9"/>
  <c r="E442" i="9"/>
  <c r="F442" i="9" s="1"/>
  <c r="E298" i="9"/>
  <c r="F298" i="9" s="1"/>
  <c r="E154" i="9"/>
  <c r="F154" i="9" s="1"/>
  <c r="E10" i="9"/>
  <c r="F10" i="9" s="1"/>
  <c r="E249" i="9"/>
  <c r="F249" i="9" s="1"/>
  <c r="E105" i="9"/>
  <c r="F105" i="9" s="1"/>
  <c r="E344" i="9"/>
  <c r="F344" i="9" s="1"/>
  <c r="E200" i="9"/>
  <c r="F200" i="9" s="1"/>
  <c r="E56" i="9"/>
  <c r="F56" i="9" s="1"/>
  <c r="E427" i="9"/>
  <c r="F427" i="9" s="1"/>
  <c r="E283" i="9"/>
  <c r="F283" i="9" s="1"/>
  <c r="E139" i="9"/>
  <c r="F139" i="9" s="1"/>
  <c r="E28" i="9"/>
  <c r="F28" i="9" s="1"/>
  <c r="E244" i="9"/>
  <c r="F244" i="9" s="1"/>
  <c r="E446" i="9"/>
  <c r="F446" i="9" s="1"/>
  <c r="D103" i="9"/>
  <c r="D247" i="9"/>
  <c r="E85" i="9"/>
  <c r="F85" i="9" s="1"/>
  <c r="E301" i="9"/>
  <c r="F301" i="9" s="1"/>
  <c r="E491" i="9"/>
  <c r="F491" i="9" s="1"/>
  <c r="D140" i="9"/>
  <c r="D284" i="9"/>
  <c r="E182" i="9"/>
  <c r="F182" i="9" s="1"/>
  <c r="E396" i="9"/>
  <c r="F396" i="9" s="1"/>
  <c r="E12" i="9"/>
  <c r="F12" i="9" s="1"/>
  <c r="K140" i="14" l="1"/>
  <c r="J130" i="14"/>
  <c r="I166" i="14"/>
  <c r="I158" i="14"/>
  <c r="I144" i="14"/>
  <c r="J166" i="14"/>
  <c r="J158" i="14"/>
  <c r="J144" i="14"/>
  <c r="I140" i="14"/>
  <c r="J37" i="14"/>
  <c r="H425" i="14"/>
  <c r="H92" i="14"/>
  <c r="H244" i="14"/>
  <c r="J244" i="14"/>
  <c r="J418" i="14"/>
  <c r="G418" i="14"/>
  <c r="J86" i="14"/>
  <c r="K296" i="14"/>
  <c r="H218" i="14"/>
  <c r="J453" i="14"/>
  <c r="K384" i="14"/>
  <c r="G218" i="14"/>
  <c r="K224" i="14"/>
  <c r="G487" i="14"/>
  <c r="J487" i="14"/>
  <c r="J402" i="14"/>
  <c r="G384" i="14"/>
  <c r="H418" i="14"/>
  <c r="J433" i="14"/>
  <c r="J469" i="14"/>
  <c r="G469" i="14"/>
  <c r="K469" i="14"/>
  <c r="I28" i="14"/>
  <c r="G28" i="14"/>
  <c r="I296" i="14"/>
  <c r="G453" i="14"/>
  <c r="K160" i="14"/>
  <c r="I237" i="14"/>
  <c r="G250" i="14"/>
  <c r="J484" i="14"/>
  <c r="K248" i="14"/>
  <c r="I198" i="14"/>
  <c r="G208" i="14"/>
  <c r="K250" i="14"/>
  <c r="H484" i="14"/>
  <c r="H248" i="14"/>
  <c r="G198" i="14"/>
  <c r="K92" i="14"/>
  <c r="I238" i="14"/>
  <c r="I484" i="14"/>
  <c r="H291" i="14"/>
  <c r="J160" i="14"/>
  <c r="H158" i="14"/>
  <c r="I438" i="14"/>
  <c r="I232" i="14"/>
  <c r="K22" i="14"/>
  <c r="H222" i="14"/>
  <c r="H438" i="14"/>
  <c r="H59" i="14"/>
  <c r="H136" i="14"/>
  <c r="H322" i="14"/>
  <c r="K138" i="14"/>
  <c r="J175" i="14"/>
  <c r="J59" i="14"/>
  <c r="K136" i="14"/>
  <c r="G68" i="14"/>
  <c r="J429" i="14"/>
  <c r="J217" i="14"/>
  <c r="I68" i="14"/>
  <c r="I433" i="14"/>
  <c r="H12" i="14"/>
  <c r="J336" i="14"/>
  <c r="H73" i="14"/>
  <c r="H70" i="14"/>
  <c r="K86" i="14"/>
  <c r="I175" i="14"/>
  <c r="H445" i="14"/>
  <c r="I59" i="14"/>
  <c r="G55" i="14"/>
  <c r="I136" i="14"/>
  <c r="K192" i="14"/>
  <c r="H144" i="14"/>
  <c r="J438" i="14"/>
  <c r="J192" i="14"/>
  <c r="G158" i="14"/>
  <c r="J222" i="14"/>
  <c r="J304" i="14"/>
  <c r="H22" i="14"/>
  <c r="J12" i="14"/>
  <c r="J51" i="14"/>
  <c r="H175" i="14"/>
  <c r="J445" i="14"/>
  <c r="K59" i="14"/>
  <c r="J136" i="14"/>
  <c r="K68" i="14"/>
  <c r="G12" i="14"/>
  <c r="J73" i="14"/>
  <c r="I86" i="14"/>
  <c r="G175" i="14"/>
  <c r="G445" i="14"/>
  <c r="I55" i="14"/>
  <c r="I22" i="14"/>
  <c r="I160" i="14"/>
  <c r="G166" i="14"/>
  <c r="I23" i="14"/>
  <c r="H304" i="14"/>
  <c r="G296" i="14"/>
  <c r="G22" i="14"/>
  <c r="G144" i="14"/>
  <c r="K166" i="14"/>
  <c r="H109" i="14"/>
  <c r="H140" i="14"/>
  <c r="K441" i="14"/>
  <c r="G86" i="14"/>
  <c r="I445" i="14"/>
  <c r="H28" i="14"/>
  <c r="J140" i="14"/>
  <c r="H51" i="14"/>
  <c r="I441" i="14"/>
  <c r="J220" i="14"/>
  <c r="J28" i="14"/>
  <c r="H296" i="14"/>
  <c r="K29" i="14"/>
  <c r="J282" i="14"/>
  <c r="K51" i="14"/>
  <c r="G189" i="14"/>
  <c r="J109" i="14"/>
  <c r="J55" i="14"/>
  <c r="I222" i="14"/>
  <c r="J232" i="14"/>
  <c r="G109" i="14"/>
  <c r="I37" i="14"/>
  <c r="I220" i="14"/>
  <c r="G118" i="14"/>
  <c r="H224" i="14"/>
  <c r="I109" i="14"/>
  <c r="I342" i="14"/>
  <c r="H204" i="14"/>
  <c r="K271" i="14"/>
  <c r="J248" i="14"/>
  <c r="I224" i="14"/>
  <c r="G373" i="14"/>
  <c r="K204" i="14"/>
  <c r="K232" i="14"/>
  <c r="G100" i="14"/>
  <c r="H384" i="14"/>
  <c r="J199" i="14"/>
  <c r="H271" i="14"/>
  <c r="I12" i="14"/>
  <c r="J138" i="14"/>
  <c r="K73" i="14"/>
  <c r="K222" i="14"/>
  <c r="H232" i="14"/>
  <c r="K55" i="14"/>
  <c r="H402" i="14"/>
  <c r="H138" i="14"/>
  <c r="J342" i="14"/>
  <c r="I73" i="14"/>
  <c r="H160" i="14"/>
  <c r="H220" i="14"/>
  <c r="G51" i="14"/>
  <c r="J346" i="14"/>
  <c r="G220" i="14"/>
  <c r="J257" i="14"/>
  <c r="H421" i="14"/>
  <c r="K110" i="14"/>
  <c r="G202" i="14"/>
  <c r="J468" i="14"/>
  <c r="G29" i="14"/>
  <c r="K95" i="14"/>
  <c r="H495" i="14"/>
  <c r="J23" i="14"/>
  <c r="K314" i="14"/>
  <c r="J421" i="14"/>
  <c r="I171" i="14"/>
  <c r="I131" i="14"/>
  <c r="I363" i="14"/>
  <c r="G314" i="14"/>
  <c r="J68" i="14"/>
  <c r="I138" i="14"/>
  <c r="I29" i="14"/>
  <c r="K218" i="14"/>
  <c r="K358" i="14"/>
  <c r="H23" i="14"/>
  <c r="H29" i="14"/>
  <c r="I118" i="14"/>
  <c r="G149" i="14"/>
  <c r="K23" i="14"/>
  <c r="K35" i="14"/>
  <c r="J35" i="14"/>
  <c r="I325" i="14"/>
  <c r="J405" i="14"/>
  <c r="K257" i="14"/>
  <c r="G91" i="14"/>
  <c r="G472" i="14"/>
  <c r="G248" i="14"/>
  <c r="H53" i="14"/>
  <c r="J314" i="14"/>
  <c r="H189" i="14"/>
  <c r="H461" i="14"/>
  <c r="K413" i="14"/>
  <c r="K472" i="14"/>
  <c r="G494" i="14"/>
  <c r="J149" i="14"/>
  <c r="I314" i="14"/>
  <c r="J204" i="14"/>
  <c r="I204" i="14"/>
  <c r="K79" i="14"/>
  <c r="I414" i="14"/>
  <c r="K386" i="14"/>
  <c r="G74" i="14"/>
  <c r="J91" i="14"/>
  <c r="I154" i="14"/>
  <c r="K370" i="14"/>
  <c r="I334" i="14"/>
  <c r="I79" i="14"/>
  <c r="H414" i="14"/>
  <c r="K100" i="14"/>
  <c r="K111" i="14"/>
  <c r="J343" i="14"/>
  <c r="G342" i="14"/>
  <c r="G370" i="14"/>
  <c r="G79" i="14"/>
  <c r="K342" i="14"/>
  <c r="K88" i="14"/>
  <c r="I91" i="14"/>
  <c r="H399" i="14"/>
  <c r="J198" i="14"/>
  <c r="J396" i="14"/>
  <c r="K145" i="14"/>
  <c r="K461" i="14"/>
  <c r="J309" i="14"/>
  <c r="J413" i="14"/>
  <c r="G69" i="14"/>
  <c r="K93" i="14"/>
  <c r="I119" i="14"/>
  <c r="I367" i="14"/>
  <c r="J416" i="14"/>
  <c r="K200" i="14"/>
  <c r="K205" i="14"/>
  <c r="H396" i="14"/>
  <c r="G309" i="14"/>
  <c r="I413" i="14"/>
  <c r="G298" i="14"/>
  <c r="H215" i="14"/>
  <c r="H154" i="14"/>
  <c r="I309" i="14"/>
  <c r="K131" i="14"/>
  <c r="K334" i="14"/>
  <c r="H298" i="14"/>
  <c r="K215" i="14"/>
  <c r="J125" i="14"/>
  <c r="I419" i="14"/>
  <c r="I444" i="14"/>
  <c r="H416" i="14"/>
  <c r="I194" i="14"/>
  <c r="J131" i="14"/>
  <c r="G112" i="14"/>
  <c r="J334" i="14"/>
  <c r="J212" i="14"/>
  <c r="K416" i="14"/>
  <c r="I298" i="14"/>
  <c r="J215" i="14"/>
  <c r="H439" i="14"/>
  <c r="K396" i="14"/>
  <c r="K52" i="14"/>
  <c r="J491" i="14"/>
  <c r="I213" i="14"/>
  <c r="H180" i="14"/>
  <c r="H195" i="14"/>
  <c r="J301" i="14"/>
  <c r="I353" i="14"/>
  <c r="G366" i="14"/>
  <c r="K154" i="14"/>
  <c r="I416" i="14"/>
  <c r="G131" i="14"/>
  <c r="K112" i="14"/>
  <c r="I391" i="14"/>
  <c r="G334" i="14"/>
  <c r="K298" i="14"/>
  <c r="I215" i="14"/>
  <c r="H427" i="14"/>
  <c r="J389" i="14"/>
  <c r="J208" i="14"/>
  <c r="H212" i="14"/>
  <c r="I200" i="14"/>
  <c r="I396" i="14"/>
  <c r="H491" i="14"/>
  <c r="G213" i="14"/>
  <c r="J180" i="14"/>
  <c r="G195" i="14"/>
  <c r="H301" i="14"/>
  <c r="G353" i="14"/>
  <c r="K366" i="14"/>
  <c r="G110" i="14"/>
  <c r="G65" i="14"/>
  <c r="J83" i="14"/>
  <c r="G186" i="14"/>
  <c r="G427" i="14"/>
  <c r="J386" i="14"/>
  <c r="H208" i="14"/>
  <c r="H302" i="14"/>
  <c r="J354" i="14"/>
  <c r="K164" i="14"/>
  <c r="I180" i="14"/>
  <c r="G301" i="14"/>
  <c r="I270" i="14"/>
  <c r="I107" i="14"/>
  <c r="J337" i="14"/>
  <c r="H257" i="14"/>
  <c r="K455" i="14"/>
  <c r="I233" i="14"/>
  <c r="J117" i="14"/>
  <c r="G52" i="14"/>
  <c r="K180" i="14"/>
  <c r="J419" i="14"/>
  <c r="K302" i="14"/>
  <c r="H354" i="14"/>
  <c r="J164" i="14"/>
  <c r="J380" i="14"/>
  <c r="H8" i="14"/>
  <c r="J116" i="14"/>
  <c r="H83" i="14"/>
  <c r="I337" i="14"/>
  <c r="I455" i="14"/>
  <c r="I494" i="14"/>
  <c r="H117" i="14"/>
  <c r="G145" i="14"/>
  <c r="H405" i="14"/>
  <c r="I100" i="14"/>
  <c r="G329" i="14"/>
  <c r="K213" i="14"/>
  <c r="K301" i="14"/>
  <c r="J270" i="14"/>
  <c r="K233" i="14"/>
  <c r="H419" i="14"/>
  <c r="I302" i="14"/>
  <c r="K211" i="14"/>
  <c r="G354" i="14"/>
  <c r="H164" i="14"/>
  <c r="H380" i="14"/>
  <c r="H88" i="14"/>
  <c r="K8" i="14"/>
  <c r="I476" i="14"/>
  <c r="G337" i="14"/>
  <c r="K494" i="14"/>
  <c r="G200" i="14"/>
  <c r="G107" i="14"/>
  <c r="G419" i="14"/>
  <c r="G480" i="14"/>
  <c r="K354" i="14"/>
  <c r="G447" i="14"/>
  <c r="K411" i="14"/>
  <c r="G88" i="14"/>
  <c r="H20" i="14"/>
  <c r="G476" i="14"/>
  <c r="K337" i="14"/>
  <c r="J494" i="14"/>
  <c r="H361" i="14"/>
  <c r="J302" i="14"/>
  <c r="J97" i="14"/>
  <c r="K480" i="14"/>
  <c r="G97" i="14"/>
  <c r="H125" i="14"/>
  <c r="J444" i="14"/>
  <c r="G151" i="14"/>
  <c r="G411" i="14"/>
  <c r="J88" i="14"/>
  <c r="J93" i="14"/>
  <c r="K361" i="14"/>
  <c r="I151" i="14"/>
  <c r="I117" i="14"/>
  <c r="I93" i="14"/>
  <c r="J488" i="14"/>
  <c r="K425" i="14"/>
  <c r="I425" i="14"/>
  <c r="J425" i="14"/>
  <c r="I454" i="14"/>
  <c r="J454" i="14"/>
  <c r="K454" i="14"/>
  <c r="H454" i="14"/>
  <c r="I428" i="14"/>
  <c r="G428" i="14"/>
  <c r="J428" i="14"/>
  <c r="I470" i="14"/>
  <c r="K470" i="14"/>
  <c r="H470" i="14"/>
  <c r="G470" i="14"/>
  <c r="J470" i="14"/>
  <c r="I356" i="14"/>
  <c r="G356" i="14"/>
  <c r="H356" i="14"/>
  <c r="J356" i="14"/>
  <c r="K356" i="14"/>
  <c r="G490" i="14"/>
  <c r="K428" i="14"/>
  <c r="H363" i="14"/>
  <c r="H242" i="14"/>
  <c r="G481" i="14"/>
  <c r="J481" i="14"/>
  <c r="G450" i="14"/>
  <c r="H450" i="14"/>
  <c r="I450" i="14"/>
  <c r="J450" i="14"/>
  <c r="K450" i="14"/>
  <c r="H11" i="14"/>
  <c r="G11" i="14"/>
  <c r="J11" i="14"/>
  <c r="I11" i="14"/>
  <c r="K11" i="14"/>
  <c r="K446" i="14"/>
  <c r="H446" i="14"/>
  <c r="G181" i="14"/>
  <c r="I181" i="14"/>
  <c r="H181" i="14"/>
  <c r="K181" i="14"/>
  <c r="H101" i="14"/>
  <c r="J358" i="14"/>
  <c r="I481" i="14"/>
  <c r="I446" i="14"/>
  <c r="H428" i="14"/>
  <c r="G454" i="14"/>
  <c r="K137" i="14"/>
  <c r="H137" i="14"/>
  <c r="J137" i="14"/>
  <c r="G137" i="14"/>
  <c r="G499" i="14"/>
  <c r="J499" i="14"/>
  <c r="I456" i="14"/>
  <c r="J456" i="14"/>
  <c r="J10" i="14"/>
  <c r="K10" i="14"/>
  <c r="I10" i="14"/>
  <c r="G10" i="14"/>
  <c r="H10" i="14"/>
  <c r="G363" i="14"/>
  <c r="J363" i="14"/>
  <c r="G436" i="14"/>
  <c r="H436" i="14"/>
  <c r="I436" i="14"/>
  <c r="J436" i="14"/>
  <c r="K436" i="14"/>
  <c r="G206" i="14"/>
  <c r="H206" i="14"/>
  <c r="J206" i="14"/>
  <c r="K206" i="14"/>
  <c r="I206" i="14"/>
  <c r="K242" i="14"/>
  <c r="J242" i="14"/>
  <c r="I242" i="14"/>
  <c r="I392" i="14"/>
  <c r="G392" i="14"/>
  <c r="G150" i="14"/>
  <c r="K150" i="14"/>
  <c r="H150" i="14"/>
  <c r="I150" i="14"/>
  <c r="J150" i="14"/>
  <c r="H48" i="14"/>
  <c r="J48" i="14"/>
  <c r="K48" i="14"/>
  <c r="I48" i="14"/>
  <c r="J229" i="14"/>
  <c r="H229" i="14"/>
  <c r="J451" i="14"/>
  <c r="H451" i="14"/>
  <c r="K451" i="14"/>
  <c r="G451" i="14"/>
  <c r="I451" i="14"/>
  <c r="K499" i="14"/>
  <c r="K458" i="14"/>
  <c r="G458" i="14"/>
  <c r="H9" i="14"/>
  <c r="G9" i="14"/>
  <c r="I9" i="14"/>
  <c r="J9" i="14"/>
  <c r="K9" i="14"/>
  <c r="H458" i="14"/>
  <c r="J392" i="14"/>
  <c r="H69" i="14"/>
  <c r="K69" i="14"/>
  <c r="J69" i="14"/>
  <c r="J490" i="14"/>
  <c r="H490" i="14"/>
  <c r="J328" i="14"/>
  <c r="I328" i="14"/>
  <c r="K328" i="14"/>
  <c r="G328" i="14"/>
  <c r="H328" i="14"/>
  <c r="G226" i="14"/>
  <c r="H226" i="14"/>
  <c r="I226" i="14"/>
  <c r="J226" i="14"/>
  <c r="K226" i="14"/>
  <c r="I101" i="14"/>
  <c r="J101" i="14"/>
  <c r="I276" i="14"/>
  <c r="H276" i="14"/>
  <c r="J276" i="14"/>
  <c r="G276" i="14"/>
  <c r="K276" i="14"/>
  <c r="I443" i="14"/>
  <c r="J443" i="14"/>
  <c r="J236" i="14"/>
  <c r="H236" i="14"/>
  <c r="K236" i="14"/>
  <c r="G236" i="14"/>
  <c r="I236" i="14"/>
  <c r="K289" i="14"/>
  <c r="I289" i="14"/>
  <c r="G289" i="14"/>
  <c r="H289" i="14"/>
  <c r="H434" i="14"/>
  <c r="I434" i="14"/>
  <c r="J434" i="14"/>
  <c r="K434" i="14"/>
  <c r="G434" i="14"/>
  <c r="K223" i="14"/>
  <c r="G223" i="14"/>
  <c r="H223" i="14"/>
  <c r="J223" i="14"/>
  <c r="I223" i="14"/>
  <c r="K171" i="14"/>
  <c r="J171" i="14"/>
  <c r="H171" i="14"/>
  <c r="K388" i="14"/>
  <c r="J388" i="14"/>
  <c r="G388" i="14"/>
  <c r="H388" i="14"/>
  <c r="I388" i="14"/>
  <c r="G431" i="14"/>
  <c r="I431" i="14"/>
  <c r="K431" i="14"/>
  <c r="H431" i="14"/>
  <c r="I365" i="14"/>
  <c r="J365" i="14"/>
  <c r="H365" i="14"/>
  <c r="G452" i="14"/>
  <c r="H452" i="14"/>
  <c r="I452" i="14"/>
  <c r="K452" i="14"/>
  <c r="J452" i="14"/>
  <c r="G101" i="14"/>
  <c r="I137" i="14"/>
  <c r="G365" i="14"/>
  <c r="G229" i="14"/>
  <c r="H392" i="14"/>
  <c r="G456" i="14"/>
  <c r="J431" i="14"/>
  <c r="G446" i="14"/>
  <c r="G443" i="14"/>
  <c r="G273" i="14"/>
  <c r="I273" i="14"/>
  <c r="J273" i="14"/>
  <c r="H273" i="14"/>
  <c r="K273" i="14"/>
  <c r="K132" i="14"/>
  <c r="I132" i="14"/>
  <c r="H132" i="14"/>
  <c r="G132" i="14"/>
  <c r="J132" i="14"/>
  <c r="H358" i="14"/>
  <c r="G358" i="14"/>
  <c r="G102" i="14"/>
  <c r="H102" i="14"/>
  <c r="K102" i="14"/>
  <c r="I102" i="14"/>
  <c r="J102" i="14"/>
  <c r="I499" i="14"/>
  <c r="J458" i="14"/>
  <c r="J181" i="14"/>
  <c r="I458" i="14"/>
  <c r="K229" i="14"/>
  <c r="K392" i="14"/>
  <c r="H456" i="14"/>
  <c r="K490" i="14"/>
  <c r="K481" i="14"/>
  <c r="J446" i="14"/>
  <c r="K443" i="14"/>
  <c r="J482" i="14"/>
  <c r="H81" i="14"/>
  <c r="K408" i="14"/>
  <c r="H426" i="14"/>
  <c r="I211" i="14"/>
  <c r="I111" i="14"/>
  <c r="H238" i="14"/>
  <c r="K245" i="14"/>
  <c r="G81" i="14"/>
  <c r="I403" i="14"/>
  <c r="G129" i="14"/>
  <c r="I408" i="14"/>
  <c r="I469" i="14"/>
  <c r="G211" i="14"/>
  <c r="I92" i="14"/>
  <c r="K5" i="14"/>
  <c r="G238" i="14"/>
  <c r="I195" i="14"/>
  <c r="G402" i="14"/>
  <c r="G237" i="14"/>
  <c r="I487" i="14"/>
  <c r="K447" i="14"/>
  <c r="H444" i="14"/>
  <c r="G154" i="14"/>
  <c r="K418" i="14"/>
  <c r="H91" i="14"/>
  <c r="G37" i="14"/>
  <c r="I245" i="14"/>
  <c r="K482" i="14"/>
  <c r="I8" i="14"/>
  <c r="I370" i="14"/>
  <c r="J384" i="14"/>
  <c r="G495" i="14"/>
  <c r="J218" i="14"/>
  <c r="J200" i="14"/>
  <c r="G257" i="14"/>
  <c r="G403" i="14"/>
  <c r="J79" i="14"/>
  <c r="K118" i="14"/>
  <c r="G414" i="14"/>
  <c r="K378" i="14"/>
  <c r="I149" i="14"/>
  <c r="I35" i="14"/>
  <c r="G224" i="14"/>
  <c r="H119" i="14"/>
  <c r="H401" i="14"/>
  <c r="I386" i="14"/>
  <c r="K189" i="14"/>
  <c r="K255" i="14"/>
  <c r="J403" i="14"/>
  <c r="H378" i="14"/>
  <c r="I129" i="14"/>
  <c r="G194" i="14"/>
  <c r="K199" i="14"/>
  <c r="J195" i="14"/>
  <c r="H237" i="14"/>
  <c r="G444" i="14"/>
  <c r="H482" i="14"/>
  <c r="J370" i="14"/>
  <c r="I495" i="14"/>
  <c r="G378" i="14"/>
  <c r="G426" i="14"/>
  <c r="G92" i="14"/>
  <c r="I5" i="14"/>
  <c r="K238" i="14"/>
  <c r="H270" i="14"/>
  <c r="I447" i="14"/>
  <c r="J411" i="14"/>
  <c r="H35" i="14"/>
  <c r="K37" i="14"/>
  <c r="H413" i="14"/>
  <c r="G401" i="14"/>
  <c r="I189" i="14"/>
  <c r="I255" i="14"/>
  <c r="H112" i="14"/>
  <c r="K151" i="14"/>
  <c r="H74" i="14"/>
  <c r="H468" i="14"/>
  <c r="H309" i="14"/>
  <c r="K108" i="14"/>
  <c r="G271" i="14"/>
  <c r="I62" i="14"/>
  <c r="J260" i="14"/>
  <c r="K362" i="14"/>
  <c r="J53" i="14"/>
  <c r="I307" i="14"/>
  <c r="G117" i="14"/>
  <c r="H453" i="14"/>
  <c r="J74" i="14"/>
  <c r="J111" i="14"/>
  <c r="H194" i="14"/>
  <c r="H199" i="14"/>
  <c r="G244" i="14"/>
  <c r="H353" i="14"/>
  <c r="I250" i="14"/>
  <c r="I375" i="14"/>
  <c r="G484" i="14"/>
  <c r="H391" i="14"/>
  <c r="I472" i="14"/>
  <c r="J271" i="14"/>
  <c r="H62" i="14"/>
  <c r="G247" i="14"/>
  <c r="I260" i="14"/>
  <c r="H382" i="14"/>
  <c r="I362" i="14"/>
  <c r="H129" i="14"/>
  <c r="K53" i="14"/>
  <c r="J408" i="14"/>
  <c r="I426" i="14"/>
  <c r="K208" i="14"/>
  <c r="J307" i="14"/>
  <c r="K382" i="14"/>
  <c r="K453" i="14"/>
  <c r="J211" i="14"/>
  <c r="K74" i="14"/>
  <c r="H111" i="14"/>
  <c r="K194" i="14"/>
  <c r="I199" i="14"/>
  <c r="K244" i="14"/>
  <c r="I402" i="14"/>
  <c r="J237" i="14"/>
  <c r="H487" i="14"/>
  <c r="J353" i="14"/>
  <c r="J366" i="14"/>
  <c r="J250" i="14"/>
  <c r="G375" i="14"/>
  <c r="I482" i="14"/>
  <c r="J391" i="14"/>
  <c r="K495" i="14"/>
  <c r="G62" i="14"/>
  <c r="H118" i="14"/>
  <c r="J414" i="14"/>
  <c r="G362" i="14"/>
  <c r="J129" i="14"/>
  <c r="I53" i="14"/>
  <c r="G408" i="14"/>
  <c r="K426" i="14"/>
  <c r="J62" i="14"/>
  <c r="J472" i="14"/>
  <c r="H366" i="14"/>
  <c r="K375" i="14"/>
  <c r="J8" i="14"/>
  <c r="K391" i="14"/>
  <c r="J81" i="14"/>
  <c r="K403" i="14"/>
  <c r="H478" i="14"/>
  <c r="H386" i="14"/>
  <c r="H108" i="14"/>
  <c r="H400" i="14"/>
  <c r="K429" i="14"/>
  <c r="K125" i="14"/>
  <c r="J375" i="14"/>
  <c r="J235" i="14"/>
  <c r="I217" i="14"/>
  <c r="G282" i="14"/>
  <c r="J185" i="14"/>
  <c r="H1" i="14"/>
  <c r="K130" i="14"/>
  <c r="J361" i="14"/>
  <c r="G255" i="14"/>
  <c r="H235" i="14"/>
  <c r="J1" i="14"/>
  <c r="G212" i="14"/>
  <c r="K167" i="14"/>
  <c r="I429" i="14"/>
  <c r="G125" i="14"/>
  <c r="I421" i="14"/>
  <c r="K212" i="14"/>
  <c r="I380" i="14"/>
  <c r="K235" i="14"/>
  <c r="G217" i="14"/>
  <c r="K70" i="14"/>
  <c r="G116" i="14"/>
  <c r="J56" i="14"/>
  <c r="I282" i="14"/>
  <c r="H185" i="14"/>
  <c r="G93" i="14"/>
  <c r="H260" i="14"/>
  <c r="K324" i="14"/>
  <c r="J478" i="14"/>
  <c r="K1" i="14"/>
  <c r="I361" i="14"/>
  <c r="G63" i="14"/>
  <c r="G417" i="14"/>
  <c r="H429" i="14"/>
  <c r="G157" i="14"/>
  <c r="K217" i="14"/>
  <c r="I235" i="14"/>
  <c r="G70" i="14"/>
  <c r="I324" i="14"/>
  <c r="J167" i="14"/>
  <c r="H433" i="14"/>
  <c r="K491" i="14"/>
  <c r="G164" i="14"/>
  <c r="G421" i="14"/>
  <c r="J7" i="14"/>
  <c r="H343" i="14"/>
  <c r="G270" i="14"/>
  <c r="J447" i="14"/>
  <c r="I377" i="14"/>
  <c r="K72" i="14"/>
  <c r="G380" i="14"/>
  <c r="H183" i="14"/>
  <c r="J202" i="14"/>
  <c r="I70" i="14"/>
  <c r="H116" i="14"/>
  <c r="J406" i="14"/>
  <c r="K185" i="14"/>
  <c r="G324" i="14"/>
  <c r="K478" i="14"/>
  <c r="H488" i="14"/>
  <c r="J205" i="14"/>
  <c r="J128" i="14"/>
  <c r="I63" i="14"/>
  <c r="J439" i="14"/>
  <c r="I83" i="14"/>
  <c r="G130" i="14"/>
  <c r="G167" i="14"/>
  <c r="G185" i="14"/>
  <c r="K63" i="14"/>
  <c r="I97" i="14"/>
  <c r="I167" i="14"/>
  <c r="H394" i="14"/>
  <c r="G433" i="14"/>
  <c r="I491" i="14"/>
  <c r="H7" i="14"/>
  <c r="G343" i="14"/>
  <c r="I72" i="14"/>
  <c r="K183" i="14"/>
  <c r="I202" i="14"/>
  <c r="J256" i="14"/>
  <c r="J340" i="14"/>
  <c r="K116" i="14"/>
  <c r="H406" i="14"/>
  <c r="H30" i="14"/>
  <c r="H387" i="14"/>
  <c r="I478" i="14"/>
  <c r="K488" i="14"/>
  <c r="I205" i="14"/>
  <c r="H128" i="14"/>
  <c r="K439" i="14"/>
  <c r="G83" i="14"/>
  <c r="J394" i="14"/>
  <c r="J329" i="14"/>
  <c r="K7" i="14"/>
  <c r="K343" i="14"/>
  <c r="G72" i="14"/>
  <c r="J379" i="14"/>
  <c r="J183" i="14"/>
  <c r="H202" i="14"/>
  <c r="H256" i="14"/>
  <c r="G84" i="14"/>
  <c r="K340" i="14"/>
  <c r="H56" i="14"/>
  <c r="I496" i="14"/>
  <c r="J387" i="14"/>
  <c r="I488" i="14"/>
  <c r="J233" i="14"/>
  <c r="H489" i="14"/>
  <c r="H205" i="14"/>
  <c r="G128" i="14"/>
  <c r="H279" i="14"/>
  <c r="I439" i="14"/>
  <c r="H282" i="14"/>
  <c r="J63" i="14"/>
  <c r="G1" i="14"/>
  <c r="K97" i="14"/>
  <c r="H5" i="14"/>
  <c r="K266" i="14"/>
  <c r="K394" i="14"/>
  <c r="J417" i="14"/>
  <c r="H329" i="14"/>
  <c r="I7" i="14"/>
  <c r="J110" i="14"/>
  <c r="G379" i="14"/>
  <c r="I183" i="14"/>
  <c r="K256" i="14"/>
  <c r="K84" i="14"/>
  <c r="H340" i="14"/>
  <c r="K400" i="14"/>
  <c r="I20" i="14"/>
  <c r="H65" i="14"/>
  <c r="J186" i="14"/>
  <c r="I56" i="14"/>
  <c r="H247" i="14"/>
  <c r="G387" i="14"/>
  <c r="J489" i="14"/>
  <c r="K128" i="14"/>
  <c r="J279" i="14"/>
  <c r="J367" i="14"/>
  <c r="H432" i="14"/>
  <c r="J100" i="14"/>
  <c r="J266" i="14"/>
  <c r="I394" i="14"/>
  <c r="H417" i="14"/>
  <c r="K329" i="14"/>
  <c r="H213" i="14"/>
  <c r="H151" i="14"/>
  <c r="H110" i="14"/>
  <c r="K379" i="14"/>
  <c r="J107" i="14"/>
  <c r="G256" i="14"/>
  <c r="K65" i="14"/>
  <c r="I84" i="14"/>
  <c r="G340" i="14"/>
  <c r="G177" i="14"/>
  <c r="I400" i="14"/>
  <c r="K20" i="14"/>
  <c r="H186" i="14"/>
  <c r="G56" i="14"/>
  <c r="J247" i="14"/>
  <c r="K387" i="14"/>
  <c r="I489" i="14"/>
  <c r="G119" i="14"/>
  <c r="I30" i="14"/>
  <c r="I279" i="14"/>
  <c r="K367" i="14"/>
  <c r="G432" i="14"/>
  <c r="I266" i="14"/>
  <c r="G5" i="14"/>
  <c r="K417" i="14"/>
  <c r="I379" i="14"/>
  <c r="J80" i="14"/>
  <c r="K107" i="14"/>
  <c r="I65" i="14"/>
  <c r="J20" i="14"/>
  <c r="K177" i="14"/>
  <c r="J400" i="14"/>
  <c r="I186" i="14"/>
  <c r="K247" i="14"/>
  <c r="H233" i="14"/>
  <c r="G489" i="14"/>
  <c r="I130" i="14"/>
  <c r="K119" i="14"/>
  <c r="G30" i="14"/>
  <c r="K277" i="14"/>
  <c r="G279" i="14"/>
  <c r="H367" i="14"/>
  <c r="K432" i="14"/>
  <c r="H362" i="14"/>
  <c r="J72" i="14"/>
  <c r="K307" i="14"/>
  <c r="K30" i="14"/>
  <c r="J277" i="14"/>
  <c r="I432" i="14"/>
  <c r="H255" i="14"/>
  <c r="H336" i="14"/>
  <c r="I95" i="14"/>
  <c r="K373" i="14"/>
  <c r="I192" i="14"/>
  <c r="G322" i="14"/>
  <c r="G336" i="14"/>
  <c r="G441" i="14"/>
  <c r="H297" i="14"/>
  <c r="I304" i="14"/>
  <c r="J187" i="14"/>
  <c r="J371" i="14"/>
  <c r="K291" i="14"/>
  <c r="J297" i="14"/>
  <c r="G277" i="14"/>
  <c r="H89" i="14"/>
  <c r="I336" i="14"/>
  <c r="K406" i="14"/>
  <c r="J207" i="14"/>
  <c r="H42" i="14"/>
  <c r="I277" i="14"/>
  <c r="I89" i="14"/>
  <c r="H50" i="14"/>
  <c r="H207" i="14"/>
  <c r="G307" i="14"/>
  <c r="H339" i="14"/>
  <c r="G389" i="14"/>
  <c r="I52" i="14"/>
  <c r="G468" i="14"/>
  <c r="J145" i="14"/>
  <c r="K405" i="14"/>
  <c r="G89" i="14"/>
  <c r="J103" i="14"/>
  <c r="I187" i="14"/>
  <c r="I371" i="14"/>
  <c r="J461" i="14"/>
  <c r="H377" i="14"/>
  <c r="K42" i="14"/>
  <c r="G80" i="14"/>
  <c r="J245" i="14"/>
  <c r="J265" i="14"/>
  <c r="K254" i="14"/>
  <c r="I81" i="14"/>
  <c r="G399" i="14"/>
  <c r="H476" i="14"/>
  <c r="G406" i="14"/>
  <c r="J455" i="14"/>
  <c r="G103" i="14"/>
  <c r="I297" i="14"/>
  <c r="G382" i="14"/>
  <c r="H149" i="14"/>
  <c r="G207" i="14"/>
  <c r="H14" i="14"/>
  <c r="I285" i="14"/>
  <c r="K339" i="14"/>
  <c r="K401" i="14"/>
  <c r="H389" i="14"/>
  <c r="I346" i="14"/>
  <c r="I291" i="14"/>
  <c r="G95" i="14"/>
  <c r="G346" i="14"/>
  <c r="G192" i="14"/>
  <c r="H266" i="14"/>
  <c r="H371" i="14"/>
  <c r="H80" i="14"/>
  <c r="G297" i="14"/>
  <c r="H285" i="14"/>
  <c r="K371" i="14"/>
  <c r="I80" i="14"/>
  <c r="K399" i="14"/>
  <c r="J480" i="14"/>
  <c r="K468" i="14"/>
  <c r="H145" i="14"/>
  <c r="I405" i="14"/>
  <c r="K89" i="14"/>
  <c r="K187" i="14"/>
  <c r="J179" i="14"/>
  <c r="I461" i="14"/>
  <c r="J377" i="14"/>
  <c r="I108" i="14"/>
  <c r="I42" i="14"/>
  <c r="H245" i="14"/>
  <c r="H265" i="14"/>
  <c r="J84" i="14"/>
  <c r="H254" i="14"/>
  <c r="J177" i="14"/>
  <c r="J399" i="14"/>
  <c r="J476" i="14"/>
  <c r="H455" i="14"/>
  <c r="G50" i="14"/>
  <c r="K496" i="14"/>
  <c r="K103" i="14"/>
  <c r="H415" i="14"/>
  <c r="J382" i="14"/>
  <c r="K207" i="14"/>
  <c r="G14" i="14"/>
  <c r="G285" i="14"/>
  <c r="I339" i="14"/>
  <c r="J272" i="14"/>
  <c r="J401" i="14"/>
  <c r="K389" i="14"/>
  <c r="H346" i="14"/>
  <c r="H187" i="14"/>
  <c r="I103" i="14"/>
  <c r="J285" i="14"/>
  <c r="H480" i="14"/>
  <c r="J112" i="14"/>
  <c r="H179" i="14"/>
  <c r="K377" i="14"/>
  <c r="G108" i="14"/>
  <c r="I157" i="14"/>
  <c r="H411" i="14"/>
  <c r="G42" i="14"/>
  <c r="K265" i="14"/>
  <c r="J254" i="14"/>
  <c r="J50" i="14"/>
  <c r="H177" i="14"/>
  <c r="K50" i="14"/>
  <c r="J496" i="14"/>
  <c r="J415" i="14"/>
  <c r="J427" i="14"/>
  <c r="J14" i="14"/>
  <c r="G339" i="14"/>
  <c r="K272" i="14"/>
  <c r="J325" i="14"/>
  <c r="H198" i="14"/>
  <c r="K179" i="14"/>
  <c r="H157" i="14"/>
  <c r="I265" i="14"/>
  <c r="I254" i="14"/>
  <c r="J373" i="14"/>
  <c r="K415" i="14"/>
  <c r="K14" i="14"/>
  <c r="I272" i="14"/>
  <c r="G325" i="14"/>
  <c r="H441" i="14"/>
  <c r="H373" i="14"/>
  <c r="G496" i="14"/>
  <c r="K260" i="14"/>
  <c r="I415" i="14"/>
  <c r="J324" i="14"/>
  <c r="J378" i="14"/>
  <c r="K427" i="14"/>
  <c r="H272" i="14"/>
  <c r="G304" i="14"/>
  <c r="H325" i="14"/>
  <c r="J322" i="14"/>
  <c r="G291" i="14"/>
  <c r="K322" i="14"/>
  <c r="I179" i="14"/>
  <c r="K157" i="14"/>
  <c r="J95" i="14"/>
  <c r="J52" i="14"/>
  <c r="G114" i="14"/>
  <c r="I114" i="14"/>
  <c r="K114" i="14"/>
  <c r="H114" i="14"/>
  <c r="J114" i="14"/>
  <c r="G259" i="14"/>
  <c r="K259" i="14"/>
  <c r="I259" i="14"/>
  <c r="H259" i="14"/>
  <c r="J259" i="14"/>
  <c r="K25" i="14"/>
  <c r="G25" i="14"/>
  <c r="I25" i="14"/>
  <c r="H25" i="14"/>
  <c r="J25" i="14"/>
  <c r="G393" i="14"/>
  <c r="I393" i="14"/>
  <c r="K393" i="14"/>
  <c r="H393" i="14"/>
  <c r="J393" i="14"/>
  <c r="K33" i="14"/>
  <c r="G33" i="14"/>
  <c r="I33" i="14"/>
  <c r="H33" i="14"/>
  <c r="J33" i="14"/>
  <c r="G404" i="14"/>
  <c r="I404" i="14"/>
  <c r="K404" i="14"/>
  <c r="H404" i="14"/>
  <c r="J404" i="14"/>
  <c r="G209" i="14"/>
  <c r="I209" i="14"/>
  <c r="K209" i="14"/>
  <c r="J209" i="14"/>
  <c r="H209" i="14"/>
  <c r="G437" i="14"/>
  <c r="H437" i="14"/>
  <c r="I437" i="14"/>
  <c r="K437" i="14"/>
  <c r="J437" i="14"/>
  <c r="G124" i="14"/>
  <c r="I124" i="14"/>
  <c r="K124" i="14"/>
  <c r="J124" i="14"/>
  <c r="H124" i="14"/>
  <c r="G85" i="14"/>
  <c r="K85" i="14"/>
  <c r="I85" i="14"/>
  <c r="H85" i="14"/>
  <c r="J85" i="14"/>
  <c r="G475" i="14"/>
  <c r="I475" i="14"/>
  <c r="K475" i="14"/>
  <c r="J475" i="14"/>
  <c r="H475" i="14"/>
  <c r="K203" i="14"/>
  <c r="J203" i="14"/>
  <c r="G203" i="14"/>
  <c r="H203" i="14"/>
  <c r="I203" i="14"/>
  <c r="G45" i="14"/>
  <c r="I45" i="14"/>
  <c r="K45" i="14"/>
  <c r="H45" i="14"/>
  <c r="J45" i="14"/>
  <c r="K294" i="14"/>
  <c r="G294" i="14"/>
  <c r="H294" i="14"/>
  <c r="I294" i="14"/>
  <c r="J294" i="14"/>
  <c r="G493" i="14"/>
  <c r="H493" i="14"/>
  <c r="I493" i="14"/>
  <c r="J493" i="14"/>
  <c r="K493" i="14"/>
  <c r="I176" i="14"/>
  <c r="K176" i="14"/>
  <c r="G176" i="14"/>
  <c r="J176" i="14"/>
  <c r="H176" i="14"/>
  <c r="K46" i="14"/>
  <c r="G46" i="14"/>
  <c r="I46" i="14"/>
  <c r="H46" i="14"/>
  <c r="J46" i="14"/>
  <c r="G368" i="14"/>
  <c r="H368" i="14"/>
  <c r="K368" i="14"/>
  <c r="J368" i="14"/>
  <c r="I368" i="14"/>
  <c r="K397" i="14"/>
  <c r="G397" i="14"/>
  <c r="H397" i="14"/>
  <c r="I397" i="14"/>
  <c r="J397" i="14"/>
  <c r="K38" i="14"/>
  <c r="I38" i="14"/>
  <c r="G38" i="14"/>
  <c r="H38" i="14"/>
  <c r="J38" i="14"/>
  <c r="G49" i="14"/>
  <c r="K49" i="14"/>
  <c r="I49" i="14"/>
  <c r="H49" i="14"/>
  <c r="J49" i="14"/>
  <c r="G67" i="14"/>
  <c r="I67" i="14"/>
  <c r="K67" i="14"/>
  <c r="J67" i="14"/>
  <c r="H67" i="14"/>
  <c r="G24" i="14"/>
  <c r="K24" i="14"/>
  <c r="I24" i="14"/>
  <c r="H24" i="14"/>
  <c r="J24" i="14"/>
  <c r="I319" i="14"/>
  <c r="J319" i="14"/>
  <c r="K319" i="14"/>
  <c r="G319" i="14"/>
  <c r="H319" i="14"/>
  <c r="I188" i="14"/>
  <c r="G188" i="14"/>
  <c r="K188" i="14"/>
  <c r="H188" i="14"/>
  <c r="J188" i="14"/>
  <c r="K168" i="14"/>
  <c r="G168" i="14"/>
  <c r="I168" i="14"/>
  <c r="H168" i="14"/>
  <c r="J168" i="14"/>
  <c r="K31" i="14"/>
  <c r="I31" i="14"/>
  <c r="G31" i="14"/>
  <c r="J31" i="14"/>
  <c r="H31" i="14"/>
  <c r="G462" i="14"/>
  <c r="H462" i="14"/>
  <c r="I462" i="14"/>
  <c r="J462" i="14"/>
  <c r="K462" i="14"/>
  <c r="G341" i="14"/>
  <c r="I341" i="14"/>
  <c r="K341" i="14"/>
  <c r="H341" i="14"/>
  <c r="J341" i="14"/>
  <c r="G99" i="14"/>
  <c r="I99" i="14"/>
  <c r="K99" i="14"/>
  <c r="H99" i="14"/>
  <c r="J99" i="14"/>
  <c r="I355" i="14"/>
  <c r="K355" i="14"/>
  <c r="G355" i="14"/>
  <c r="H355" i="14"/>
  <c r="J355" i="14"/>
  <c r="G106" i="14"/>
  <c r="K106" i="14"/>
  <c r="I106" i="14"/>
  <c r="H106" i="14"/>
  <c r="J106" i="14"/>
  <c r="G369" i="14"/>
  <c r="I369" i="14"/>
  <c r="J369" i="14"/>
  <c r="K369" i="14"/>
  <c r="H369" i="14"/>
  <c r="K98" i="14"/>
  <c r="G98" i="14"/>
  <c r="I98" i="14"/>
  <c r="H98" i="14"/>
  <c r="J98" i="14"/>
  <c r="G60" i="14"/>
  <c r="I60" i="14"/>
  <c r="K60" i="14"/>
  <c r="H60" i="14"/>
  <c r="J60" i="14"/>
  <c r="I376" i="14"/>
  <c r="G376" i="14"/>
  <c r="H376" i="14"/>
  <c r="K376" i="14"/>
  <c r="J376" i="14"/>
  <c r="G243" i="14"/>
  <c r="I243" i="14"/>
  <c r="J243" i="14"/>
  <c r="K243" i="14"/>
  <c r="H243" i="14"/>
  <c r="G27" i="14"/>
  <c r="K27" i="14"/>
  <c r="I27" i="14"/>
  <c r="H27" i="14"/>
  <c r="J27" i="14"/>
  <c r="G412" i="14"/>
  <c r="K412" i="14"/>
  <c r="H412" i="14"/>
  <c r="I412" i="14"/>
  <c r="J412" i="14"/>
  <c r="K241" i="14"/>
  <c r="G241" i="14"/>
  <c r="H241" i="14"/>
  <c r="I241" i="14"/>
  <c r="J241" i="14"/>
  <c r="G123" i="14"/>
  <c r="I123" i="14"/>
  <c r="K123" i="14"/>
  <c r="H123" i="14"/>
  <c r="J123" i="14"/>
  <c r="G474" i="14"/>
  <c r="H474" i="14"/>
  <c r="J474" i="14"/>
  <c r="K474" i="14"/>
  <c r="I474" i="14"/>
  <c r="G311" i="14"/>
  <c r="H311" i="14"/>
  <c r="K311" i="14"/>
  <c r="I311" i="14"/>
  <c r="J311" i="14"/>
  <c r="G47" i="14"/>
  <c r="I47" i="14"/>
  <c r="K47" i="14"/>
  <c r="J47" i="14"/>
  <c r="H47" i="14"/>
  <c r="G333" i="14"/>
  <c r="J333" i="14"/>
  <c r="H333" i="14"/>
  <c r="I333" i="14"/>
  <c r="K333" i="14"/>
  <c r="G442" i="14"/>
  <c r="I442" i="14"/>
  <c r="K442" i="14"/>
  <c r="H442" i="14"/>
  <c r="J442" i="14"/>
  <c r="I173" i="14"/>
  <c r="G173" i="14"/>
  <c r="H173" i="14"/>
  <c r="K173" i="14"/>
  <c r="J173" i="14"/>
  <c r="G113" i="14"/>
  <c r="I113" i="14"/>
  <c r="K113" i="14"/>
  <c r="J113" i="14"/>
  <c r="H113" i="14"/>
  <c r="G317" i="14"/>
  <c r="I317" i="14"/>
  <c r="K317" i="14"/>
  <c r="J317" i="14"/>
  <c r="H317" i="14"/>
  <c r="I82" i="14"/>
  <c r="K82" i="14"/>
  <c r="G82" i="14"/>
  <c r="J82" i="14"/>
  <c r="H82" i="14"/>
  <c r="G44" i="14"/>
  <c r="I44" i="14"/>
  <c r="K44" i="14"/>
  <c r="H44" i="14"/>
  <c r="J44" i="14"/>
  <c r="K214" i="14"/>
  <c r="I214" i="14"/>
  <c r="J214" i="14"/>
  <c r="G214" i="14"/>
  <c r="H214" i="14"/>
  <c r="G3" i="14"/>
  <c r="K3" i="14"/>
  <c r="I3" i="14"/>
  <c r="H3" i="14"/>
  <c r="J3" i="14"/>
  <c r="I497" i="14"/>
  <c r="K497" i="14"/>
  <c r="G497" i="14"/>
  <c r="H497" i="14"/>
  <c r="J497" i="14"/>
  <c r="G170" i="14"/>
  <c r="H170" i="14"/>
  <c r="I170" i="14"/>
  <c r="J170" i="14"/>
  <c r="K170" i="14"/>
  <c r="G174" i="14"/>
  <c r="K174" i="14"/>
  <c r="H174" i="14"/>
  <c r="I174" i="14"/>
  <c r="J174" i="14"/>
  <c r="I120" i="14"/>
  <c r="G120" i="14"/>
  <c r="H120" i="14"/>
  <c r="J120" i="14"/>
  <c r="K120" i="14"/>
  <c r="G216" i="14"/>
  <c r="I216" i="14"/>
  <c r="J216" i="14"/>
  <c r="K216" i="14"/>
  <c r="H216" i="14"/>
  <c r="J423" i="14"/>
  <c r="G423" i="14"/>
  <c r="H423" i="14"/>
  <c r="I423" i="14"/>
  <c r="K423" i="14"/>
  <c r="I75" i="14"/>
  <c r="K75" i="14"/>
  <c r="G75" i="14"/>
  <c r="J75" i="14"/>
  <c r="H75" i="14"/>
  <c r="K34" i="14"/>
  <c r="G34" i="14"/>
  <c r="I34" i="14"/>
  <c r="J34" i="14"/>
  <c r="H34" i="14"/>
  <c r="G449" i="14"/>
  <c r="K449" i="14"/>
  <c r="I449" i="14"/>
  <c r="H449" i="14"/>
  <c r="J449" i="14"/>
  <c r="G126" i="14"/>
  <c r="I126" i="14"/>
  <c r="K126" i="14"/>
  <c r="H126" i="14"/>
  <c r="J126" i="14"/>
  <c r="J251" i="14"/>
  <c r="K251" i="14"/>
  <c r="G251" i="14"/>
  <c r="H251" i="14"/>
  <c r="I251" i="14"/>
  <c r="I332" i="14"/>
  <c r="H332" i="14"/>
  <c r="J332" i="14"/>
  <c r="K332" i="14"/>
  <c r="G332" i="14"/>
  <c r="G383" i="14"/>
  <c r="I383" i="14"/>
  <c r="J383" i="14"/>
  <c r="K383" i="14"/>
  <c r="H383" i="14"/>
  <c r="G465" i="14"/>
  <c r="I465" i="14"/>
  <c r="K465" i="14"/>
  <c r="J465" i="14"/>
  <c r="H465" i="14"/>
  <c r="G485" i="14"/>
  <c r="K485" i="14"/>
  <c r="H485" i="14"/>
  <c r="I485" i="14"/>
  <c r="J485" i="14"/>
  <c r="K163" i="14"/>
  <c r="G163" i="14"/>
  <c r="I163" i="14"/>
  <c r="J163" i="14"/>
  <c r="H163" i="14"/>
  <c r="G36" i="14"/>
  <c r="K36" i="14"/>
  <c r="I36" i="14"/>
  <c r="J36" i="14"/>
  <c r="H36" i="14"/>
  <c r="G156" i="14"/>
  <c r="I156" i="14"/>
  <c r="K156" i="14"/>
  <c r="H156" i="14"/>
  <c r="J156" i="14"/>
  <c r="K54" i="14"/>
  <c r="G54" i="14"/>
  <c r="H54" i="14"/>
  <c r="J54" i="14"/>
  <c r="I54" i="14"/>
  <c r="G4" i="14"/>
  <c r="I4" i="14"/>
  <c r="K4" i="14"/>
  <c r="J4" i="14"/>
  <c r="H4" i="14"/>
  <c r="J274" i="14"/>
  <c r="K274" i="14"/>
  <c r="I274" i="14"/>
  <c r="H274" i="14"/>
  <c r="G274" i="14"/>
  <c r="K228" i="14"/>
  <c r="G228" i="14"/>
  <c r="I228" i="14"/>
  <c r="H228" i="14"/>
  <c r="J228" i="14"/>
  <c r="K178" i="14"/>
  <c r="G178" i="14"/>
  <c r="H178" i="14"/>
  <c r="I178" i="14"/>
  <c r="J178" i="14"/>
  <c r="G287" i="14"/>
  <c r="K287" i="14"/>
  <c r="I287" i="14"/>
  <c r="H287" i="14"/>
  <c r="J287" i="14"/>
  <c r="G261" i="14"/>
  <c r="I261" i="14"/>
  <c r="K261" i="14"/>
  <c r="J261" i="14"/>
  <c r="H261" i="14"/>
  <c r="J460" i="14"/>
  <c r="G460" i="14"/>
  <c r="K460" i="14"/>
  <c r="H460" i="14"/>
  <c r="I460" i="14"/>
  <c r="I96" i="14"/>
  <c r="K96" i="14"/>
  <c r="G96" i="14"/>
  <c r="J96" i="14"/>
  <c r="H96" i="14"/>
  <c r="G483" i="14"/>
  <c r="I483" i="14"/>
  <c r="K483" i="14"/>
  <c r="J483" i="14"/>
  <c r="H483" i="14"/>
  <c r="K139" i="14"/>
  <c r="I139" i="14"/>
  <c r="G139" i="14"/>
  <c r="H139" i="14"/>
  <c r="J139" i="14"/>
  <c r="K327" i="14"/>
  <c r="G327" i="14"/>
  <c r="I327" i="14"/>
  <c r="J327" i="14"/>
  <c r="H327" i="14"/>
  <c r="K357" i="14"/>
  <c r="G357" i="14"/>
  <c r="H357" i="14"/>
  <c r="I357" i="14"/>
  <c r="J357" i="14"/>
  <c r="G230" i="14"/>
  <c r="H230" i="14"/>
  <c r="I230" i="14"/>
  <c r="J230" i="14"/>
  <c r="K230" i="14"/>
  <c r="G18" i="14"/>
  <c r="I18" i="14"/>
  <c r="K18" i="14"/>
  <c r="H18" i="14"/>
  <c r="J18" i="14"/>
  <c r="K422" i="14"/>
  <c r="J422" i="14"/>
  <c r="G422" i="14"/>
  <c r="H422" i="14"/>
  <c r="I422" i="14"/>
  <c r="G312" i="14"/>
  <c r="I312" i="14"/>
  <c r="K312" i="14"/>
  <c r="H312" i="14"/>
  <c r="J312" i="14"/>
  <c r="G182" i="14"/>
  <c r="I182" i="14"/>
  <c r="J182" i="14"/>
  <c r="H182" i="14"/>
  <c r="K182" i="14"/>
  <c r="K13" i="14"/>
  <c r="G13" i="14"/>
  <c r="I13" i="14"/>
  <c r="H13" i="14"/>
  <c r="J13" i="14"/>
  <c r="K410" i="14"/>
  <c r="G410" i="14"/>
  <c r="H410" i="14"/>
  <c r="J410" i="14"/>
  <c r="I410" i="14"/>
  <c r="G165" i="14"/>
  <c r="K165" i="14"/>
  <c r="I165" i="14"/>
  <c r="H165" i="14"/>
  <c r="J165" i="14"/>
  <c r="G290" i="14"/>
  <c r="I290" i="14"/>
  <c r="K290" i="14"/>
  <c r="J290" i="14"/>
  <c r="H290" i="14"/>
  <c r="H240" i="14"/>
  <c r="I240" i="14"/>
  <c r="G240" i="14"/>
  <c r="K240" i="14"/>
  <c r="J240" i="14"/>
  <c r="G16" i="14"/>
  <c r="K16" i="14"/>
  <c r="I16" i="14"/>
  <c r="H16" i="14"/>
  <c r="J16" i="14"/>
  <c r="I280" i="14"/>
  <c r="G280" i="14"/>
  <c r="H280" i="14"/>
  <c r="J280" i="14"/>
  <c r="K280" i="14"/>
  <c r="K320" i="14"/>
  <c r="G320" i="14"/>
  <c r="H320" i="14"/>
  <c r="I320" i="14"/>
  <c r="J320" i="14"/>
  <c r="K344" i="14"/>
  <c r="I344" i="14"/>
  <c r="G344" i="14"/>
  <c r="H344" i="14"/>
  <c r="J344" i="14"/>
  <c r="G281" i="14"/>
  <c r="I281" i="14"/>
  <c r="K281" i="14"/>
  <c r="J281" i="14"/>
  <c r="H281" i="14"/>
  <c r="K76" i="14"/>
  <c r="I76" i="14"/>
  <c r="G76" i="14"/>
  <c r="J76" i="14"/>
  <c r="H76" i="14"/>
  <c r="G278" i="14"/>
  <c r="I278" i="14"/>
  <c r="K278" i="14"/>
  <c r="H278" i="14"/>
  <c r="J278" i="14"/>
  <c r="I372" i="14"/>
  <c r="K372" i="14"/>
  <c r="G372" i="14"/>
  <c r="H372" i="14"/>
  <c r="J372" i="14"/>
  <c r="I141" i="14"/>
  <c r="K141" i="14"/>
  <c r="G141" i="14"/>
  <c r="J141" i="14"/>
  <c r="H141" i="14"/>
  <c r="I17" i="14"/>
  <c r="K17" i="14"/>
  <c r="G17" i="14"/>
  <c r="H17" i="14"/>
  <c r="J17" i="14"/>
  <c r="I239" i="14"/>
  <c r="K239" i="14"/>
  <c r="G239" i="14"/>
  <c r="H239" i="14"/>
  <c r="J239" i="14"/>
  <c r="I316" i="14"/>
  <c r="G316" i="14"/>
  <c r="H316" i="14"/>
  <c r="J316" i="14"/>
  <c r="K316" i="14"/>
  <c r="G430" i="14"/>
  <c r="I430" i="14"/>
  <c r="K430" i="14"/>
  <c r="H430" i="14"/>
  <c r="J430" i="14"/>
  <c r="I249" i="14"/>
  <c r="K249" i="14"/>
  <c r="G249" i="14"/>
  <c r="J249" i="14"/>
  <c r="H249" i="14"/>
  <c r="G253" i="14"/>
  <c r="K253" i="14"/>
  <c r="I253" i="14"/>
  <c r="J253" i="14"/>
  <c r="H253" i="14"/>
  <c r="K330" i="14"/>
  <c r="I330" i="14"/>
  <c r="G330" i="14"/>
  <c r="H330" i="14"/>
  <c r="J330" i="14"/>
  <c r="K190" i="14"/>
  <c r="I190" i="14"/>
  <c r="J190" i="14"/>
  <c r="G190" i="14"/>
  <c r="H190" i="14"/>
  <c r="K219" i="14"/>
  <c r="G219" i="14"/>
  <c r="I219" i="14"/>
  <c r="J219" i="14"/>
  <c r="H219" i="14"/>
  <c r="K318" i="14"/>
  <c r="G318" i="14"/>
  <c r="I318" i="14"/>
  <c r="J318" i="14"/>
  <c r="H318" i="14"/>
  <c r="I435" i="14"/>
  <c r="J435" i="14"/>
  <c r="K435" i="14"/>
  <c r="G435" i="14"/>
  <c r="H435" i="14"/>
  <c r="G19" i="14"/>
  <c r="I19" i="14"/>
  <c r="K19" i="14"/>
  <c r="H19" i="14"/>
  <c r="J19" i="14"/>
  <c r="G40" i="14"/>
  <c r="I40" i="14"/>
  <c r="K40" i="14"/>
  <c r="H40" i="14"/>
  <c r="J40" i="14"/>
  <c r="I148" i="14"/>
  <c r="G148" i="14"/>
  <c r="J148" i="14"/>
  <c r="K148" i="14"/>
  <c r="H148" i="14"/>
  <c r="G299" i="14"/>
  <c r="I299" i="14"/>
  <c r="H299" i="14"/>
  <c r="J299" i="14"/>
  <c r="K299" i="14"/>
  <c r="K303" i="14"/>
  <c r="G303" i="14"/>
  <c r="I303" i="14"/>
  <c r="J303" i="14"/>
  <c r="H303" i="14"/>
  <c r="G335" i="14"/>
  <c r="I335" i="14"/>
  <c r="K335" i="14"/>
  <c r="H335" i="14"/>
  <c r="J335" i="14"/>
  <c r="G351" i="14"/>
  <c r="I351" i="14"/>
  <c r="K351" i="14"/>
  <c r="J351" i="14"/>
  <c r="H351" i="14"/>
  <c r="I347" i="14"/>
  <c r="H347" i="14"/>
  <c r="J347" i="14"/>
  <c r="K347" i="14"/>
  <c r="G347" i="14"/>
  <c r="G350" i="14"/>
  <c r="I350" i="14"/>
  <c r="K350" i="14"/>
  <c r="H350" i="14"/>
  <c r="J350" i="14"/>
  <c r="I479" i="14"/>
  <c r="G479" i="14"/>
  <c r="K479" i="14"/>
  <c r="H479" i="14"/>
  <c r="J479" i="14"/>
  <c r="K32" i="14"/>
  <c r="I32" i="14"/>
  <c r="G32" i="14"/>
  <c r="H32" i="14"/>
  <c r="J32" i="14"/>
  <c r="K90" i="14"/>
  <c r="G90" i="14"/>
  <c r="I90" i="14"/>
  <c r="J90" i="14"/>
  <c r="H90" i="14"/>
  <c r="G473" i="14"/>
  <c r="H473" i="14"/>
  <c r="I473" i="14"/>
  <c r="J473" i="14"/>
  <c r="K473" i="14"/>
  <c r="G153" i="14"/>
  <c r="K153" i="14"/>
  <c r="I153" i="14"/>
  <c r="J153" i="14"/>
  <c r="H153" i="14"/>
  <c r="G305" i="14"/>
  <c r="H305" i="14"/>
  <c r="K305" i="14"/>
  <c r="I305" i="14"/>
  <c r="J305" i="14"/>
  <c r="I407" i="14"/>
  <c r="K407" i="14"/>
  <c r="G407" i="14"/>
  <c r="H407" i="14"/>
  <c r="J407" i="14"/>
  <c r="K15" i="14"/>
  <c r="G15" i="14"/>
  <c r="H15" i="14"/>
  <c r="J15" i="14"/>
  <c r="I15" i="14"/>
  <c r="G159" i="14"/>
  <c r="K159" i="14"/>
  <c r="I159" i="14"/>
  <c r="H159" i="14"/>
  <c r="J159" i="14"/>
  <c r="I152" i="14"/>
  <c r="K152" i="14"/>
  <c r="G152" i="14"/>
  <c r="H152" i="14"/>
  <c r="J152" i="14"/>
  <c r="I360" i="14"/>
  <c r="G360" i="14"/>
  <c r="J360" i="14"/>
  <c r="H360" i="14"/>
  <c r="K360" i="14"/>
  <c r="G500" i="14"/>
  <c r="I500" i="14"/>
  <c r="K500" i="14"/>
  <c r="J500" i="14"/>
  <c r="H500" i="14"/>
  <c r="K142" i="14"/>
  <c r="J142" i="14"/>
  <c r="G142" i="14"/>
  <c r="H142" i="14"/>
  <c r="I142" i="14"/>
  <c r="K262" i="14"/>
  <c r="G262" i="14"/>
  <c r="H262" i="14"/>
  <c r="I262" i="14"/>
  <c r="J262" i="14"/>
  <c r="I133" i="14"/>
  <c r="K133" i="14"/>
  <c r="G133" i="14"/>
  <c r="J133" i="14"/>
  <c r="H133" i="14"/>
  <c r="K331" i="14"/>
  <c r="G331" i="14"/>
  <c r="H331" i="14"/>
  <c r="I331" i="14"/>
  <c r="J331" i="14"/>
  <c r="G77" i="14"/>
  <c r="I77" i="14"/>
  <c r="K77" i="14"/>
  <c r="H77" i="14"/>
  <c r="J77" i="14"/>
  <c r="I161" i="14"/>
  <c r="G161" i="14"/>
  <c r="H161" i="14"/>
  <c r="K161" i="14"/>
  <c r="J161" i="14"/>
  <c r="I308" i="14"/>
  <c r="K308" i="14"/>
  <c r="G308" i="14"/>
  <c r="J308" i="14"/>
  <c r="H308" i="14"/>
  <c r="G146" i="14"/>
  <c r="I146" i="14"/>
  <c r="K146" i="14"/>
  <c r="H146" i="14"/>
  <c r="J146" i="14"/>
  <c r="G39" i="14"/>
  <c r="K39" i="14"/>
  <c r="I39" i="14"/>
  <c r="H39" i="14"/>
  <c r="J39" i="14"/>
  <c r="G121" i="14"/>
  <c r="I121" i="14"/>
  <c r="K121" i="14"/>
  <c r="J121" i="14"/>
  <c r="H121" i="14"/>
  <c r="K155" i="14"/>
  <c r="G155" i="14"/>
  <c r="J155" i="14"/>
  <c r="H155" i="14"/>
  <c r="I155" i="14"/>
  <c r="G21" i="14"/>
  <c r="I21" i="14"/>
  <c r="K21" i="14"/>
  <c r="J21" i="14"/>
  <c r="H21" i="14"/>
  <c r="G477" i="14"/>
  <c r="I477" i="14"/>
  <c r="K477" i="14"/>
  <c r="J477" i="14"/>
  <c r="H477" i="14"/>
  <c r="G374" i="14"/>
  <c r="H374" i="14"/>
  <c r="I374" i="14"/>
  <c r="K374" i="14"/>
  <c r="J374" i="14"/>
  <c r="G122" i="14"/>
  <c r="K122" i="14"/>
  <c r="I122" i="14"/>
  <c r="H122" i="14"/>
  <c r="J122" i="14"/>
  <c r="G210" i="14"/>
  <c r="K210" i="14"/>
  <c r="J210" i="14"/>
  <c r="I210" i="14"/>
  <c r="H210" i="14"/>
  <c r="G2" i="14"/>
  <c r="K2" i="14"/>
  <c r="I2" i="14"/>
  <c r="H2" i="14"/>
  <c r="J2" i="14"/>
  <c r="G135" i="14"/>
  <c r="I135" i="14"/>
  <c r="K135" i="14"/>
  <c r="J135" i="14"/>
  <c r="H135" i="14"/>
  <c r="I292" i="14"/>
  <c r="G292" i="14"/>
  <c r="H292" i="14"/>
  <c r="J292" i="14"/>
  <c r="K292" i="14"/>
  <c r="G300" i="14"/>
  <c r="K300" i="14"/>
  <c r="I300" i="14"/>
  <c r="J300" i="14"/>
  <c r="H300" i="14"/>
  <c r="K104" i="14"/>
  <c r="I104" i="14"/>
  <c r="G104" i="14"/>
  <c r="H104" i="14"/>
  <c r="J104" i="14"/>
  <c r="G448" i="14"/>
  <c r="H448" i="14"/>
  <c r="J448" i="14"/>
  <c r="K448" i="14"/>
  <c r="I448" i="14"/>
  <c r="J169" i="14"/>
  <c r="K169" i="14"/>
  <c r="G169" i="14"/>
  <c r="H169" i="14"/>
  <c r="I169" i="14"/>
  <c r="J348" i="14"/>
  <c r="G348" i="14"/>
  <c r="H348" i="14"/>
  <c r="I348" i="14"/>
  <c r="K348" i="14"/>
  <c r="I467" i="14"/>
  <c r="K467" i="14"/>
  <c r="G467" i="14"/>
  <c r="H467" i="14"/>
  <c r="J467" i="14"/>
  <c r="G94" i="14"/>
  <c r="I94" i="14"/>
  <c r="K94" i="14"/>
  <c r="H94" i="14"/>
  <c r="J94" i="14"/>
  <c r="G71" i="14"/>
  <c r="I71" i="14"/>
  <c r="K71" i="14"/>
  <c r="J71" i="14"/>
  <c r="H71" i="14"/>
  <c r="G87" i="14"/>
  <c r="I87" i="14"/>
  <c r="K87" i="14"/>
  <c r="H87" i="14"/>
  <c r="J87" i="14"/>
  <c r="H321" i="14"/>
  <c r="G321" i="14"/>
  <c r="I321" i="14"/>
  <c r="K321" i="14"/>
  <c r="J321" i="14"/>
  <c r="G295" i="14"/>
  <c r="H295" i="14"/>
  <c r="I295" i="14"/>
  <c r="J295" i="14"/>
  <c r="K295" i="14"/>
  <c r="G191" i="14"/>
  <c r="H191" i="14"/>
  <c r="J191" i="14"/>
  <c r="K191" i="14"/>
  <c r="I191" i="14"/>
  <c r="I268" i="14"/>
  <c r="K268" i="14"/>
  <c r="G268" i="14"/>
  <c r="J268" i="14"/>
  <c r="H268" i="14"/>
  <c r="G134" i="14"/>
  <c r="K134" i="14"/>
  <c r="I134" i="14"/>
  <c r="J134" i="14"/>
  <c r="H134" i="14"/>
  <c r="G246" i="14"/>
  <c r="K246" i="14"/>
  <c r="H246" i="14"/>
  <c r="I246" i="14"/>
  <c r="J246" i="14"/>
  <c r="K64" i="14"/>
  <c r="I64" i="14"/>
  <c r="G64" i="14"/>
  <c r="H64" i="14"/>
  <c r="J64" i="14"/>
  <c r="G66" i="14"/>
  <c r="K66" i="14"/>
  <c r="I66" i="14"/>
  <c r="H66" i="14"/>
  <c r="J66" i="14"/>
  <c r="K252" i="14"/>
  <c r="I252" i="14"/>
  <c r="J252" i="14"/>
  <c r="G252" i="14"/>
  <c r="H252" i="14"/>
  <c r="I313" i="14"/>
  <c r="G313" i="14"/>
  <c r="K313" i="14"/>
  <c r="H313" i="14"/>
  <c r="J313" i="14"/>
  <c r="K267" i="14"/>
  <c r="I267" i="14"/>
  <c r="G267" i="14"/>
  <c r="H267" i="14"/>
  <c r="J267" i="14"/>
  <c r="K359" i="14"/>
  <c r="G359" i="14"/>
  <c r="J359" i="14"/>
  <c r="H359" i="14"/>
  <c r="I359" i="14"/>
  <c r="G227" i="14"/>
  <c r="I227" i="14"/>
  <c r="K227" i="14"/>
  <c r="H227" i="14"/>
  <c r="J227" i="14"/>
  <c r="G6" i="14"/>
  <c r="I6" i="14"/>
  <c r="K6" i="14"/>
  <c r="H6" i="14"/>
  <c r="J6" i="14"/>
  <c r="G459" i="14"/>
  <c r="H459" i="14"/>
  <c r="J459" i="14"/>
  <c r="K459" i="14"/>
  <c r="I459" i="14"/>
  <c r="I184" i="14"/>
  <c r="G184" i="14"/>
  <c r="K184" i="14"/>
  <c r="J184" i="14"/>
  <c r="H184" i="14"/>
  <c r="K315" i="14"/>
  <c r="I315" i="14"/>
  <c r="G315" i="14"/>
  <c r="J315" i="14"/>
  <c r="H315" i="14"/>
  <c r="G286" i="14"/>
  <c r="H286" i="14"/>
  <c r="I286" i="14"/>
  <c r="J286" i="14"/>
  <c r="K286" i="14"/>
  <c r="G58" i="14"/>
  <c r="I58" i="14"/>
  <c r="K58" i="14"/>
  <c r="J58" i="14"/>
  <c r="H58" i="14"/>
  <c r="I143" i="14"/>
  <c r="J143" i="14"/>
  <c r="K143" i="14"/>
  <c r="G143" i="14"/>
  <c r="H143" i="14"/>
  <c r="I26" i="14"/>
  <c r="K26" i="14"/>
  <c r="G26" i="14"/>
  <c r="J26" i="14"/>
  <c r="H26" i="14"/>
  <c r="K345" i="14"/>
  <c r="G345" i="14"/>
  <c r="J345" i="14"/>
  <c r="H345" i="14"/>
  <c r="I345" i="14"/>
  <c r="K409" i="14"/>
  <c r="H409" i="14"/>
  <c r="I409" i="14"/>
  <c r="G409" i="14"/>
  <c r="J409" i="14"/>
  <c r="G57" i="14"/>
  <c r="I57" i="14"/>
  <c r="K57" i="14"/>
  <c r="J57" i="14"/>
  <c r="H57" i="14"/>
  <c r="G349" i="14"/>
  <c r="K349" i="14"/>
  <c r="H349" i="14"/>
  <c r="I349" i="14"/>
  <c r="J349" i="14"/>
  <c r="H424" i="14"/>
  <c r="I424" i="14"/>
  <c r="J424" i="14"/>
  <c r="K424" i="14"/>
  <c r="G424" i="14"/>
  <c r="G234" i="14"/>
  <c r="K234" i="14"/>
  <c r="I234" i="14"/>
  <c r="H234" i="14"/>
  <c r="J234" i="14"/>
  <c r="J471" i="14"/>
  <c r="G471" i="14"/>
  <c r="I471" i="14"/>
  <c r="H471" i="14"/>
  <c r="K471" i="14"/>
  <c r="I172" i="14"/>
  <c r="K172" i="14"/>
  <c r="G172" i="14"/>
  <c r="H172" i="14"/>
  <c r="J172" i="14"/>
  <c r="G43" i="14"/>
  <c r="I43" i="14"/>
  <c r="K43" i="14"/>
  <c r="J43" i="14"/>
  <c r="H43" i="14"/>
  <c r="G463" i="14"/>
  <c r="I463" i="14"/>
  <c r="K463" i="14"/>
  <c r="J463" i="14"/>
  <c r="H463" i="14"/>
  <c r="G147" i="14"/>
  <c r="I147" i="14"/>
  <c r="J147" i="14"/>
  <c r="K147" i="14"/>
  <c r="H147" i="14"/>
  <c r="H310" i="14"/>
  <c r="G310" i="14"/>
  <c r="I310" i="14"/>
  <c r="J310" i="14"/>
  <c r="K310" i="14"/>
  <c r="K231" i="14"/>
  <c r="G231" i="14"/>
  <c r="I231" i="14"/>
  <c r="J231" i="14"/>
  <c r="H231" i="14"/>
  <c r="G323" i="14"/>
  <c r="I323" i="14"/>
  <c r="J323" i="14"/>
  <c r="K323" i="14"/>
  <c r="H323" i="14"/>
  <c r="K398" i="14"/>
  <c r="I398" i="14"/>
  <c r="J398" i="14"/>
  <c r="G398" i="14"/>
  <c r="H398" i="14"/>
  <c r="K115" i="14"/>
  <c r="G115" i="14"/>
  <c r="I115" i="14"/>
  <c r="H115" i="14"/>
  <c r="J115" i="14"/>
  <c r="K225" i="14"/>
  <c r="G225" i="14"/>
  <c r="H225" i="14"/>
  <c r="I225" i="14"/>
  <c r="J225" i="14"/>
  <c r="G338" i="14"/>
  <c r="H338" i="14"/>
  <c r="I338" i="14"/>
  <c r="J338" i="14"/>
  <c r="K338" i="14"/>
  <c r="I395" i="14"/>
  <c r="K395" i="14"/>
  <c r="G395" i="14"/>
  <c r="H395" i="14"/>
  <c r="J395" i="14"/>
  <c r="K127" i="14"/>
  <c r="G127" i="14"/>
  <c r="I127" i="14"/>
  <c r="J127" i="14"/>
  <c r="H127" i="14"/>
  <c r="G221" i="14"/>
  <c r="I221" i="14"/>
  <c r="K221" i="14"/>
  <c r="H221" i="14"/>
  <c r="J221" i="14"/>
  <c r="G105" i="14"/>
  <c r="I105" i="14"/>
  <c r="K105" i="14"/>
  <c r="J105" i="14"/>
  <c r="H105" i="14"/>
  <c r="G385" i="14"/>
  <c r="I385" i="14"/>
  <c r="K385" i="14"/>
  <c r="J385" i="14"/>
  <c r="H385" i="14"/>
  <c r="I420" i="14"/>
  <c r="K420" i="14"/>
  <c r="G420" i="14"/>
  <c r="J420" i="14"/>
  <c r="H420" i="14"/>
  <c r="I293" i="14"/>
  <c r="K293" i="14"/>
  <c r="H293" i="14"/>
  <c r="G293" i="14"/>
  <c r="J293" i="14"/>
  <c r="AC19" i="9"/>
  <c r="AC41" i="9"/>
  <c r="AC29" i="9"/>
  <c r="AC17" i="9"/>
  <c r="AC15" i="9"/>
  <c r="AC48" i="9"/>
  <c r="AC30" i="9"/>
  <c r="AC3" i="9"/>
  <c r="AC10" i="9"/>
  <c r="AC18" i="9"/>
  <c r="AC22" i="9"/>
  <c r="AC26" i="9"/>
  <c r="AC16" i="9"/>
  <c r="AC1" i="9"/>
  <c r="AC32" i="9"/>
  <c r="AC8" i="9"/>
  <c r="AC11" i="9"/>
  <c r="AC42" i="9"/>
  <c r="AC28" i="9"/>
  <c r="AC50" i="9"/>
  <c r="AC39" i="9"/>
  <c r="AC5" i="9"/>
  <c r="AC40" i="9"/>
  <c r="AC38" i="9"/>
  <c r="AC14" i="9"/>
  <c r="AC4" i="9"/>
  <c r="AC27" i="9"/>
  <c r="AC2" i="9"/>
  <c r="AC36" i="9"/>
  <c r="AC47" i="9"/>
  <c r="AC45" i="9"/>
  <c r="AC44" i="9"/>
  <c r="AC49" i="9"/>
  <c r="AC24" i="9"/>
  <c r="AC35" i="9"/>
  <c r="AC33" i="9"/>
  <c r="AC43" i="9"/>
  <c r="AC37" i="9"/>
  <c r="AC12" i="9"/>
  <c r="AC23" i="9"/>
  <c r="AC21" i="9"/>
  <c r="AC7" i="9"/>
  <c r="AC25" i="9"/>
  <c r="AC20" i="9"/>
  <c r="AC46" i="9"/>
  <c r="AC9" i="9"/>
  <c r="AC6" i="9"/>
  <c r="AC13" i="9"/>
  <c r="AC31" i="9"/>
  <c r="R1" i="9"/>
  <c r="Q1" i="9"/>
  <c r="C1" i="9" l="1"/>
  <c r="C500" i="9"/>
  <c r="G500" i="9" s="1"/>
  <c r="C334" i="9"/>
  <c r="C346" i="9"/>
  <c r="C358" i="9"/>
  <c r="C370" i="9"/>
  <c r="C382" i="9"/>
  <c r="C394" i="9"/>
  <c r="C406" i="9"/>
  <c r="C418" i="9"/>
  <c r="C430" i="9"/>
  <c r="C442" i="9"/>
  <c r="C454" i="9"/>
  <c r="C466" i="9"/>
  <c r="C478" i="9"/>
  <c r="C490" i="9"/>
  <c r="C361" i="9"/>
  <c r="C373" i="9"/>
  <c r="C409" i="9"/>
  <c r="C445" i="9"/>
  <c r="C469" i="9"/>
  <c r="C338" i="9"/>
  <c r="C386" i="9"/>
  <c r="C410" i="9"/>
  <c r="C434" i="9"/>
  <c r="C458" i="9"/>
  <c r="C482" i="9"/>
  <c r="C351" i="9"/>
  <c r="C363" i="9"/>
  <c r="C387" i="9"/>
  <c r="C411" i="9"/>
  <c r="C435" i="9"/>
  <c r="C459" i="9"/>
  <c r="C483" i="9"/>
  <c r="C352" i="9"/>
  <c r="C364" i="9"/>
  <c r="C388" i="9"/>
  <c r="C412" i="9"/>
  <c r="C436" i="9"/>
  <c r="C460" i="9"/>
  <c r="C484" i="9"/>
  <c r="C343" i="9"/>
  <c r="C391" i="9"/>
  <c r="C415" i="9"/>
  <c r="C439" i="9"/>
  <c r="C463" i="9"/>
  <c r="C487" i="9"/>
  <c r="C499" i="9"/>
  <c r="C344" i="9"/>
  <c r="C380" i="9"/>
  <c r="C404" i="9"/>
  <c r="C428" i="9"/>
  <c r="C452" i="9"/>
  <c r="C488" i="9"/>
  <c r="C357" i="9"/>
  <c r="C369" i="9"/>
  <c r="C393" i="9"/>
  <c r="C429" i="9"/>
  <c r="C441" i="9"/>
  <c r="C465" i="9"/>
  <c r="C335" i="9"/>
  <c r="C347" i="9"/>
  <c r="C359" i="9"/>
  <c r="C371" i="9"/>
  <c r="C383" i="9"/>
  <c r="C395" i="9"/>
  <c r="C407" i="9"/>
  <c r="C419" i="9"/>
  <c r="C431" i="9"/>
  <c r="C443" i="9"/>
  <c r="C455" i="9"/>
  <c r="C467" i="9"/>
  <c r="C479" i="9"/>
  <c r="C491" i="9"/>
  <c r="C349" i="9"/>
  <c r="C385" i="9"/>
  <c r="C421" i="9"/>
  <c r="C457" i="9"/>
  <c r="C493" i="9"/>
  <c r="C350" i="9"/>
  <c r="C374" i="9"/>
  <c r="C398" i="9"/>
  <c r="C422" i="9"/>
  <c r="C446" i="9"/>
  <c r="C470" i="9"/>
  <c r="C494" i="9"/>
  <c r="C339" i="9"/>
  <c r="C375" i="9"/>
  <c r="C399" i="9"/>
  <c r="C423" i="9"/>
  <c r="C447" i="9"/>
  <c r="C471" i="9"/>
  <c r="C495" i="9"/>
  <c r="C340" i="9"/>
  <c r="C376" i="9"/>
  <c r="C400" i="9"/>
  <c r="C424" i="9"/>
  <c r="C448" i="9"/>
  <c r="C472" i="9"/>
  <c r="C496" i="9"/>
  <c r="C355" i="9"/>
  <c r="C379" i="9"/>
  <c r="C403" i="9"/>
  <c r="C427" i="9"/>
  <c r="C451" i="9"/>
  <c r="C475" i="9"/>
  <c r="C368" i="9"/>
  <c r="C440" i="9"/>
  <c r="C476" i="9"/>
  <c r="C345" i="9"/>
  <c r="C381" i="9"/>
  <c r="C405" i="9"/>
  <c r="C417" i="9"/>
  <c r="C453" i="9"/>
  <c r="C477" i="9"/>
  <c r="C489" i="9"/>
  <c r="C336" i="9"/>
  <c r="C348" i="9"/>
  <c r="C360" i="9"/>
  <c r="C372" i="9"/>
  <c r="C384" i="9"/>
  <c r="C396" i="9"/>
  <c r="C408" i="9"/>
  <c r="C420" i="9"/>
  <c r="C432" i="9"/>
  <c r="C444" i="9"/>
  <c r="C456" i="9"/>
  <c r="C468" i="9"/>
  <c r="C480" i="9"/>
  <c r="C492" i="9"/>
  <c r="C337" i="9"/>
  <c r="C397" i="9"/>
  <c r="C433" i="9"/>
  <c r="C481" i="9"/>
  <c r="C362" i="9"/>
  <c r="C367" i="9"/>
  <c r="C356" i="9"/>
  <c r="C392" i="9"/>
  <c r="C416" i="9"/>
  <c r="C464" i="9"/>
  <c r="C341" i="9"/>
  <c r="C353" i="9"/>
  <c r="C365" i="9"/>
  <c r="C377" i="9"/>
  <c r="C389" i="9"/>
  <c r="C401" i="9"/>
  <c r="C413" i="9"/>
  <c r="C425" i="9"/>
  <c r="C437" i="9"/>
  <c r="C449" i="9"/>
  <c r="C461" i="9"/>
  <c r="C473" i="9"/>
  <c r="C485" i="9"/>
  <c r="C497" i="9"/>
  <c r="C342" i="9"/>
  <c r="C354" i="9"/>
  <c r="C366" i="9"/>
  <c r="C378" i="9"/>
  <c r="C390" i="9"/>
  <c r="C402" i="9"/>
  <c r="C414" i="9"/>
  <c r="C426" i="9"/>
  <c r="C438" i="9"/>
  <c r="C450" i="9"/>
  <c r="C462" i="9"/>
  <c r="C474" i="9"/>
  <c r="C486" i="9"/>
  <c r="C498" i="9"/>
  <c r="C277" i="9"/>
  <c r="C275" i="9"/>
  <c r="C310" i="9"/>
  <c r="C22" i="9"/>
  <c r="C265" i="9"/>
  <c r="C263" i="9"/>
  <c r="C298" i="9"/>
  <c r="C229" i="9"/>
  <c r="C251" i="9"/>
  <c r="C226" i="9"/>
  <c r="C178" i="9"/>
  <c r="C119" i="9"/>
  <c r="C85" i="9"/>
  <c r="C35" i="9"/>
  <c r="C23" i="9"/>
  <c r="C46" i="9"/>
  <c r="C322" i="9"/>
  <c r="C217" i="9"/>
  <c r="C179" i="9"/>
  <c r="C214" i="9"/>
  <c r="C131" i="9"/>
  <c r="C166" i="9"/>
  <c r="C154" i="9"/>
  <c r="C73" i="9"/>
  <c r="C70" i="9"/>
  <c r="C323" i="9"/>
  <c r="C34" i="9"/>
  <c r="C205" i="9"/>
  <c r="C167" i="9"/>
  <c r="C190" i="9"/>
  <c r="C133" i="9"/>
  <c r="C121" i="9"/>
  <c r="C107" i="9"/>
  <c r="C82" i="9"/>
  <c r="C61" i="9"/>
  <c r="C311" i="9"/>
  <c r="C112" i="9"/>
  <c r="C256" i="9"/>
  <c r="C126" i="9"/>
  <c r="C51" i="9"/>
  <c r="C101" i="9"/>
  <c r="C245" i="9"/>
  <c r="C150" i="9"/>
  <c r="C81" i="9"/>
  <c r="C38" i="9"/>
  <c r="C27" i="9"/>
  <c r="C91" i="9"/>
  <c r="C235" i="9"/>
  <c r="C56" i="9"/>
  <c r="C200" i="9"/>
  <c r="C33" i="9"/>
  <c r="C309" i="9"/>
  <c r="C266" i="9"/>
  <c r="C84" i="9"/>
  <c r="C228" i="9"/>
  <c r="C303" i="9"/>
  <c r="C243" i="9"/>
  <c r="C253" i="9"/>
  <c r="C301" i="9"/>
  <c r="C83" i="9"/>
  <c r="C124" i="9"/>
  <c r="C268" i="9"/>
  <c r="C138" i="9"/>
  <c r="C99" i="9"/>
  <c r="C113" i="9"/>
  <c r="C257" i="9"/>
  <c r="C174" i="9"/>
  <c r="C105" i="9"/>
  <c r="C62" i="9"/>
  <c r="C75" i="9"/>
  <c r="C103" i="9"/>
  <c r="C247" i="9"/>
  <c r="C68" i="9"/>
  <c r="C212" i="9"/>
  <c r="C69" i="9"/>
  <c r="C290" i="9"/>
  <c r="C96" i="9"/>
  <c r="C240" i="9"/>
  <c r="C147" i="9"/>
  <c r="C255" i="9"/>
  <c r="C94" i="9"/>
  <c r="C12" i="9"/>
  <c r="C227" i="9"/>
  <c r="C136" i="9"/>
  <c r="C280" i="9"/>
  <c r="C162" i="9"/>
  <c r="C135" i="9"/>
  <c r="C125" i="9"/>
  <c r="C269" i="9"/>
  <c r="C186" i="9"/>
  <c r="C129" i="9"/>
  <c r="C86" i="9"/>
  <c r="C123" i="9"/>
  <c r="C115" i="9"/>
  <c r="C259" i="9"/>
  <c r="C80" i="9"/>
  <c r="C224" i="9"/>
  <c r="C93" i="9"/>
  <c r="C26" i="9"/>
  <c r="C326" i="9"/>
  <c r="C108" i="9"/>
  <c r="C252" i="9"/>
  <c r="C315" i="9"/>
  <c r="C143" i="9"/>
  <c r="C238" i="9"/>
  <c r="C118" i="9"/>
  <c r="C37" i="9"/>
  <c r="C4" i="9"/>
  <c r="C148" i="9"/>
  <c r="C292" i="9"/>
  <c r="C198" i="9"/>
  <c r="C159" i="9"/>
  <c r="C137" i="9"/>
  <c r="C281" i="9"/>
  <c r="C210" i="9"/>
  <c r="C153" i="9"/>
  <c r="C110" i="9"/>
  <c r="C171" i="9"/>
  <c r="C127" i="9"/>
  <c r="C271" i="9"/>
  <c r="C92" i="9"/>
  <c r="C236" i="9"/>
  <c r="C117" i="9"/>
  <c r="C50" i="9"/>
  <c r="C15" i="9"/>
  <c r="C120" i="9"/>
  <c r="C264" i="9"/>
  <c r="C219" i="9"/>
  <c r="C287" i="9"/>
  <c r="C47" i="9"/>
  <c r="C262" i="9"/>
  <c r="C181" i="9"/>
  <c r="C16" i="9"/>
  <c r="C160" i="9"/>
  <c r="C304" i="9"/>
  <c r="C222" i="9"/>
  <c r="C5" i="9"/>
  <c r="C149" i="9"/>
  <c r="C293" i="9"/>
  <c r="C234" i="9"/>
  <c r="C189" i="9"/>
  <c r="C122" i="9"/>
  <c r="C6" i="9"/>
  <c r="C139" i="9"/>
  <c r="C283" i="9"/>
  <c r="C104" i="9"/>
  <c r="C248" i="9"/>
  <c r="C141" i="9"/>
  <c r="C74" i="9"/>
  <c r="C63" i="9"/>
  <c r="C132" i="9"/>
  <c r="C276" i="9"/>
  <c r="C267" i="9"/>
  <c r="C97" i="9"/>
  <c r="C191" i="9"/>
  <c r="C71" i="9"/>
  <c r="C325" i="9"/>
  <c r="C28" i="9"/>
  <c r="C172" i="9"/>
  <c r="C316" i="9"/>
  <c r="C246" i="9"/>
  <c r="C17" i="9"/>
  <c r="C161" i="9"/>
  <c r="C305" i="9"/>
  <c r="C258" i="9"/>
  <c r="C213" i="9"/>
  <c r="C158" i="9"/>
  <c r="C7" i="9"/>
  <c r="C151" i="9"/>
  <c r="C295" i="9"/>
  <c r="C116" i="9"/>
  <c r="C260" i="9"/>
  <c r="C165" i="9"/>
  <c r="C98" i="9"/>
  <c r="C111" i="9"/>
  <c r="C144" i="9"/>
  <c r="C288" i="9"/>
  <c r="C183" i="9"/>
  <c r="C241" i="9"/>
  <c r="C289" i="9"/>
  <c r="C215" i="9"/>
  <c r="C142" i="9"/>
  <c r="C232" i="9"/>
  <c r="C3" i="9"/>
  <c r="C221" i="9"/>
  <c r="C45" i="9"/>
  <c r="C278" i="9"/>
  <c r="C211" i="9"/>
  <c r="C176" i="9"/>
  <c r="C261" i="9"/>
  <c r="C60" i="9"/>
  <c r="C2" i="9"/>
  <c r="C299" i="9"/>
  <c r="C130" i="9"/>
  <c r="C78" i="9"/>
  <c r="C244" i="9"/>
  <c r="C39" i="9"/>
  <c r="C233" i="9"/>
  <c r="C57" i="9"/>
  <c r="C302" i="9"/>
  <c r="C223" i="9"/>
  <c r="C188" i="9"/>
  <c r="C285" i="9"/>
  <c r="C72" i="9"/>
  <c r="C87" i="9"/>
  <c r="C109" i="9"/>
  <c r="C274" i="9"/>
  <c r="C40" i="9"/>
  <c r="C328" i="9"/>
  <c r="C29" i="9"/>
  <c r="C317" i="9"/>
  <c r="C237" i="9"/>
  <c r="C19" i="9"/>
  <c r="C307" i="9"/>
  <c r="C272" i="9"/>
  <c r="C134" i="9"/>
  <c r="C156" i="9"/>
  <c r="C327" i="9"/>
  <c r="C106" i="9"/>
  <c r="C286" i="9"/>
  <c r="C52" i="9"/>
  <c r="C30" i="9"/>
  <c r="C41" i="9"/>
  <c r="C329" i="9"/>
  <c r="C273" i="9"/>
  <c r="C31" i="9"/>
  <c r="C319" i="9"/>
  <c r="C284" i="9"/>
  <c r="C146" i="9"/>
  <c r="C168" i="9"/>
  <c r="C279" i="9"/>
  <c r="C250" i="9"/>
  <c r="C95" i="9"/>
  <c r="C77" i="9"/>
  <c r="C64" i="9"/>
  <c r="C42" i="9"/>
  <c r="C53" i="9"/>
  <c r="C18" i="9"/>
  <c r="C297" i="9"/>
  <c r="C43" i="9"/>
  <c r="C331" i="9"/>
  <c r="C296" i="9"/>
  <c r="C170" i="9"/>
  <c r="C180" i="9"/>
  <c r="C291" i="9"/>
  <c r="C59" i="9"/>
  <c r="C239" i="9"/>
  <c r="C90" i="9"/>
  <c r="C32" i="9"/>
  <c r="C230" i="9"/>
  <c r="C207" i="9"/>
  <c r="C193" i="9"/>
  <c r="C76" i="9"/>
  <c r="C66" i="9"/>
  <c r="C65" i="9"/>
  <c r="C54" i="9"/>
  <c r="C321" i="9"/>
  <c r="C55" i="9"/>
  <c r="C20" i="9"/>
  <c r="C308" i="9"/>
  <c r="C194" i="9"/>
  <c r="C192" i="9"/>
  <c r="C195" i="9"/>
  <c r="C203" i="9"/>
  <c r="C49" i="9"/>
  <c r="C88" i="9"/>
  <c r="C320" i="9"/>
  <c r="C204" i="9"/>
  <c r="C13" i="9"/>
  <c r="C89" i="9"/>
  <c r="C182" i="9"/>
  <c r="C140" i="9"/>
  <c r="C48" i="9"/>
  <c r="C25" i="9"/>
  <c r="C67" i="9"/>
  <c r="C128" i="9"/>
  <c r="C173" i="9"/>
  <c r="C206" i="9"/>
  <c r="C152" i="9"/>
  <c r="C216" i="9"/>
  <c r="C169" i="9"/>
  <c r="C177" i="9"/>
  <c r="C100" i="9"/>
  <c r="C185" i="9"/>
  <c r="C218" i="9"/>
  <c r="C164" i="9"/>
  <c r="C300" i="9"/>
  <c r="C313" i="9"/>
  <c r="C196" i="9"/>
  <c r="C324" i="9"/>
  <c r="C10" i="9"/>
  <c r="C208" i="9"/>
  <c r="C79" i="9"/>
  <c r="C201" i="9"/>
  <c r="C36" i="9"/>
  <c r="C314" i="9"/>
  <c r="C184" i="9"/>
  <c r="C197" i="9"/>
  <c r="C254" i="9"/>
  <c r="C332" i="9"/>
  <c r="C312" i="9"/>
  <c r="C145" i="9"/>
  <c r="C209" i="9"/>
  <c r="C114" i="9"/>
  <c r="C14" i="9"/>
  <c r="C220" i="9"/>
  <c r="C282" i="9"/>
  <c r="C163" i="9"/>
  <c r="C225" i="9"/>
  <c r="C231" i="9"/>
  <c r="C199" i="9"/>
  <c r="C11" i="9"/>
  <c r="C318" i="9"/>
  <c r="C102" i="9"/>
  <c r="C306" i="9"/>
  <c r="C175" i="9"/>
  <c r="C249" i="9"/>
  <c r="C58" i="9"/>
  <c r="C21" i="9"/>
  <c r="C8" i="9"/>
  <c r="C333" i="9"/>
  <c r="C270" i="9"/>
  <c r="C330" i="9"/>
  <c r="C187" i="9"/>
  <c r="C242" i="9"/>
  <c r="C202" i="9"/>
  <c r="C294" i="9"/>
  <c r="C157" i="9"/>
  <c r="C44" i="9"/>
  <c r="C9" i="9"/>
  <c r="C155" i="9"/>
  <c r="C24" i="9"/>
  <c r="J500" i="9" l="1"/>
  <c r="I500" i="9"/>
  <c r="H500" i="9"/>
  <c r="H242" i="9"/>
  <c r="J242" i="9"/>
  <c r="G242" i="9"/>
  <c r="I242" i="9"/>
  <c r="J196" i="9"/>
  <c r="I196" i="9"/>
  <c r="G196" i="9"/>
  <c r="H196" i="9"/>
  <c r="I76" i="9"/>
  <c r="G76" i="9"/>
  <c r="J76" i="9"/>
  <c r="H76" i="9"/>
  <c r="I156" i="9"/>
  <c r="H156" i="9"/>
  <c r="G156" i="9"/>
  <c r="J156" i="9"/>
  <c r="I215" i="9"/>
  <c r="G215" i="9"/>
  <c r="H215" i="9"/>
  <c r="J215" i="9"/>
  <c r="J283" i="9"/>
  <c r="I283" i="9"/>
  <c r="H283" i="9"/>
  <c r="G283" i="9"/>
  <c r="J148" i="9"/>
  <c r="I148" i="9"/>
  <c r="G148" i="9"/>
  <c r="H148" i="9"/>
  <c r="G212" i="9"/>
  <c r="I212" i="9"/>
  <c r="H212" i="9"/>
  <c r="J212" i="9"/>
  <c r="I256" i="9"/>
  <c r="G256" i="9"/>
  <c r="H256" i="9"/>
  <c r="J256" i="9"/>
  <c r="I275" i="9"/>
  <c r="G275" i="9"/>
  <c r="H275" i="9"/>
  <c r="J275" i="9"/>
  <c r="I481" i="9"/>
  <c r="G481" i="9"/>
  <c r="H481" i="9"/>
  <c r="J481" i="9"/>
  <c r="G448" i="9"/>
  <c r="J448" i="9"/>
  <c r="I448" i="9"/>
  <c r="H448" i="9"/>
  <c r="I466" i="9"/>
  <c r="G466" i="9"/>
  <c r="H466" i="9"/>
  <c r="J466" i="9"/>
  <c r="G187" i="9"/>
  <c r="J187" i="9"/>
  <c r="H187" i="9"/>
  <c r="I187" i="9"/>
  <c r="I313" i="9"/>
  <c r="G313" i="9"/>
  <c r="H313" i="9"/>
  <c r="J313" i="9"/>
  <c r="H193" i="9"/>
  <c r="J193" i="9"/>
  <c r="G193" i="9"/>
  <c r="I193" i="9"/>
  <c r="H134" i="9"/>
  <c r="J134" i="9"/>
  <c r="G134" i="9"/>
  <c r="I134" i="9"/>
  <c r="G2" i="9"/>
  <c r="I2" i="9"/>
  <c r="H2" i="9"/>
  <c r="J2" i="9"/>
  <c r="J71" i="9"/>
  <c r="G71" i="9"/>
  <c r="I71" i="9"/>
  <c r="H71" i="9"/>
  <c r="I271" i="9"/>
  <c r="J271" i="9"/>
  <c r="G271" i="9"/>
  <c r="H271" i="9"/>
  <c r="J136" i="9"/>
  <c r="I136" i="9"/>
  <c r="G136" i="9"/>
  <c r="H136" i="9"/>
  <c r="I56" i="9"/>
  <c r="G56" i="9"/>
  <c r="H56" i="9"/>
  <c r="J56" i="9"/>
  <c r="I85" i="9"/>
  <c r="J85" i="9"/>
  <c r="H85" i="9"/>
  <c r="G85" i="9"/>
  <c r="G389" i="9"/>
  <c r="I389" i="9"/>
  <c r="H389" i="9"/>
  <c r="J389" i="9"/>
  <c r="G476" i="9"/>
  <c r="J476" i="9"/>
  <c r="H476" i="9"/>
  <c r="I476" i="9"/>
  <c r="I479" i="9"/>
  <c r="G479" i="9"/>
  <c r="J479" i="9"/>
  <c r="H479" i="9"/>
  <c r="G454" i="9"/>
  <c r="J454" i="9"/>
  <c r="I454" i="9"/>
  <c r="H454" i="9"/>
  <c r="H330" i="9"/>
  <c r="J330" i="9"/>
  <c r="G330" i="9"/>
  <c r="I330" i="9"/>
  <c r="H199" i="9"/>
  <c r="I199" i="9"/>
  <c r="G199" i="9"/>
  <c r="J199" i="9"/>
  <c r="I254" i="9"/>
  <c r="J254" i="9"/>
  <c r="H254" i="9"/>
  <c r="G254" i="9"/>
  <c r="G300" i="9"/>
  <c r="J300" i="9"/>
  <c r="H300" i="9"/>
  <c r="I300" i="9"/>
  <c r="J67" i="9"/>
  <c r="G67" i="9"/>
  <c r="H67" i="9"/>
  <c r="I67" i="9"/>
  <c r="J195" i="9"/>
  <c r="I195" i="9"/>
  <c r="H195" i="9"/>
  <c r="G195" i="9"/>
  <c r="J207" i="9"/>
  <c r="I207" i="9"/>
  <c r="G207" i="9"/>
  <c r="H207" i="9"/>
  <c r="G297" i="9"/>
  <c r="J297" i="9"/>
  <c r="H297" i="9"/>
  <c r="I297" i="9"/>
  <c r="J319" i="9"/>
  <c r="G319" i="9"/>
  <c r="I319" i="9"/>
  <c r="H319" i="9"/>
  <c r="I272" i="9"/>
  <c r="J272" i="9"/>
  <c r="G272" i="9"/>
  <c r="H272" i="9"/>
  <c r="G285" i="9"/>
  <c r="I285" i="9"/>
  <c r="J285" i="9"/>
  <c r="H285" i="9"/>
  <c r="I60" i="9"/>
  <c r="G60" i="9"/>
  <c r="H60" i="9"/>
  <c r="J60" i="9"/>
  <c r="H241" i="9"/>
  <c r="I241" i="9"/>
  <c r="G241" i="9"/>
  <c r="J241" i="9"/>
  <c r="G158" i="9"/>
  <c r="J158" i="9"/>
  <c r="I158" i="9"/>
  <c r="H158" i="9"/>
  <c r="J191" i="9"/>
  <c r="I191" i="9"/>
  <c r="G191" i="9"/>
  <c r="H191" i="9"/>
  <c r="G6" i="9"/>
  <c r="I6" i="9"/>
  <c r="H6" i="9"/>
  <c r="J6" i="9"/>
  <c r="G262" i="9"/>
  <c r="I262" i="9"/>
  <c r="H262" i="9"/>
  <c r="J262" i="9"/>
  <c r="J127" i="9"/>
  <c r="H127" i="9"/>
  <c r="I127" i="9"/>
  <c r="G127" i="9"/>
  <c r="I37" i="9"/>
  <c r="H37" i="9"/>
  <c r="J37" i="9"/>
  <c r="G37" i="9"/>
  <c r="J259" i="9"/>
  <c r="H259" i="9"/>
  <c r="G259" i="9"/>
  <c r="I259" i="9"/>
  <c r="I227" i="9"/>
  <c r="G227" i="9"/>
  <c r="H227" i="9"/>
  <c r="J227" i="9"/>
  <c r="H247" i="9"/>
  <c r="I247" i="9"/>
  <c r="G247" i="9"/>
  <c r="J247" i="9"/>
  <c r="I83" i="9"/>
  <c r="G83" i="9"/>
  <c r="J83" i="9"/>
  <c r="H83" i="9"/>
  <c r="I235" i="9"/>
  <c r="G235" i="9"/>
  <c r="J235" i="9"/>
  <c r="H235" i="9"/>
  <c r="G311" i="9"/>
  <c r="H311" i="9"/>
  <c r="I311" i="9"/>
  <c r="J311" i="9"/>
  <c r="I73" i="9"/>
  <c r="G73" i="9"/>
  <c r="J73" i="9"/>
  <c r="H73" i="9"/>
  <c r="H119" i="9"/>
  <c r="I119" i="9"/>
  <c r="G119" i="9"/>
  <c r="J119" i="9"/>
  <c r="G498" i="9"/>
  <c r="H498" i="9"/>
  <c r="J498" i="9"/>
  <c r="I498" i="9"/>
  <c r="H354" i="9"/>
  <c r="J354" i="9"/>
  <c r="I354" i="9"/>
  <c r="G354" i="9"/>
  <c r="G377" i="9"/>
  <c r="I377" i="9"/>
  <c r="H377" i="9"/>
  <c r="J377" i="9"/>
  <c r="G397" i="9"/>
  <c r="J397" i="9"/>
  <c r="I397" i="9"/>
  <c r="H397" i="9"/>
  <c r="H372" i="9"/>
  <c r="G372" i="9"/>
  <c r="J372" i="9"/>
  <c r="I372" i="9"/>
  <c r="I440" i="9"/>
  <c r="G440" i="9"/>
  <c r="J440" i="9"/>
  <c r="H440" i="9"/>
  <c r="G400" i="9"/>
  <c r="I400" i="9"/>
  <c r="H400" i="9"/>
  <c r="J400" i="9"/>
  <c r="I446" i="9"/>
  <c r="J446" i="9"/>
  <c r="G446" i="9"/>
  <c r="H446" i="9"/>
  <c r="G467" i="9"/>
  <c r="I467" i="9"/>
  <c r="J467" i="9"/>
  <c r="H467" i="9"/>
  <c r="G465" i="9"/>
  <c r="I465" i="9"/>
  <c r="H465" i="9"/>
  <c r="J465" i="9"/>
  <c r="G499" i="9"/>
  <c r="H499" i="9"/>
  <c r="J499" i="9"/>
  <c r="I499" i="9"/>
  <c r="G364" i="9"/>
  <c r="I364" i="9"/>
  <c r="H364" i="9"/>
  <c r="J364" i="9"/>
  <c r="H410" i="9"/>
  <c r="I410" i="9"/>
  <c r="G410" i="9"/>
  <c r="J410" i="9"/>
  <c r="G442" i="9"/>
  <c r="H442" i="9"/>
  <c r="I442" i="9"/>
  <c r="J442" i="9"/>
  <c r="G318" i="9"/>
  <c r="H318" i="9"/>
  <c r="J318" i="9"/>
  <c r="I318" i="9"/>
  <c r="G173" i="9"/>
  <c r="H173" i="9"/>
  <c r="I173" i="9"/>
  <c r="J173" i="9"/>
  <c r="G331" i="9"/>
  <c r="H331" i="9"/>
  <c r="I331" i="9"/>
  <c r="J331" i="9"/>
  <c r="I87" i="9"/>
  <c r="J87" i="9"/>
  <c r="G87" i="9"/>
  <c r="H87" i="9"/>
  <c r="G151" i="9"/>
  <c r="H151" i="9"/>
  <c r="J151" i="9"/>
  <c r="I151" i="9"/>
  <c r="G16" i="9"/>
  <c r="H16" i="9"/>
  <c r="J16" i="9"/>
  <c r="I16" i="9"/>
  <c r="G224" i="9"/>
  <c r="J224" i="9"/>
  <c r="I224" i="9"/>
  <c r="H224" i="9"/>
  <c r="G268" i="9"/>
  <c r="H268" i="9"/>
  <c r="I268" i="9"/>
  <c r="J268" i="9"/>
  <c r="I323" i="9"/>
  <c r="G323" i="9"/>
  <c r="H323" i="9"/>
  <c r="J323" i="9"/>
  <c r="J378" i="9"/>
  <c r="H378" i="9"/>
  <c r="I378" i="9"/>
  <c r="G378" i="9"/>
  <c r="G396" i="9"/>
  <c r="H396" i="9"/>
  <c r="J396" i="9"/>
  <c r="I396" i="9"/>
  <c r="J494" i="9"/>
  <c r="G494" i="9"/>
  <c r="I494" i="9"/>
  <c r="H494" i="9"/>
  <c r="I458" i="9"/>
  <c r="G458" i="9"/>
  <c r="J458" i="9"/>
  <c r="H458" i="9"/>
  <c r="I11" i="9"/>
  <c r="G11" i="9"/>
  <c r="J11" i="9"/>
  <c r="H11" i="9"/>
  <c r="J128" i="9"/>
  <c r="G128" i="9"/>
  <c r="H128" i="9"/>
  <c r="I128" i="9"/>
  <c r="J43" i="9"/>
  <c r="G43" i="9"/>
  <c r="H43" i="9"/>
  <c r="I43" i="9"/>
  <c r="I72" i="9"/>
  <c r="J72" i="9"/>
  <c r="H72" i="9"/>
  <c r="G72" i="9"/>
  <c r="G7" i="9"/>
  <c r="H7" i="9"/>
  <c r="I7" i="9"/>
  <c r="J7" i="9"/>
  <c r="H181" i="9"/>
  <c r="J181" i="9"/>
  <c r="G181" i="9"/>
  <c r="I181" i="9"/>
  <c r="H80" i="9"/>
  <c r="J80" i="9"/>
  <c r="G80" i="9"/>
  <c r="I80" i="9"/>
  <c r="H124" i="9"/>
  <c r="G124" i="9"/>
  <c r="I124" i="9"/>
  <c r="J124" i="9"/>
  <c r="G70" i="9"/>
  <c r="I70" i="9"/>
  <c r="H70" i="9"/>
  <c r="J70" i="9"/>
  <c r="G366" i="9"/>
  <c r="I366" i="9"/>
  <c r="H366" i="9"/>
  <c r="J366" i="9"/>
  <c r="G384" i="9"/>
  <c r="H384" i="9"/>
  <c r="I384" i="9"/>
  <c r="J384" i="9"/>
  <c r="I470" i="9"/>
  <c r="G470" i="9"/>
  <c r="J470" i="9"/>
  <c r="H470" i="9"/>
  <c r="H344" i="9"/>
  <c r="I344" i="9"/>
  <c r="G344" i="9"/>
  <c r="J344" i="9"/>
  <c r="I434" i="9"/>
  <c r="G434" i="9"/>
  <c r="H434" i="9"/>
  <c r="J434" i="9"/>
  <c r="J270" i="9"/>
  <c r="I270" i="9"/>
  <c r="H270" i="9"/>
  <c r="G270" i="9"/>
  <c r="I231" i="9"/>
  <c r="G231" i="9"/>
  <c r="H231" i="9"/>
  <c r="J231" i="9"/>
  <c r="I197" i="9"/>
  <c r="H197" i="9"/>
  <c r="J197" i="9"/>
  <c r="G197" i="9"/>
  <c r="I164" i="9"/>
  <c r="G164" i="9"/>
  <c r="H164" i="9"/>
  <c r="J164" i="9"/>
  <c r="J25" i="9"/>
  <c r="G25" i="9"/>
  <c r="I25" i="9"/>
  <c r="H25" i="9"/>
  <c r="I192" i="9"/>
  <c r="G192" i="9"/>
  <c r="J192" i="9"/>
  <c r="H192" i="9"/>
  <c r="I230" i="9"/>
  <c r="G230" i="9"/>
  <c r="J230" i="9"/>
  <c r="H230" i="9"/>
  <c r="I18" i="9"/>
  <c r="J18" i="9"/>
  <c r="G18" i="9"/>
  <c r="H18" i="9"/>
  <c r="J31" i="9"/>
  <c r="H31" i="9"/>
  <c r="I31" i="9"/>
  <c r="G31" i="9"/>
  <c r="G307" i="9"/>
  <c r="I307" i="9"/>
  <c r="J307" i="9"/>
  <c r="H307" i="9"/>
  <c r="G188" i="9"/>
  <c r="I188" i="9"/>
  <c r="J188" i="9"/>
  <c r="H188" i="9"/>
  <c r="I261" i="9"/>
  <c r="G261" i="9"/>
  <c r="H261" i="9"/>
  <c r="J261" i="9"/>
  <c r="G183" i="9"/>
  <c r="J183" i="9"/>
  <c r="I183" i="9"/>
  <c r="H183" i="9"/>
  <c r="I213" i="9"/>
  <c r="G213" i="9"/>
  <c r="J213" i="9"/>
  <c r="H213" i="9"/>
  <c r="J97" i="9"/>
  <c r="H97" i="9"/>
  <c r="G97" i="9"/>
  <c r="I97" i="9"/>
  <c r="I122" i="9"/>
  <c r="H122" i="9"/>
  <c r="G122" i="9"/>
  <c r="J122" i="9"/>
  <c r="G47" i="9"/>
  <c r="H47" i="9"/>
  <c r="J47" i="9"/>
  <c r="I47" i="9"/>
  <c r="H171" i="9"/>
  <c r="I171" i="9"/>
  <c r="G171" i="9"/>
  <c r="J171" i="9"/>
  <c r="G118" i="9"/>
  <c r="I118" i="9"/>
  <c r="H118" i="9"/>
  <c r="J118" i="9"/>
  <c r="H115" i="9"/>
  <c r="J115" i="9"/>
  <c r="G115" i="9"/>
  <c r="I115" i="9"/>
  <c r="G12" i="9"/>
  <c r="I12" i="9"/>
  <c r="H12" i="9"/>
  <c r="J12" i="9"/>
  <c r="I103" i="9"/>
  <c r="J103" i="9"/>
  <c r="H103" i="9"/>
  <c r="G103" i="9"/>
  <c r="G301" i="9"/>
  <c r="I301" i="9"/>
  <c r="J301" i="9"/>
  <c r="H301" i="9"/>
  <c r="I91" i="9"/>
  <c r="H91" i="9"/>
  <c r="J91" i="9"/>
  <c r="G91" i="9"/>
  <c r="G61" i="9"/>
  <c r="I61" i="9"/>
  <c r="H61" i="9"/>
  <c r="J61" i="9"/>
  <c r="I154" i="9"/>
  <c r="G154" i="9"/>
  <c r="J154" i="9"/>
  <c r="H154" i="9"/>
  <c r="I178" i="9"/>
  <c r="G178" i="9"/>
  <c r="J178" i="9"/>
  <c r="H178" i="9"/>
  <c r="I486" i="9"/>
  <c r="G486" i="9"/>
  <c r="J486" i="9"/>
  <c r="H486" i="9"/>
  <c r="I342" i="9"/>
  <c r="J342" i="9"/>
  <c r="H342" i="9"/>
  <c r="G342" i="9"/>
  <c r="H365" i="9"/>
  <c r="J365" i="9"/>
  <c r="G365" i="9"/>
  <c r="I365" i="9"/>
  <c r="I337" i="9"/>
  <c r="J337" i="9"/>
  <c r="H337" i="9"/>
  <c r="G337" i="9"/>
  <c r="I360" i="9"/>
  <c r="H360" i="9"/>
  <c r="J360" i="9"/>
  <c r="G360" i="9"/>
  <c r="G368" i="9"/>
  <c r="I368" i="9"/>
  <c r="H368" i="9"/>
  <c r="J368" i="9"/>
  <c r="G376" i="9"/>
  <c r="H376" i="9"/>
  <c r="I376" i="9"/>
  <c r="J376" i="9"/>
  <c r="I422" i="9"/>
  <c r="J422" i="9"/>
  <c r="H422" i="9"/>
  <c r="G422" i="9"/>
  <c r="I455" i="9"/>
  <c r="J455" i="9"/>
  <c r="H455" i="9"/>
  <c r="G455" i="9"/>
  <c r="H441" i="9"/>
  <c r="I441" i="9"/>
  <c r="G441" i="9"/>
  <c r="J441" i="9"/>
  <c r="G487" i="9"/>
  <c r="J487" i="9"/>
  <c r="H487" i="9"/>
  <c r="I487" i="9"/>
  <c r="I352" i="9"/>
  <c r="G352" i="9"/>
  <c r="H352" i="9"/>
  <c r="J352" i="9"/>
  <c r="H386" i="9"/>
  <c r="I386" i="9"/>
  <c r="G386" i="9"/>
  <c r="J386" i="9"/>
  <c r="I430" i="9"/>
  <c r="G430" i="9"/>
  <c r="J430" i="9"/>
  <c r="H430" i="9"/>
  <c r="I312" i="9"/>
  <c r="H312" i="9"/>
  <c r="J312" i="9"/>
  <c r="G312" i="9"/>
  <c r="G49" i="9"/>
  <c r="J49" i="9"/>
  <c r="H49" i="9"/>
  <c r="I49" i="9"/>
  <c r="G146" i="9"/>
  <c r="I146" i="9"/>
  <c r="J146" i="9"/>
  <c r="H146" i="9"/>
  <c r="G299" i="9"/>
  <c r="I299" i="9"/>
  <c r="H299" i="9"/>
  <c r="J299" i="9"/>
  <c r="I325" i="9"/>
  <c r="G325" i="9"/>
  <c r="H325" i="9"/>
  <c r="J325" i="9"/>
  <c r="H92" i="9"/>
  <c r="I92" i="9"/>
  <c r="J92" i="9"/>
  <c r="G92" i="9"/>
  <c r="I280" i="9"/>
  <c r="J280" i="9"/>
  <c r="H280" i="9"/>
  <c r="G280" i="9"/>
  <c r="I200" i="9"/>
  <c r="J200" i="9"/>
  <c r="G200" i="9"/>
  <c r="H200" i="9"/>
  <c r="G35" i="9"/>
  <c r="J35" i="9"/>
  <c r="H35" i="9"/>
  <c r="I35" i="9"/>
  <c r="G401" i="9"/>
  <c r="J401" i="9"/>
  <c r="H401" i="9"/>
  <c r="I401" i="9"/>
  <c r="H345" i="9"/>
  <c r="J345" i="9"/>
  <c r="I345" i="9"/>
  <c r="G345" i="9"/>
  <c r="J412" i="9"/>
  <c r="H412" i="9"/>
  <c r="G412" i="9"/>
  <c r="I412" i="9"/>
  <c r="I332" i="9"/>
  <c r="J332" i="9"/>
  <c r="H332" i="9"/>
  <c r="G332" i="9"/>
  <c r="I203" i="9"/>
  <c r="H203" i="9"/>
  <c r="G203" i="9"/>
  <c r="J203" i="9"/>
  <c r="J284" i="9"/>
  <c r="I284" i="9"/>
  <c r="H284" i="9"/>
  <c r="G284" i="9"/>
  <c r="H289" i="9"/>
  <c r="G289" i="9"/>
  <c r="I289" i="9"/>
  <c r="J289" i="9"/>
  <c r="G139" i="9"/>
  <c r="I139" i="9"/>
  <c r="J139" i="9"/>
  <c r="H139" i="9"/>
  <c r="J4" i="9"/>
  <c r="H4" i="9"/>
  <c r="I4" i="9"/>
  <c r="G4" i="9"/>
  <c r="H68" i="9"/>
  <c r="G68" i="9"/>
  <c r="I68" i="9"/>
  <c r="J68" i="9"/>
  <c r="J112" i="9"/>
  <c r="I112" i="9"/>
  <c r="H112" i="9"/>
  <c r="G112" i="9"/>
  <c r="J277" i="9"/>
  <c r="H277" i="9"/>
  <c r="I277" i="9"/>
  <c r="G277" i="9"/>
  <c r="J433" i="9"/>
  <c r="H433" i="9"/>
  <c r="I433" i="9"/>
  <c r="G433" i="9"/>
  <c r="G424" i="9"/>
  <c r="I424" i="9"/>
  <c r="H424" i="9"/>
  <c r="J424" i="9"/>
  <c r="G335" i="9"/>
  <c r="I335" i="9"/>
  <c r="H335" i="9"/>
  <c r="J335" i="9"/>
  <c r="I388" i="9"/>
  <c r="H388" i="9"/>
  <c r="G388" i="9"/>
  <c r="J388" i="9"/>
  <c r="I333" i="9"/>
  <c r="H333" i="9"/>
  <c r="G333" i="9"/>
  <c r="J333" i="9"/>
  <c r="G225" i="9"/>
  <c r="I225" i="9"/>
  <c r="H225" i="9"/>
  <c r="J225" i="9"/>
  <c r="G184" i="9"/>
  <c r="I184" i="9"/>
  <c r="H184" i="9"/>
  <c r="J184" i="9"/>
  <c r="J218" i="9"/>
  <c r="I218" i="9"/>
  <c r="G218" i="9"/>
  <c r="H218" i="9"/>
  <c r="I48" i="9"/>
  <c r="J48" i="9"/>
  <c r="G48" i="9"/>
  <c r="H48" i="9"/>
  <c r="G194" i="9"/>
  <c r="I194" i="9"/>
  <c r="H194" i="9"/>
  <c r="J194" i="9"/>
  <c r="I32" i="9"/>
  <c r="G32" i="9"/>
  <c r="J32" i="9"/>
  <c r="H32" i="9"/>
  <c r="J53" i="9"/>
  <c r="H53" i="9"/>
  <c r="I53" i="9"/>
  <c r="G53" i="9"/>
  <c r="I273" i="9"/>
  <c r="H273" i="9"/>
  <c r="J273" i="9"/>
  <c r="G273" i="9"/>
  <c r="H19" i="9"/>
  <c r="J19" i="9"/>
  <c r="G19" i="9"/>
  <c r="I19" i="9"/>
  <c r="G223" i="9"/>
  <c r="J223" i="9"/>
  <c r="H223" i="9"/>
  <c r="I223" i="9"/>
  <c r="I176" i="9"/>
  <c r="G176" i="9"/>
  <c r="J176" i="9"/>
  <c r="H176" i="9"/>
  <c r="I288" i="9"/>
  <c r="H288" i="9"/>
  <c r="G288" i="9"/>
  <c r="J288" i="9"/>
  <c r="G258" i="9"/>
  <c r="I258" i="9"/>
  <c r="J258" i="9"/>
  <c r="H258" i="9"/>
  <c r="G267" i="9"/>
  <c r="J267" i="9"/>
  <c r="I267" i="9"/>
  <c r="H267" i="9"/>
  <c r="G189" i="9"/>
  <c r="J189" i="9"/>
  <c r="I189" i="9"/>
  <c r="H189" i="9"/>
  <c r="G287" i="9"/>
  <c r="H287" i="9"/>
  <c r="J287" i="9"/>
  <c r="I287" i="9"/>
  <c r="G110" i="9"/>
  <c r="H110" i="9"/>
  <c r="I110" i="9"/>
  <c r="J110" i="9"/>
  <c r="G238" i="9"/>
  <c r="I238" i="9"/>
  <c r="H238" i="9"/>
  <c r="J238" i="9"/>
  <c r="I123" i="9"/>
  <c r="H123" i="9"/>
  <c r="J123" i="9"/>
  <c r="G123" i="9"/>
  <c r="J94" i="9"/>
  <c r="H94" i="9"/>
  <c r="I94" i="9"/>
  <c r="G94" i="9"/>
  <c r="G75" i="9"/>
  <c r="I75" i="9"/>
  <c r="H75" i="9"/>
  <c r="J75" i="9"/>
  <c r="I253" i="9"/>
  <c r="J253" i="9"/>
  <c r="G253" i="9"/>
  <c r="H253" i="9"/>
  <c r="J27" i="9"/>
  <c r="H27" i="9"/>
  <c r="I27" i="9"/>
  <c r="G27" i="9"/>
  <c r="G82" i="9"/>
  <c r="I82" i="9"/>
  <c r="H82" i="9"/>
  <c r="J82" i="9"/>
  <c r="I166" i="9"/>
  <c r="G166" i="9"/>
  <c r="J166" i="9"/>
  <c r="H166" i="9"/>
  <c r="I226" i="9"/>
  <c r="H226" i="9"/>
  <c r="J226" i="9"/>
  <c r="G226" i="9"/>
  <c r="J474" i="9"/>
  <c r="G474" i="9"/>
  <c r="I474" i="9"/>
  <c r="H474" i="9"/>
  <c r="J497" i="9"/>
  <c r="I497" i="9"/>
  <c r="G497" i="9"/>
  <c r="H497" i="9"/>
  <c r="H353" i="9"/>
  <c r="I353" i="9"/>
  <c r="J353" i="9"/>
  <c r="G353" i="9"/>
  <c r="J492" i="9"/>
  <c r="I492" i="9"/>
  <c r="H492" i="9"/>
  <c r="G492" i="9"/>
  <c r="I348" i="9"/>
  <c r="J348" i="9"/>
  <c r="G348" i="9"/>
  <c r="H348" i="9"/>
  <c r="J475" i="9"/>
  <c r="I475" i="9"/>
  <c r="H475" i="9"/>
  <c r="G475" i="9"/>
  <c r="I340" i="9"/>
  <c r="G340" i="9"/>
  <c r="J340" i="9"/>
  <c r="H340" i="9"/>
  <c r="I398" i="9"/>
  <c r="G398" i="9"/>
  <c r="H398" i="9"/>
  <c r="J398" i="9"/>
  <c r="J443" i="9"/>
  <c r="H443" i="9"/>
  <c r="I443" i="9"/>
  <c r="G443" i="9"/>
  <c r="I429" i="9"/>
  <c r="G429" i="9"/>
  <c r="J429" i="9"/>
  <c r="H429" i="9"/>
  <c r="H463" i="9"/>
  <c r="I463" i="9"/>
  <c r="J463" i="9"/>
  <c r="G463" i="9"/>
  <c r="I483" i="9"/>
  <c r="G483" i="9"/>
  <c r="H483" i="9"/>
  <c r="J483" i="9"/>
  <c r="G338" i="9"/>
  <c r="H338" i="9"/>
  <c r="J338" i="9"/>
  <c r="I338" i="9"/>
  <c r="I418" i="9"/>
  <c r="G418" i="9"/>
  <c r="J418" i="9"/>
  <c r="H418" i="9"/>
  <c r="I380" i="9"/>
  <c r="G380" i="9"/>
  <c r="J380" i="9"/>
  <c r="H380" i="9"/>
  <c r="I24" i="9"/>
  <c r="J24" i="9"/>
  <c r="G24" i="9"/>
  <c r="H24" i="9"/>
  <c r="J8" i="9"/>
  <c r="I8" i="9"/>
  <c r="H8" i="9"/>
  <c r="G8" i="9"/>
  <c r="I163" i="9"/>
  <c r="G163" i="9"/>
  <c r="H163" i="9"/>
  <c r="J163" i="9"/>
  <c r="G314" i="9"/>
  <c r="I314" i="9"/>
  <c r="J314" i="9"/>
  <c r="H314" i="9"/>
  <c r="G185" i="9"/>
  <c r="H185" i="9"/>
  <c r="I185" i="9"/>
  <c r="J185" i="9"/>
  <c r="H140" i="9"/>
  <c r="I140" i="9"/>
  <c r="G140" i="9"/>
  <c r="J140" i="9"/>
  <c r="I308" i="9"/>
  <c r="J308" i="9"/>
  <c r="G308" i="9"/>
  <c r="H308" i="9"/>
  <c r="G90" i="9"/>
  <c r="I90" i="9"/>
  <c r="J90" i="9"/>
  <c r="H90" i="9"/>
  <c r="H42" i="9"/>
  <c r="J42" i="9"/>
  <c r="I42" i="9"/>
  <c r="G42" i="9"/>
  <c r="J329" i="9"/>
  <c r="G329" i="9"/>
  <c r="H329" i="9"/>
  <c r="I329" i="9"/>
  <c r="H237" i="9"/>
  <c r="I237" i="9"/>
  <c r="G237" i="9"/>
  <c r="J237" i="9"/>
  <c r="I302" i="9"/>
  <c r="G302" i="9"/>
  <c r="J302" i="9"/>
  <c r="H302" i="9"/>
  <c r="I211" i="9"/>
  <c r="J211" i="9"/>
  <c r="G211" i="9"/>
  <c r="H211" i="9"/>
  <c r="J144" i="9"/>
  <c r="H144" i="9"/>
  <c r="I144" i="9"/>
  <c r="G144" i="9"/>
  <c r="G305" i="9"/>
  <c r="H305" i="9"/>
  <c r="J305" i="9"/>
  <c r="I305" i="9"/>
  <c r="H276" i="9"/>
  <c r="G276" i="9"/>
  <c r="J276" i="9"/>
  <c r="I276" i="9"/>
  <c r="I234" i="9"/>
  <c r="G234" i="9"/>
  <c r="H234" i="9"/>
  <c r="J234" i="9"/>
  <c r="I219" i="9"/>
  <c r="H219" i="9"/>
  <c r="G219" i="9"/>
  <c r="J219" i="9"/>
  <c r="I153" i="9"/>
  <c r="G153" i="9"/>
  <c r="H153" i="9"/>
  <c r="J153" i="9"/>
  <c r="I143" i="9"/>
  <c r="G143" i="9"/>
  <c r="H143" i="9"/>
  <c r="J143" i="9"/>
  <c r="I86" i="9"/>
  <c r="G86" i="9"/>
  <c r="H86" i="9"/>
  <c r="J86" i="9"/>
  <c r="I255" i="9"/>
  <c r="G255" i="9"/>
  <c r="H255" i="9"/>
  <c r="J255" i="9"/>
  <c r="J62" i="9"/>
  <c r="I62" i="9"/>
  <c r="G62" i="9"/>
  <c r="H62" i="9"/>
  <c r="G243" i="9"/>
  <c r="I243" i="9"/>
  <c r="J243" i="9"/>
  <c r="H243" i="9"/>
  <c r="J38" i="9"/>
  <c r="G38" i="9"/>
  <c r="H38" i="9"/>
  <c r="I38" i="9"/>
  <c r="I107" i="9"/>
  <c r="G107" i="9"/>
  <c r="J107" i="9"/>
  <c r="H107" i="9"/>
  <c r="I131" i="9"/>
  <c r="G131" i="9"/>
  <c r="J131" i="9"/>
  <c r="H131" i="9"/>
  <c r="J251" i="9"/>
  <c r="H251" i="9"/>
  <c r="I251" i="9"/>
  <c r="G251" i="9"/>
  <c r="G462" i="9"/>
  <c r="J462" i="9"/>
  <c r="I462" i="9"/>
  <c r="H462" i="9"/>
  <c r="I485" i="9"/>
  <c r="J485" i="9"/>
  <c r="H485" i="9"/>
  <c r="G485" i="9"/>
  <c r="I341" i="9"/>
  <c r="H341" i="9"/>
  <c r="G341" i="9"/>
  <c r="J341" i="9"/>
  <c r="I480" i="9"/>
  <c r="J480" i="9"/>
  <c r="G480" i="9"/>
  <c r="H480" i="9"/>
  <c r="G336" i="9"/>
  <c r="I336" i="9"/>
  <c r="H336" i="9"/>
  <c r="J336" i="9"/>
  <c r="J451" i="9"/>
  <c r="I451" i="9"/>
  <c r="G451" i="9"/>
  <c r="H451" i="9"/>
  <c r="I495" i="9"/>
  <c r="J495" i="9"/>
  <c r="G495" i="9"/>
  <c r="H495" i="9"/>
  <c r="I374" i="9"/>
  <c r="G374" i="9"/>
  <c r="J374" i="9"/>
  <c r="H374" i="9"/>
  <c r="G431" i="9"/>
  <c r="I431" i="9"/>
  <c r="H431" i="9"/>
  <c r="J431" i="9"/>
  <c r="G393" i="9"/>
  <c r="J393" i="9"/>
  <c r="H393" i="9"/>
  <c r="I393" i="9"/>
  <c r="I439" i="9"/>
  <c r="G439" i="9"/>
  <c r="J439" i="9"/>
  <c r="H439" i="9"/>
  <c r="J459" i="9"/>
  <c r="I459" i="9"/>
  <c r="H459" i="9"/>
  <c r="G459" i="9"/>
  <c r="I469" i="9"/>
  <c r="G469" i="9"/>
  <c r="J469" i="9"/>
  <c r="H469" i="9"/>
  <c r="I406" i="9"/>
  <c r="G406" i="9"/>
  <c r="H406" i="9"/>
  <c r="J406" i="9"/>
  <c r="G155" i="9"/>
  <c r="I155" i="9"/>
  <c r="H155" i="9"/>
  <c r="J155" i="9"/>
  <c r="I21" i="9"/>
  <c r="H21" i="9"/>
  <c r="G21" i="9"/>
  <c r="J21" i="9"/>
  <c r="H282" i="9"/>
  <c r="J282" i="9"/>
  <c r="I282" i="9"/>
  <c r="G282" i="9"/>
  <c r="I36" i="9"/>
  <c r="H36" i="9"/>
  <c r="G36" i="9"/>
  <c r="J36" i="9"/>
  <c r="G100" i="9"/>
  <c r="H100" i="9"/>
  <c r="J100" i="9"/>
  <c r="I100" i="9"/>
  <c r="G182" i="9"/>
  <c r="I182" i="9"/>
  <c r="H182" i="9"/>
  <c r="J182" i="9"/>
  <c r="G20" i="9"/>
  <c r="J20" i="9"/>
  <c r="I20" i="9"/>
  <c r="H20" i="9"/>
  <c r="I239" i="9"/>
  <c r="G239" i="9"/>
  <c r="J239" i="9"/>
  <c r="H239" i="9"/>
  <c r="I64" i="9"/>
  <c r="G64" i="9"/>
  <c r="J64" i="9"/>
  <c r="H64" i="9"/>
  <c r="I41" i="9"/>
  <c r="G41" i="9"/>
  <c r="J41" i="9"/>
  <c r="H41" i="9"/>
  <c r="J317" i="9"/>
  <c r="I317" i="9"/>
  <c r="H317" i="9"/>
  <c r="G317" i="9"/>
  <c r="G57" i="9"/>
  <c r="I57" i="9"/>
  <c r="H57" i="9"/>
  <c r="J57" i="9"/>
  <c r="G278" i="9"/>
  <c r="J278" i="9"/>
  <c r="H278" i="9"/>
  <c r="I278" i="9"/>
  <c r="I111" i="9"/>
  <c r="G111" i="9"/>
  <c r="H111" i="9"/>
  <c r="J111" i="9"/>
  <c r="I161" i="9"/>
  <c r="G161" i="9"/>
  <c r="H161" i="9"/>
  <c r="J161" i="9"/>
  <c r="G132" i="9"/>
  <c r="I132" i="9"/>
  <c r="J132" i="9"/>
  <c r="H132" i="9"/>
  <c r="I293" i="9"/>
  <c r="H293" i="9"/>
  <c r="G293" i="9"/>
  <c r="J293" i="9"/>
  <c r="G264" i="9"/>
  <c r="I264" i="9"/>
  <c r="J264" i="9"/>
  <c r="H264" i="9"/>
  <c r="J210" i="9"/>
  <c r="I210" i="9"/>
  <c r="H210" i="9"/>
  <c r="G210" i="9"/>
  <c r="I315" i="9"/>
  <c r="J315" i="9"/>
  <c r="G315" i="9"/>
  <c r="H315" i="9"/>
  <c r="H129" i="9"/>
  <c r="I129" i="9"/>
  <c r="G129" i="9"/>
  <c r="J129" i="9"/>
  <c r="J147" i="9"/>
  <c r="H147" i="9"/>
  <c r="I147" i="9"/>
  <c r="G147" i="9"/>
  <c r="G105" i="9"/>
  <c r="H105" i="9"/>
  <c r="I105" i="9"/>
  <c r="J105" i="9"/>
  <c r="I303" i="9"/>
  <c r="G303" i="9"/>
  <c r="H303" i="9"/>
  <c r="J303" i="9"/>
  <c r="G81" i="9"/>
  <c r="J81" i="9"/>
  <c r="I81" i="9"/>
  <c r="H81" i="9"/>
  <c r="G121" i="9"/>
  <c r="J121" i="9"/>
  <c r="I121" i="9"/>
  <c r="H121" i="9"/>
  <c r="H214" i="9"/>
  <c r="I214" i="9"/>
  <c r="J214" i="9"/>
  <c r="G214" i="9"/>
  <c r="G229" i="9"/>
  <c r="J229" i="9"/>
  <c r="H229" i="9"/>
  <c r="I229" i="9"/>
  <c r="I450" i="9"/>
  <c r="J450" i="9"/>
  <c r="G450" i="9"/>
  <c r="H450" i="9"/>
  <c r="H473" i="9"/>
  <c r="I473" i="9"/>
  <c r="J473" i="9"/>
  <c r="G473" i="9"/>
  <c r="G464" i="9"/>
  <c r="I464" i="9"/>
  <c r="H464" i="9"/>
  <c r="J464" i="9"/>
  <c r="I468" i="9"/>
  <c r="J468" i="9"/>
  <c r="H468" i="9"/>
  <c r="G468" i="9"/>
  <c r="I489" i="9"/>
  <c r="G489" i="9"/>
  <c r="J489" i="9"/>
  <c r="H489" i="9"/>
  <c r="H427" i="9"/>
  <c r="I427" i="9"/>
  <c r="J427" i="9"/>
  <c r="G427" i="9"/>
  <c r="G471" i="9"/>
  <c r="H471" i="9"/>
  <c r="I471" i="9"/>
  <c r="J471" i="9"/>
  <c r="H350" i="9"/>
  <c r="I350" i="9"/>
  <c r="G350" i="9"/>
  <c r="J350" i="9"/>
  <c r="G419" i="9"/>
  <c r="I419" i="9"/>
  <c r="H419" i="9"/>
  <c r="J419" i="9"/>
  <c r="I369" i="9"/>
  <c r="G369" i="9"/>
  <c r="H369" i="9"/>
  <c r="J369" i="9"/>
  <c r="I415" i="9"/>
  <c r="G415" i="9"/>
  <c r="J415" i="9"/>
  <c r="H415" i="9"/>
  <c r="J435" i="9"/>
  <c r="I435" i="9"/>
  <c r="H435" i="9"/>
  <c r="G435" i="9"/>
  <c r="J445" i="9"/>
  <c r="H445" i="9"/>
  <c r="G445" i="9"/>
  <c r="I445" i="9"/>
  <c r="G394" i="9"/>
  <c r="I394" i="9"/>
  <c r="H394" i="9"/>
  <c r="J394" i="9"/>
  <c r="G411" i="9"/>
  <c r="H411" i="9"/>
  <c r="J411" i="9"/>
  <c r="I411" i="9"/>
  <c r="H44" i="9"/>
  <c r="I44" i="9"/>
  <c r="G44" i="9"/>
  <c r="J44" i="9"/>
  <c r="I79" i="9"/>
  <c r="G79" i="9"/>
  <c r="J79" i="9"/>
  <c r="H79" i="9"/>
  <c r="J321" i="9"/>
  <c r="H321" i="9"/>
  <c r="G321" i="9"/>
  <c r="I321" i="9"/>
  <c r="I39" i="9"/>
  <c r="G39" i="9"/>
  <c r="J39" i="9"/>
  <c r="H39" i="9"/>
  <c r="G246" i="9"/>
  <c r="H246" i="9"/>
  <c r="J246" i="9"/>
  <c r="I246" i="9"/>
  <c r="I137" i="9"/>
  <c r="J137" i="9"/>
  <c r="H137" i="9"/>
  <c r="G137" i="9"/>
  <c r="G257" i="9"/>
  <c r="H257" i="9"/>
  <c r="I257" i="9"/>
  <c r="J257" i="9"/>
  <c r="I190" i="9"/>
  <c r="G190" i="9"/>
  <c r="H190" i="9"/>
  <c r="J190" i="9"/>
  <c r="I392" i="9"/>
  <c r="H392" i="9"/>
  <c r="J392" i="9"/>
  <c r="G392" i="9"/>
  <c r="I370" i="9"/>
  <c r="G370" i="9"/>
  <c r="J370" i="9"/>
  <c r="H370" i="9"/>
  <c r="J157" i="9"/>
  <c r="H157" i="9"/>
  <c r="G157" i="9"/>
  <c r="I157" i="9"/>
  <c r="G175" i="9"/>
  <c r="H175" i="9"/>
  <c r="I175" i="9"/>
  <c r="J175" i="9"/>
  <c r="I114" i="9"/>
  <c r="H114" i="9"/>
  <c r="G114" i="9"/>
  <c r="J114" i="9"/>
  <c r="G208" i="9"/>
  <c r="I208" i="9"/>
  <c r="J208" i="9"/>
  <c r="H208" i="9"/>
  <c r="J216" i="9"/>
  <c r="G216" i="9"/>
  <c r="H216" i="9"/>
  <c r="I216" i="9"/>
  <c r="H204" i="9"/>
  <c r="I204" i="9"/>
  <c r="G204" i="9"/>
  <c r="J204" i="9"/>
  <c r="G54" i="9"/>
  <c r="J54" i="9"/>
  <c r="H54" i="9"/>
  <c r="I54" i="9"/>
  <c r="I180" i="9"/>
  <c r="J180" i="9"/>
  <c r="H180" i="9"/>
  <c r="G180" i="9"/>
  <c r="H250" i="9"/>
  <c r="G250" i="9"/>
  <c r="I250" i="9"/>
  <c r="J250" i="9"/>
  <c r="I286" i="9"/>
  <c r="G286" i="9"/>
  <c r="J286" i="9"/>
  <c r="H286" i="9"/>
  <c r="I40" i="9"/>
  <c r="J40" i="9"/>
  <c r="H40" i="9"/>
  <c r="G40" i="9"/>
  <c r="G244" i="9"/>
  <c r="J244" i="9"/>
  <c r="H244" i="9"/>
  <c r="I244" i="9"/>
  <c r="J3" i="9"/>
  <c r="I3" i="9"/>
  <c r="H3" i="9"/>
  <c r="G3" i="9"/>
  <c r="J260" i="9"/>
  <c r="H260" i="9"/>
  <c r="I260" i="9"/>
  <c r="G260" i="9"/>
  <c r="H316" i="9"/>
  <c r="G316" i="9"/>
  <c r="I316" i="9"/>
  <c r="J316" i="9"/>
  <c r="G141" i="9"/>
  <c r="I141" i="9"/>
  <c r="J141" i="9"/>
  <c r="H141" i="9"/>
  <c r="G222" i="9"/>
  <c r="J222" i="9"/>
  <c r="I222" i="9"/>
  <c r="H222" i="9"/>
  <c r="J50" i="9"/>
  <c r="H50" i="9"/>
  <c r="I50" i="9"/>
  <c r="G50" i="9"/>
  <c r="H159" i="9"/>
  <c r="J159" i="9"/>
  <c r="I159" i="9"/>
  <c r="G159" i="9"/>
  <c r="I326" i="9"/>
  <c r="G326" i="9"/>
  <c r="H326" i="9"/>
  <c r="J326" i="9"/>
  <c r="H125" i="9"/>
  <c r="J125" i="9"/>
  <c r="I125" i="9"/>
  <c r="G125" i="9"/>
  <c r="H290" i="9"/>
  <c r="I290" i="9"/>
  <c r="G290" i="9"/>
  <c r="J290" i="9"/>
  <c r="H113" i="9"/>
  <c r="J113" i="9"/>
  <c r="I113" i="9"/>
  <c r="G113" i="9"/>
  <c r="I266" i="9"/>
  <c r="H266" i="9"/>
  <c r="J266" i="9"/>
  <c r="G266" i="9"/>
  <c r="J101" i="9"/>
  <c r="I101" i="9"/>
  <c r="G101" i="9"/>
  <c r="H101" i="9"/>
  <c r="J167" i="9"/>
  <c r="H167" i="9"/>
  <c r="G167" i="9"/>
  <c r="I167" i="9"/>
  <c r="G322" i="9"/>
  <c r="I322" i="9"/>
  <c r="J322" i="9"/>
  <c r="H322" i="9"/>
  <c r="J265" i="9"/>
  <c r="I265" i="9"/>
  <c r="G265" i="9"/>
  <c r="H265" i="9"/>
  <c r="I414" i="9"/>
  <c r="G414" i="9"/>
  <c r="H414" i="9"/>
  <c r="J414" i="9"/>
  <c r="I437" i="9"/>
  <c r="G437" i="9"/>
  <c r="H437" i="9"/>
  <c r="J437" i="9"/>
  <c r="I356" i="9"/>
  <c r="G356" i="9"/>
  <c r="J356" i="9"/>
  <c r="H356" i="9"/>
  <c r="G432" i="9"/>
  <c r="J432" i="9"/>
  <c r="H432" i="9"/>
  <c r="I432" i="9"/>
  <c r="I417" i="9"/>
  <c r="G417" i="9"/>
  <c r="J417" i="9"/>
  <c r="H417" i="9"/>
  <c r="H355" i="9"/>
  <c r="J355" i="9"/>
  <c r="I355" i="9"/>
  <c r="G355" i="9"/>
  <c r="G399" i="9"/>
  <c r="I399" i="9"/>
  <c r="J399" i="9"/>
  <c r="H399" i="9"/>
  <c r="J421" i="9"/>
  <c r="G421" i="9"/>
  <c r="H421" i="9"/>
  <c r="I421" i="9"/>
  <c r="I383" i="9"/>
  <c r="G383" i="9"/>
  <c r="H383" i="9"/>
  <c r="J383" i="9"/>
  <c r="H452" i="9"/>
  <c r="J452" i="9"/>
  <c r="G452" i="9"/>
  <c r="I452" i="9"/>
  <c r="G484" i="9"/>
  <c r="H484" i="9"/>
  <c r="J484" i="9"/>
  <c r="I484" i="9"/>
  <c r="J363" i="9"/>
  <c r="I363" i="9"/>
  <c r="G363" i="9"/>
  <c r="H363" i="9"/>
  <c r="J361" i="9"/>
  <c r="G361" i="9"/>
  <c r="I361" i="9"/>
  <c r="H361" i="9"/>
  <c r="I358" i="9"/>
  <c r="G358" i="9"/>
  <c r="J358" i="9"/>
  <c r="H358" i="9"/>
  <c r="H347" i="9"/>
  <c r="J347" i="9"/>
  <c r="I347" i="9"/>
  <c r="G347" i="9"/>
  <c r="I9" i="9"/>
  <c r="J9" i="9"/>
  <c r="G9" i="9"/>
  <c r="H9" i="9"/>
  <c r="J220" i="9"/>
  <c r="H220" i="9"/>
  <c r="I220" i="9"/>
  <c r="G220" i="9"/>
  <c r="G177" i="9"/>
  <c r="I177" i="9"/>
  <c r="H177" i="9"/>
  <c r="J177" i="9"/>
  <c r="I55" i="9"/>
  <c r="J55" i="9"/>
  <c r="G55" i="9"/>
  <c r="H55" i="9"/>
  <c r="G77" i="9"/>
  <c r="I77" i="9"/>
  <c r="J77" i="9"/>
  <c r="H77" i="9"/>
  <c r="H29" i="9"/>
  <c r="J29" i="9"/>
  <c r="G29" i="9"/>
  <c r="I29" i="9"/>
  <c r="H45" i="9"/>
  <c r="G45" i="9"/>
  <c r="J45" i="9"/>
  <c r="I45" i="9"/>
  <c r="J17" i="9"/>
  <c r="I17" i="9"/>
  <c r="H17" i="9"/>
  <c r="G17" i="9"/>
  <c r="J149" i="9"/>
  <c r="G149" i="9"/>
  <c r="I149" i="9"/>
  <c r="H149" i="9"/>
  <c r="I281" i="9"/>
  <c r="G281" i="9"/>
  <c r="H281" i="9"/>
  <c r="J281" i="9"/>
  <c r="I186" i="9"/>
  <c r="J186" i="9"/>
  <c r="H186" i="9"/>
  <c r="G186" i="9"/>
  <c r="J174" i="9"/>
  <c r="I174" i="9"/>
  <c r="G174" i="9"/>
  <c r="H174" i="9"/>
  <c r="I150" i="9"/>
  <c r="H150" i="9"/>
  <c r="G150" i="9"/>
  <c r="J150" i="9"/>
  <c r="G179" i="9"/>
  <c r="I179" i="9"/>
  <c r="J179" i="9"/>
  <c r="H179" i="9"/>
  <c r="I438" i="9"/>
  <c r="H438" i="9"/>
  <c r="J438" i="9"/>
  <c r="G438" i="9"/>
  <c r="I416" i="9"/>
  <c r="H416" i="9"/>
  <c r="J416" i="9"/>
  <c r="G416" i="9"/>
  <c r="I477" i="9"/>
  <c r="H477" i="9"/>
  <c r="J477" i="9"/>
  <c r="G477" i="9"/>
  <c r="I447" i="9"/>
  <c r="J447" i="9"/>
  <c r="H447" i="9"/>
  <c r="G447" i="9"/>
  <c r="I407" i="9"/>
  <c r="G407" i="9"/>
  <c r="H407" i="9"/>
  <c r="J407" i="9"/>
  <c r="I357" i="9"/>
  <c r="G357" i="9"/>
  <c r="J357" i="9"/>
  <c r="H357" i="9"/>
  <c r="I409" i="9"/>
  <c r="G409" i="9"/>
  <c r="J409" i="9"/>
  <c r="H409" i="9"/>
  <c r="G14" i="9"/>
  <c r="I14" i="9"/>
  <c r="H14" i="9"/>
  <c r="J14" i="9"/>
  <c r="I13" i="9"/>
  <c r="G13" i="9"/>
  <c r="J13" i="9"/>
  <c r="H13" i="9"/>
  <c r="I95" i="9"/>
  <c r="G95" i="9"/>
  <c r="H95" i="9"/>
  <c r="J95" i="9"/>
  <c r="I52" i="9"/>
  <c r="G52" i="9"/>
  <c r="J52" i="9"/>
  <c r="H52" i="9"/>
  <c r="J221" i="9"/>
  <c r="I221" i="9"/>
  <c r="G221" i="9"/>
  <c r="H221" i="9"/>
  <c r="G74" i="9"/>
  <c r="I74" i="9"/>
  <c r="H74" i="9"/>
  <c r="J74" i="9"/>
  <c r="G15" i="9"/>
  <c r="I15" i="9"/>
  <c r="J15" i="9"/>
  <c r="H15" i="9"/>
  <c r="I269" i="9"/>
  <c r="G269" i="9"/>
  <c r="J269" i="9"/>
  <c r="H269" i="9"/>
  <c r="J245" i="9"/>
  <c r="I245" i="9"/>
  <c r="H245" i="9"/>
  <c r="G245" i="9"/>
  <c r="J263" i="9"/>
  <c r="G263" i="9"/>
  <c r="H263" i="9"/>
  <c r="I263" i="9"/>
  <c r="G449" i="9"/>
  <c r="I449" i="9"/>
  <c r="H449" i="9"/>
  <c r="J449" i="9"/>
  <c r="J453" i="9"/>
  <c r="I453" i="9"/>
  <c r="H453" i="9"/>
  <c r="G453" i="9"/>
  <c r="J423" i="9"/>
  <c r="I423" i="9"/>
  <c r="G423" i="9"/>
  <c r="H423" i="9"/>
  <c r="G395" i="9"/>
  <c r="J395" i="9"/>
  <c r="H395" i="9"/>
  <c r="I395" i="9"/>
  <c r="H343" i="9"/>
  <c r="J343" i="9"/>
  <c r="G343" i="9"/>
  <c r="I343" i="9"/>
  <c r="I373" i="9"/>
  <c r="G373" i="9"/>
  <c r="J373" i="9"/>
  <c r="H373" i="9"/>
  <c r="H294" i="9"/>
  <c r="J294" i="9"/>
  <c r="G294" i="9"/>
  <c r="I294" i="9"/>
  <c r="H306" i="9"/>
  <c r="J306" i="9"/>
  <c r="I306" i="9"/>
  <c r="G306" i="9"/>
  <c r="H209" i="9"/>
  <c r="J209" i="9"/>
  <c r="G209" i="9"/>
  <c r="I209" i="9"/>
  <c r="I10" i="9"/>
  <c r="G10" i="9"/>
  <c r="J10" i="9"/>
  <c r="H10" i="9"/>
  <c r="G152" i="9"/>
  <c r="I152" i="9"/>
  <c r="H152" i="9"/>
  <c r="J152" i="9"/>
  <c r="G320" i="9"/>
  <c r="I320" i="9"/>
  <c r="J320" i="9"/>
  <c r="H320" i="9"/>
  <c r="I65" i="9"/>
  <c r="J65" i="9"/>
  <c r="H65" i="9"/>
  <c r="G65" i="9"/>
  <c r="G170" i="9"/>
  <c r="J170" i="9"/>
  <c r="I170" i="9"/>
  <c r="H170" i="9"/>
  <c r="G279" i="9"/>
  <c r="I279" i="9"/>
  <c r="H279" i="9"/>
  <c r="J279" i="9"/>
  <c r="H106" i="9"/>
  <c r="G106" i="9"/>
  <c r="J106" i="9"/>
  <c r="I106" i="9"/>
  <c r="I274" i="9"/>
  <c r="G274" i="9"/>
  <c r="J274" i="9"/>
  <c r="H274" i="9"/>
  <c r="I78" i="9"/>
  <c r="G78" i="9"/>
  <c r="J78" i="9"/>
  <c r="H78" i="9"/>
  <c r="H232" i="9"/>
  <c r="G232" i="9"/>
  <c r="J232" i="9"/>
  <c r="I232" i="9"/>
  <c r="I116" i="9"/>
  <c r="H116" i="9"/>
  <c r="J116" i="9"/>
  <c r="G116" i="9"/>
  <c r="I172" i="9"/>
  <c r="J172" i="9"/>
  <c r="G172" i="9"/>
  <c r="H172" i="9"/>
  <c r="G248" i="9"/>
  <c r="J248" i="9"/>
  <c r="I248" i="9"/>
  <c r="H248" i="9"/>
  <c r="I304" i="9"/>
  <c r="J304" i="9"/>
  <c r="H304" i="9"/>
  <c r="G304" i="9"/>
  <c r="I117" i="9"/>
  <c r="H117" i="9"/>
  <c r="G117" i="9"/>
  <c r="J117" i="9"/>
  <c r="H198" i="9"/>
  <c r="I198" i="9"/>
  <c r="J198" i="9"/>
  <c r="G198" i="9"/>
  <c r="I26" i="9"/>
  <c r="H26" i="9"/>
  <c r="J26" i="9"/>
  <c r="G26" i="9"/>
  <c r="I135" i="9"/>
  <c r="G135" i="9"/>
  <c r="J135" i="9"/>
  <c r="H135" i="9"/>
  <c r="G1" i="9"/>
  <c r="J1" i="9"/>
  <c r="I1" i="9"/>
  <c r="H1" i="9"/>
  <c r="J99" i="9"/>
  <c r="H99" i="9"/>
  <c r="I99" i="9"/>
  <c r="G99" i="9"/>
  <c r="J309" i="9"/>
  <c r="I309" i="9"/>
  <c r="H309" i="9"/>
  <c r="G309" i="9"/>
  <c r="G51" i="9"/>
  <c r="I51" i="9"/>
  <c r="J51" i="9"/>
  <c r="H51" i="9"/>
  <c r="H205" i="9"/>
  <c r="J205" i="9"/>
  <c r="G205" i="9"/>
  <c r="I205" i="9"/>
  <c r="I46" i="9"/>
  <c r="H46" i="9"/>
  <c r="J46" i="9"/>
  <c r="G46" i="9"/>
  <c r="G22" i="9"/>
  <c r="H22" i="9"/>
  <c r="J22" i="9"/>
  <c r="I22" i="9"/>
  <c r="I402" i="9"/>
  <c r="J402" i="9"/>
  <c r="G402" i="9"/>
  <c r="H402" i="9"/>
  <c r="G425" i="9"/>
  <c r="J425" i="9"/>
  <c r="I425" i="9"/>
  <c r="H425" i="9"/>
  <c r="I367" i="9"/>
  <c r="G367" i="9"/>
  <c r="J367" i="9"/>
  <c r="H367" i="9"/>
  <c r="G420" i="9"/>
  <c r="H420" i="9"/>
  <c r="I420" i="9"/>
  <c r="J420" i="9"/>
  <c r="J405" i="9"/>
  <c r="G405" i="9"/>
  <c r="H405" i="9"/>
  <c r="I405" i="9"/>
  <c r="I496" i="9"/>
  <c r="H496" i="9"/>
  <c r="G496" i="9"/>
  <c r="J496" i="9"/>
  <c r="I375" i="9"/>
  <c r="G375" i="9"/>
  <c r="H375" i="9"/>
  <c r="J375" i="9"/>
  <c r="G385" i="9"/>
  <c r="I385" i="9"/>
  <c r="H385" i="9"/>
  <c r="J385" i="9"/>
  <c r="I371" i="9"/>
  <c r="G371" i="9"/>
  <c r="J371" i="9"/>
  <c r="H371" i="9"/>
  <c r="J428" i="9"/>
  <c r="G428" i="9"/>
  <c r="H428" i="9"/>
  <c r="I428" i="9"/>
  <c r="I460" i="9"/>
  <c r="G460" i="9"/>
  <c r="H460" i="9"/>
  <c r="J460" i="9"/>
  <c r="I351" i="9"/>
  <c r="G351" i="9"/>
  <c r="H351" i="9"/>
  <c r="J351" i="9"/>
  <c r="J490" i="9"/>
  <c r="H490" i="9"/>
  <c r="I490" i="9"/>
  <c r="G490" i="9"/>
  <c r="I346" i="9"/>
  <c r="G346" i="9"/>
  <c r="H346" i="9"/>
  <c r="J346" i="9"/>
  <c r="G491" i="9"/>
  <c r="J491" i="9"/>
  <c r="I491" i="9"/>
  <c r="H491" i="9"/>
  <c r="G58" i="9"/>
  <c r="I58" i="9"/>
  <c r="J58" i="9"/>
  <c r="H58" i="9"/>
  <c r="J201" i="9"/>
  <c r="G201" i="9"/>
  <c r="I201" i="9"/>
  <c r="H201" i="9"/>
  <c r="I89" i="9"/>
  <c r="H89" i="9"/>
  <c r="J89" i="9"/>
  <c r="G89" i="9"/>
  <c r="H59" i="9"/>
  <c r="G59" i="9"/>
  <c r="I59" i="9"/>
  <c r="J59" i="9"/>
  <c r="H30" i="9"/>
  <c r="I30" i="9"/>
  <c r="G30" i="9"/>
  <c r="J30" i="9"/>
  <c r="I233" i="9"/>
  <c r="G233" i="9"/>
  <c r="J233" i="9"/>
  <c r="H233" i="9"/>
  <c r="I98" i="9"/>
  <c r="G98" i="9"/>
  <c r="J98" i="9"/>
  <c r="H98" i="9"/>
  <c r="H63" i="9"/>
  <c r="I63" i="9"/>
  <c r="J63" i="9"/>
  <c r="G63" i="9"/>
  <c r="G120" i="9"/>
  <c r="I120" i="9"/>
  <c r="H120" i="9"/>
  <c r="J120" i="9"/>
  <c r="G252" i="9"/>
  <c r="J252" i="9"/>
  <c r="I252" i="9"/>
  <c r="H252" i="9"/>
  <c r="I240" i="9"/>
  <c r="J240" i="9"/>
  <c r="G240" i="9"/>
  <c r="H240" i="9"/>
  <c r="G228" i="9"/>
  <c r="H228" i="9"/>
  <c r="I228" i="9"/>
  <c r="J228" i="9"/>
  <c r="I133" i="9"/>
  <c r="G133" i="9"/>
  <c r="J133" i="9"/>
  <c r="H133" i="9"/>
  <c r="J298" i="9"/>
  <c r="H298" i="9"/>
  <c r="G298" i="9"/>
  <c r="I298" i="9"/>
  <c r="J461" i="9"/>
  <c r="I461" i="9"/>
  <c r="G461" i="9"/>
  <c r="H461" i="9"/>
  <c r="I456" i="9"/>
  <c r="H456" i="9"/>
  <c r="G456" i="9"/>
  <c r="J456" i="9"/>
  <c r="G403" i="9"/>
  <c r="I403" i="9"/>
  <c r="H403" i="9"/>
  <c r="J403" i="9"/>
  <c r="G493" i="9"/>
  <c r="J493" i="9"/>
  <c r="H493" i="9"/>
  <c r="I493" i="9"/>
  <c r="H391" i="9"/>
  <c r="I391" i="9"/>
  <c r="G391" i="9"/>
  <c r="J391" i="9"/>
  <c r="H382" i="9"/>
  <c r="J382" i="9"/>
  <c r="I382" i="9"/>
  <c r="G382" i="9"/>
  <c r="G249" i="9"/>
  <c r="I249" i="9"/>
  <c r="H249" i="9"/>
  <c r="J249" i="9"/>
  <c r="H169" i="9"/>
  <c r="G169" i="9"/>
  <c r="I169" i="9"/>
  <c r="J169" i="9"/>
  <c r="H291" i="9"/>
  <c r="I291" i="9"/>
  <c r="J291" i="9"/>
  <c r="G291" i="9"/>
  <c r="I328" i="9"/>
  <c r="G328" i="9"/>
  <c r="H328" i="9"/>
  <c r="J328" i="9"/>
  <c r="G165" i="9"/>
  <c r="J165" i="9"/>
  <c r="I165" i="9"/>
  <c r="H165" i="9"/>
  <c r="H5" i="9"/>
  <c r="J5" i="9"/>
  <c r="I5" i="9"/>
  <c r="G5" i="9"/>
  <c r="H108" i="9"/>
  <c r="G108" i="9"/>
  <c r="I108" i="9"/>
  <c r="J108" i="9"/>
  <c r="J96" i="9"/>
  <c r="I96" i="9"/>
  <c r="G96" i="9"/>
  <c r="H96" i="9"/>
  <c r="H84" i="9"/>
  <c r="J84" i="9"/>
  <c r="I84" i="9"/>
  <c r="G84" i="9"/>
  <c r="J217" i="9"/>
  <c r="H217" i="9"/>
  <c r="G217" i="9"/>
  <c r="I217" i="9"/>
  <c r="J426" i="9"/>
  <c r="H426" i="9"/>
  <c r="I426" i="9"/>
  <c r="G426" i="9"/>
  <c r="J444" i="9"/>
  <c r="G444" i="9"/>
  <c r="H444" i="9"/>
  <c r="I444" i="9"/>
  <c r="J379" i="9"/>
  <c r="H379" i="9"/>
  <c r="G379" i="9"/>
  <c r="I379" i="9"/>
  <c r="G457" i="9"/>
  <c r="I457" i="9"/>
  <c r="J457" i="9"/>
  <c r="H457" i="9"/>
  <c r="I488" i="9"/>
  <c r="J488" i="9"/>
  <c r="G488" i="9"/>
  <c r="H488" i="9"/>
  <c r="J387" i="9"/>
  <c r="G387" i="9"/>
  <c r="I387" i="9"/>
  <c r="H387" i="9"/>
  <c r="G202" i="9"/>
  <c r="H202" i="9"/>
  <c r="J202" i="9"/>
  <c r="I202" i="9"/>
  <c r="G102" i="9"/>
  <c r="H102" i="9"/>
  <c r="J102" i="9"/>
  <c r="I102" i="9"/>
  <c r="I145" i="9"/>
  <c r="G145" i="9"/>
  <c r="J145" i="9"/>
  <c r="H145" i="9"/>
  <c r="G324" i="9"/>
  <c r="I324" i="9"/>
  <c r="H324" i="9"/>
  <c r="J324" i="9"/>
  <c r="G206" i="9"/>
  <c r="I206" i="9"/>
  <c r="J206" i="9"/>
  <c r="H206" i="9"/>
  <c r="J88" i="9"/>
  <c r="H88" i="9"/>
  <c r="I88" i="9"/>
  <c r="G88" i="9"/>
  <c r="G66" i="9"/>
  <c r="I66" i="9"/>
  <c r="H66" i="9"/>
  <c r="J66" i="9"/>
  <c r="J296" i="9"/>
  <c r="I296" i="9"/>
  <c r="H296" i="9"/>
  <c r="G296" i="9"/>
  <c r="H168" i="9"/>
  <c r="I168" i="9"/>
  <c r="G168" i="9"/>
  <c r="J168" i="9"/>
  <c r="J327" i="9"/>
  <c r="I327" i="9"/>
  <c r="G327" i="9"/>
  <c r="H327" i="9"/>
  <c r="H109" i="9"/>
  <c r="I109" i="9"/>
  <c r="G109" i="9"/>
  <c r="J109" i="9"/>
  <c r="H130" i="9"/>
  <c r="J130" i="9"/>
  <c r="I130" i="9"/>
  <c r="G130" i="9"/>
  <c r="J142" i="9"/>
  <c r="H142" i="9"/>
  <c r="I142" i="9"/>
  <c r="G142" i="9"/>
  <c r="J295" i="9"/>
  <c r="G295" i="9"/>
  <c r="I295" i="9"/>
  <c r="H295" i="9"/>
  <c r="H28" i="9"/>
  <c r="J28" i="9"/>
  <c r="I28" i="9"/>
  <c r="G28" i="9"/>
  <c r="G104" i="9"/>
  <c r="I104" i="9"/>
  <c r="H104" i="9"/>
  <c r="J104" i="9"/>
  <c r="I160" i="9"/>
  <c r="G160" i="9"/>
  <c r="J160" i="9"/>
  <c r="H160" i="9"/>
  <c r="I236" i="9"/>
  <c r="G236" i="9"/>
  <c r="J236" i="9"/>
  <c r="H236" i="9"/>
  <c r="I292" i="9"/>
  <c r="G292" i="9"/>
  <c r="H292" i="9"/>
  <c r="J292" i="9"/>
  <c r="J93" i="9"/>
  <c r="I93" i="9"/>
  <c r="G93" i="9"/>
  <c r="H93" i="9"/>
  <c r="J162" i="9"/>
  <c r="H162" i="9"/>
  <c r="I162" i="9"/>
  <c r="G162" i="9"/>
  <c r="H69" i="9"/>
  <c r="J69" i="9"/>
  <c r="I69" i="9"/>
  <c r="G69" i="9"/>
  <c r="J138" i="9"/>
  <c r="I138" i="9"/>
  <c r="H138" i="9"/>
  <c r="G138" i="9"/>
  <c r="J33" i="9"/>
  <c r="H33" i="9"/>
  <c r="G33" i="9"/>
  <c r="I33" i="9"/>
  <c r="I126" i="9"/>
  <c r="J126" i="9"/>
  <c r="G126" i="9"/>
  <c r="H126" i="9"/>
  <c r="I34" i="9"/>
  <c r="H34" i="9"/>
  <c r="G34" i="9"/>
  <c r="J34" i="9"/>
  <c r="G23" i="9"/>
  <c r="H23" i="9"/>
  <c r="J23" i="9"/>
  <c r="I23" i="9"/>
  <c r="I310" i="9"/>
  <c r="H310" i="9"/>
  <c r="G310" i="9"/>
  <c r="J310" i="9"/>
  <c r="J390" i="9"/>
  <c r="I390" i="9"/>
  <c r="G390" i="9"/>
  <c r="H390" i="9"/>
  <c r="I413" i="9"/>
  <c r="J413" i="9"/>
  <c r="H413" i="9"/>
  <c r="G413" i="9"/>
  <c r="J362" i="9"/>
  <c r="G362" i="9"/>
  <c r="H362" i="9"/>
  <c r="I362" i="9"/>
  <c r="J408" i="9"/>
  <c r="G408" i="9"/>
  <c r="H408" i="9"/>
  <c r="I408" i="9"/>
  <c r="J381" i="9"/>
  <c r="G381" i="9"/>
  <c r="H381" i="9"/>
  <c r="I381" i="9"/>
  <c r="I472" i="9"/>
  <c r="G472" i="9"/>
  <c r="H472" i="9"/>
  <c r="J472" i="9"/>
  <c r="J339" i="9"/>
  <c r="I339" i="9"/>
  <c r="G339" i="9"/>
  <c r="H339" i="9"/>
  <c r="G349" i="9"/>
  <c r="I349" i="9"/>
  <c r="J349" i="9"/>
  <c r="H349" i="9"/>
  <c r="I359" i="9"/>
  <c r="G359" i="9"/>
  <c r="J359" i="9"/>
  <c r="H359" i="9"/>
  <c r="I404" i="9"/>
  <c r="H404" i="9"/>
  <c r="G404" i="9"/>
  <c r="J404" i="9"/>
  <c r="J436" i="9"/>
  <c r="G436" i="9"/>
  <c r="I436" i="9"/>
  <c r="H436" i="9"/>
  <c r="I482" i="9"/>
  <c r="H482" i="9"/>
  <c r="G482" i="9"/>
  <c r="J482" i="9"/>
  <c r="H478" i="9"/>
  <c r="G478" i="9"/>
  <c r="J478" i="9"/>
  <c r="I478" i="9"/>
  <c r="I334" i="9"/>
  <c r="G334" i="9"/>
  <c r="H334" i="9"/>
  <c r="J334" i="9"/>
  <c r="A1" i="8"/>
  <c r="F2" i="6" s="1"/>
  <c r="C1" i="3"/>
  <c r="B1" i="8" a="1"/>
  <c r="B1" i="8" s="1"/>
  <c r="A2" i="8"/>
  <c r="F3" i="6" s="1"/>
  <c r="A3" i="8"/>
  <c r="A8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A7" i="3"/>
  <c r="F5" i="4" s="1"/>
  <c r="A11" i="3"/>
  <c r="A13" i="3"/>
  <c r="A12" i="3"/>
  <c r="A6" i="3"/>
  <c r="A3" i="1"/>
  <c r="A1" i="1"/>
  <c r="A5" i="3"/>
  <c r="F3" i="4" s="1"/>
  <c r="A2" i="1"/>
  <c r="F3" i="2" s="1"/>
  <c r="F5" i="6"/>
  <c r="N1" i="8"/>
  <c r="T1" i="8" s="1"/>
  <c r="R2" i="1" l="1"/>
  <c r="F4" i="2"/>
  <c r="I3" i="2" s="1"/>
  <c r="F6" i="6"/>
  <c r="AA2" i="8"/>
  <c r="I3" i="4"/>
  <c r="U2" i="3"/>
  <c r="I2" i="4" s="1"/>
  <c r="C1" i="1"/>
  <c r="M1" i="1" s="1"/>
  <c r="D1" i="1"/>
  <c r="F2" i="2"/>
  <c r="F4" i="6"/>
  <c r="I3" i="6" s="1"/>
  <c r="I2" i="6"/>
  <c r="P2" i="3"/>
  <c r="E296" i="8"/>
  <c r="F296" i="8" s="1"/>
  <c r="C1" i="8"/>
  <c r="Y1" i="8" s="1"/>
  <c r="D31" i="1"/>
  <c r="F1" i="2"/>
  <c r="G324" i="3"/>
  <c r="G321" i="3"/>
  <c r="G320" i="3"/>
  <c r="G268" i="3"/>
  <c r="G41" i="3"/>
  <c r="G42" i="3"/>
  <c r="H1" i="3"/>
  <c r="I1" i="3" s="1"/>
  <c r="G39" i="3"/>
  <c r="G478" i="3"/>
  <c r="H471" i="3"/>
  <c r="I471" i="3" s="1"/>
  <c r="G241" i="3"/>
  <c r="H6" i="3"/>
  <c r="I6" i="3" s="1"/>
  <c r="G476" i="3"/>
  <c r="H37" i="3"/>
  <c r="I37" i="3" s="1"/>
  <c r="H107" i="3"/>
  <c r="I107" i="3" s="1"/>
  <c r="H172" i="3"/>
  <c r="I172" i="3" s="1"/>
  <c r="H273" i="3"/>
  <c r="I273" i="3" s="1"/>
  <c r="H332" i="3"/>
  <c r="I332" i="3" s="1"/>
  <c r="H381" i="3"/>
  <c r="I381" i="3" s="1"/>
  <c r="H459" i="3"/>
  <c r="I459" i="3" s="1"/>
  <c r="G35" i="3"/>
  <c r="G66" i="3"/>
  <c r="G103" i="3"/>
  <c r="G142" i="3"/>
  <c r="G180" i="3"/>
  <c r="G216" i="3"/>
  <c r="G242" i="3"/>
  <c r="G277" i="3"/>
  <c r="G308" i="3"/>
  <c r="G343" i="3"/>
  <c r="G373" i="3"/>
  <c r="G398" i="3"/>
  <c r="G429" i="3"/>
  <c r="G458" i="3"/>
  <c r="G489" i="3"/>
  <c r="H38" i="3"/>
  <c r="I38" i="3" s="1"/>
  <c r="H110" i="3"/>
  <c r="I110" i="3" s="1"/>
  <c r="H197" i="3"/>
  <c r="I197" i="3" s="1"/>
  <c r="H274" i="3"/>
  <c r="I274" i="3" s="1"/>
  <c r="H333" i="3"/>
  <c r="I333" i="3" s="1"/>
  <c r="H402" i="3"/>
  <c r="I402" i="3" s="1"/>
  <c r="H464" i="3"/>
  <c r="I464" i="3" s="1"/>
  <c r="G37" i="3"/>
  <c r="G74" i="3"/>
  <c r="G104" i="3"/>
  <c r="G145" i="3"/>
  <c r="G183" i="3"/>
  <c r="G218" i="3"/>
  <c r="G252" i="3"/>
  <c r="G278" i="3"/>
  <c r="G312" i="3"/>
  <c r="G344" i="3"/>
  <c r="G375" i="3"/>
  <c r="G407" i="3"/>
  <c r="G430" i="3"/>
  <c r="G461" i="3"/>
  <c r="G490" i="3"/>
  <c r="H39" i="3"/>
  <c r="I39" i="3" s="1"/>
  <c r="H124" i="3"/>
  <c r="I124" i="3" s="1"/>
  <c r="H198" i="3"/>
  <c r="I198" i="3" s="1"/>
  <c r="H275" i="3"/>
  <c r="I275" i="3" s="1"/>
  <c r="H344" i="3"/>
  <c r="I344" i="3" s="1"/>
  <c r="H403" i="3"/>
  <c r="I403" i="3" s="1"/>
  <c r="H465" i="3"/>
  <c r="I465" i="3" s="1"/>
  <c r="G38" i="3"/>
  <c r="G75" i="3"/>
  <c r="G106" i="3"/>
  <c r="G146" i="3"/>
  <c r="G185" i="3"/>
  <c r="G219" i="3"/>
  <c r="G253" i="3"/>
  <c r="G279" i="3"/>
  <c r="G314" i="3"/>
  <c r="G345" i="3"/>
  <c r="G376" i="3"/>
  <c r="G408" i="3"/>
  <c r="G432" i="3"/>
  <c r="H53" i="3"/>
  <c r="I53" i="3" s="1"/>
  <c r="H167" i="3"/>
  <c r="I167" i="3" s="1"/>
  <c r="H277" i="3"/>
  <c r="I277" i="3" s="1"/>
  <c r="H369" i="3"/>
  <c r="I369" i="3" s="1"/>
  <c r="H436" i="3"/>
  <c r="I436" i="3" s="1"/>
  <c r="G60" i="3"/>
  <c r="G119" i="3"/>
  <c r="G160" i="3"/>
  <c r="G205" i="3"/>
  <c r="G254" i="3"/>
  <c r="G293" i="3"/>
  <c r="G329" i="3"/>
  <c r="G377" i="3"/>
  <c r="G416" i="3"/>
  <c r="G454" i="3"/>
  <c r="G488" i="3"/>
  <c r="G1" i="3"/>
  <c r="H211" i="3"/>
  <c r="I211" i="3" s="1"/>
  <c r="H281" i="3"/>
  <c r="I281" i="3" s="1"/>
  <c r="H373" i="3"/>
  <c r="I373" i="3" s="1"/>
  <c r="H467" i="3"/>
  <c r="I467" i="3" s="1"/>
  <c r="G20" i="3"/>
  <c r="G76" i="3"/>
  <c r="G124" i="3"/>
  <c r="G167" i="3"/>
  <c r="G220" i="3"/>
  <c r="G263" i="3"/>
  <c r="G303" i="3"/>
  <c r="G346" i="3"/>
  <c r="G382" i="3"/>
  <c r="G424" i="3"/>
  <c r="G494" i="3"/>
  <c r="H99" i="3"/>
  <c r="I99" i="3" s="1"/>
  <c r="H78" i="3"/>
  <c r="I78" i="3" s="1"/>
  <c r="H170" i="3"/>
  <c r="I170" i="3" s="1"/>
  <c r="H279" i="3"/>
  <c r="I279" i="3" s="1"/>
  <c r="H370" i="3"/>
  <c r="I370" i="3" s="1"/>
  <c r="H442" i="3"/>
  <c r="I442" i="3" s="1"/>
  <c r="G15" i="3"/>
  <c r="G61" i="3"/>
  <c r="G120" i="3"/>
  <c r="G162" i="3"/>
  <c r="G206" i="3"/>
  <c r="G255" i="3"/>
  <c r="G295" i="3"/>
  <c r="G331" i="3"/>
  <c r="G380" i="3"/>
  <c r="G422" i="3"/>
  <c r="G455" i="3"/>
  <c r="G491" i="3"/>
  <c r="H83" i="3"/>
  <c r="I83" i="3" s="1"/>
  <c r="H171" i="3"/>
  <c r="I171" i="3" s="1"/>
  <c r="H280" i="3"/>
  <c r="I280" i="3" s="1"/>
  <c r="H371" i="3"/>
  <c r="I371" i="3" s="1"/>
  <c r="H458" i="3"/>
  <c r="I458" i="3" s="1"/>
  <c r="G16" i="3"/>
  <c r="G63" i="3"/>
  <c r="G123" i="3"/>
  <c r="G163" i="3"/>
  <c r="G214" i="3"/>
  <c r="G262" i="3"/>
  <c r="G297" i="3"/>
  <c r="G341" i="3"/>
  <c r="G381" i="3"/>
  <c r="G423" i="3"/>
  <c r="G456" i="3"/>
  <c r="G493" i="3"/>
  <c r="H93" i="3"/>
  <c r="I93" i="3" s="1"/>
  <c r="G463" i="3"/>
  <c r="H212" i="3"/>
  <c r="I212" i="3" s="1"/>
  <c r="H308" i="3"/>
  <c r="I308" i="3" s="1"/>
  <c r="H379" i="3"/>
  <c r="I379" i="3" s="1"/>
  <c r="H470" i="3"/>
  <c r="I470" i="3" s="1"/>
  <c r="G23" i="3"/>
  <c r="H164" i="3"/>
  <c r="I164" i="3" s="1"/>
  <c r="H319" i="3"/>
  <c r="I319" i="3" s="1"/>
  <c r="H472" i="3"/>
  <c r="I472" i="3" s="1"/>
  <c r="G44" i="3"/>
  <c r="G127" i="3"/>
  <c r="G196" i="3"/>
  <c r="G271" i="3"/>
  <c r="G325" i="3"/>
  <c r="G394" i="3"/>
  <c r="G445" i="3"/>
  <c r="H4" i="3"/>
  <c r="I4" i="3" s="1"/>
  <c r="H166" i="3"/>
  <c r="I166" i="3" s="1"/>
  <c r="H345" i="3"/>
  <c r="I345" i="3" s="1"/>
  <c r="H490" i="3"/>
  <c r="I490" i="3" s="1"/>
  <c r="G58" i="3"/>
  <c r="G137" i="3"/>
  <c r="G199" i="3"/>
  <c r="G272" i="3"/>
  <c r="G327" i="3"/>
  <c r="G395" i="3"/>
  <c r="G446" i="3"/>
  <c r="H9" i="3"/>
  <c r="I9" i="3" s="1"/>
  <c r="H214" i="3"/>
  <c r="I214" i="3" s="1"/>
  <c r="H352" i="3"/>
  <c r="I352" i="3" s="1"/>
  <c r="H494" i="3"/>
  <c r="I494" i="3" s="1"/>
  <c r="G138" i="3"/>
  <c r="G201" i="3"/>
  <c r="G273" i="3"/>
  <c r="G328" i="3"/>
  <c r="G396" i="3"/>
  <c r="G447" i="3"/>
  <c r="H229" i="3"/>
  <c r="I229" i="3" s="1"/>
  <c r="G77" i="3"/>
  <c r="G139" i="3"/>
  <c r="G275" i="3"/>
  <c r="G347" i="3"/>
  <c r="G397" i="3"/>
  <c r="G469" i="3"/>
  <c r="H230" i="3"/>
  <c r="I230" i="3" s="1"/>
  <c r="G224" i="3"/>
  <c r="G409" i="3"/>
  <c r="H46" i="3"/>
  <c r="I46" i="3" s="1"/>
  <c r="G87" i="3"/>
  <c r="G225" i="3"/>
  <c r="G357" i="3"/>
  <c r="G472" i="3"/>
  <c r="H52" i="3"/>
  <c r="I52" i="3" s="1"/>
  <c r="H415" i="3"/>
  <c r="I415" i="3" s="1"/>
  <c r="G159" i="3"/>
  <c r="G237" i="3"/>
  <c r="G358" i="3"/>
  <c r="G473" i="3"/>
  <c r="H250" i="3"/>
  <c r="I250" i="3" s="1"/>
  <c r="G238" i="3"/>
  <c r="G304" i="3"/>
  <c r="G425" i="3"/>
  <c r="G475" i="3"/>
  <c r="H125" i="3"/>
  <c r="I125" i="3" s="1"/>
  <c r="H423" i="3"/>
  <c r="I423" i="3" s="1"/>
  <c r="G99" i="3"/>
  <c r="G179" i="3"/>
  <c r="G305" i="3"/>
  <c r="G428" i="3"/>
  <c r="G59" i="3"/>
  <c r="H31" i="3"/>
  <c r="I31" i="3" s="1"/>
  <c r="H367" i="3"/>
  <c r="I367" i="3" s="1"/>
  <c r="G223" i="3"/>
  <c r="H40" i="3"/>
  <c r="I40" i="3" s="1"/>
  <c r="H380" i="3"/>
  <c r="I380" i="3" s="1"/>
  <c r="G86" i="3"/>
  <c r="G157" i="3"/>
  <c r="G289" i="3"/>
  <c r="G356" i="3"/>
  <c r="G471" i="3"/>
  <c r="H238" i="3"/>
  <c r="I238" i="3" s="1"/>
  <c r="H413" i="3"/>
  <c r="I413" i="3" s="1"/>
  <c r="G158" i="3"/>
  <c r="G290" i="3"/>
  <c r="G410" i="3"/>
  <c r="H241" i="3"/>
  <c r="I241" i="3" s="1"/>
  <c r="G94" i="3"/>
  <c r="G292" i="3"/>
  <c r="G415" i="3"/>
  <c r="H101" i="3"/>
  <c r="I101" i="3" s="1"/>
  <c r="H416" i="3"/>
  <c r="I416" i="3" s="1"/>
  <c r="G95" i="3"/>
  <c r="G170" i="3"/>
  <c r="G359" i="3"/>
  <c r="H272" i="3"/>
  <c r="I272" i="3" s="1"/>
  <c r="G34" i="3"/>
  <c r="G239" i="3"/>
  <c r="G363" i="3"/>
  <c r="G477" i="3"/>
  <c r="H434" i="3"/>
  <c r="I434" i="3" s="1"/>
  <c r="G240" i="3"/>
  <c r="H424" i="3"/>
  <c r="I424" i="3" s="1"/>
  <c r="G443" i="3"/>
  <c r="G194" i="3"/>
  <c r="H318" i="3"/>
  <c r="I318" i="3" s="1"/>
  <c r="G442" i="3"/>
  <c r="G188" i="3"/>
  <c r="H317" i="3"/>
  <c r="I317" i="3" s="1"/>
  <c r="G441" i="3"/>
  <c r="G187" i="3"/>
  <c r="H310" i="3"/>
  <c r="I310" i="3" s="1"/>
  <c r="G393" i="3"/>
  <c r="G125" i="3"/>
  <c r="H157" i="3"/>
  <c r="I157" i="3" s="1"/>
  <c r="G372" i="3"/>
  <c r="G102" i="3"/>
  <c r="H155" i="3"/>
  <c r="I155" i="3" s="1"/>
  <c r="G364" i="3"/>
  <c r="G101" i="3"/>
  <c r="H134" i="3"/>
  <c r="I134" i="3" s="1"/>
  <c r="H77" i="3"/>
  <c r="I77" i="3" s="1"/>
  <c r="G10" i="3"/>
  <c r="H489" i="3"/>
  <c r="I489" i="3" s="1"/>
  <c r="H441" i="3"/>
  <c r="I441" i="3" s="1"/>
  <c r="H400" i="3"/>
  <c r="I400" i="3" s="1"/>
  <c r="H351" i="3"/>
  <c r="I351" i="3" s="1"/>
  <c r="H307" i="3"/>
  <c r="I307" i="3" s="1"/>
  <c r="H249" i="3"/>
  <c r="I249" i="3" s="1"/>
  <c r="H196" i="3"/>
  <c r="I196" i="3" s="1"/>
  <c r="H133" i="3"/>
  <c r="I133" i="3" s="1"/>
  <c r="H17" i="3"/>
  <c r="I17" i="3" s="1"/>
  <c r="H30" i="3"/>
  <c r="I30" i="3" s="1"/>
  <c r="H43" i="3"/>
  <c r="I43" i="3" s="1"/>
  <c r="H56" i="3"/>
  <c r="I56" i="3" s="1"/>
  <c r="H69" i="3"/>
  <c r="I69" i="3" s="1"/>
  <c r="H82" i="3"/>
  <c r="I82" i="3" s="1"/>
  <c r="H95" i="3"/>
  <c r="I95" i="3" s="1"/>
  <c r="H109" i="3"/>
  <c r="I109" i="3" s="1"/>
  <c r="H122" i="3"/>
  <c r="I122" i="3" s="1"/>
  <c r="H135" i="3"/>
  <c r="I135" i="3" s="1"/>
  <c r="H148" i="3"/>
  <c r="I148" i="3" s="1"/>
  <c r="H161" i="3"/>
  <c r="I161" i="3" s="1"/>
  <c r="H174" i="3"/>
  <c r="I174" i="3" s="1"/>
  <c r="H187" i="3"/>
  <c r="I187" i="3" s="1"/>
  <c r="H200" i="3"/>
  <c r="I200" i="3" s="1"/>
  <c r="H213" i="3"/>
  <c r="I213" i="3" s="1"/>
  <c r="H226" i="3"/>
  <c r="I226" i="3" s="1"/>
  <c r="H239" i="3"/>
  <c r="I239" i="3" s="1"/>
  <c r="H253" i="3"/>
  <c r="I253" i="3" s="1"/>
  <c r="H266" i="3"/>
  <c r="I266" i="3" s="1"/>
  <c r="H16" i="3"/>
  <c r="I16" i="3" s="1"/>
  <c r="H32" i="3"/>
  <c r="I32" i="3" s="1"/>
  <c r="H49" i="3"/>
  <c r="I49" i="3" s="1"/>
  <c r="H64" i="3"/>
  <c r="I64" i="3" s="1"/>
  <c r="H79" i="3"/>
  <c r="I79" i="3" s="1"/>
  <c r="H94" i="3"/>
  <c r="I94" i="3" s="1"/>
  <c r="H111" i="3"/>
  <c r="I111" i="3" s="1"/>
  <c r="H127" i="3"/>
  <c r="I127" i="3" s="1"/>
  <c r="H142" i="3"/>
  <c r="I142" i="3" s="1"/>
  <c r="H158" i="3"/>
  <c r="I158" i="3" s="1"/>
  <c r="H173" i="3"/>
  <c r="I173" i="3" s="1"/>
  <c r="H189" i="3"/>
  <c r="I189" i="3" s="1"/>
  <c r="H206" i="3"/>
  <c r="I206" i="3" s="1"/>
  <c r="H221" i="3"/>
  <c r="I221" i="3" s="1"/>
  <c r="H236" i="3"/>
  <c r="I236" i="3" s="1"/>
  <c r="H251" i="3"/>
  <c r="I251" i="3" s="1"/>
  <c r="H268" i="3"/>
  <c r="I268" i="3" s="1"/>
  <c r="H282" i="3"/>
  <c r="I282" i="3" s="1"/>
  <c r="H297" i="3"/>
  <c r="I297" i="3" s="1"/>
  <c r="H311" i="3"/>
  <c r="I311" i="3" s="1"/>
  <c r="H326" i="3"/>
  <c r="I326" i="3" s="1"/>
  <c r="H340" i="3"/>
  <c r="I340" i="3" s="1"/>
  <c r="H354" i="3"/>
  <c r="I354" i="3" s="1"/>
  <c r="H368" i="3"/>
  <c r="I368" i="3" s="1"/>
  <c r="H382" i="3"/>
  <c r="I382" i="3" s="1"/>
  <c r="H397" i="3"/>
  <c r="I397" i="3" s="1"/>
  <c r="H411" i="3"/>
  <c r="I411" i="3" s="1"/>
  <c r="H425" i="3"/>
  <c r="I425" i="3" s="1"/>
  <c r="H439" i="3"/>
  <c r="I439" i="3" s="1"/>
  <c r="H454" i="3"/>
  <c r="I454" i="3" s="1"/>
  <c r="H469" i="3"/>
  <c r="I469" i="3" s="1"/>
  <c r="H483" i="3"/>
  <c r="I483" i="3" s="1"/>
  <c r="H497" i="3"/>
  <c r="I497" i="3" s="1"/>
  <c r="G12" i="3"/>
  <c r="G26" i="3"/>
  <c r="G40" i="3"/>
  <c r="G54" i="3"/>
  <c r="G68" i="3"/>
  <c r="G84" i="3"/>
  <c r="G98" i="3"/>
  <c r="G112" i="3"/>
  <c r="G126" i="3"/>
  <c r="G140" i="3"/>
  <c r="G155" i="3"/>
  <c r="G169" i="3"/>
  <c r="G182" i="3"/>
  <c r="G195" i="3"/>
  <c r="G208" i="3"/>
  <c r="G221" i="3"/>
  <c r="G235" i="3"/>
  <c r="G248" i="3"/>
  <c r="G261" i="3"/>
  <c r="G274" i="3"/>
  <c r="G287" i="3"/>
  <c r="G300" i="3"/>
  <c r="G313" i="3"/>
  <c r="G326" i="3"/>
  <c r="G339" i="3"/>
  <c r="G352" i="3"/>
  <c r="G365" i="3"/>
  <c r="G379" i="3"/>
  <c r="G392" i="3"/>
  <c r="G405" i="3"/>
  <c r="G418" i="3"/>
  <c r="G431" i="3"/>
  <c r="G444" i="3"/>
  <c r="G457" i="3"/>
  <c r="G470" i="3"/>
  <c r="G483" i="3"/>
  <c r="G496" i="3"/>
  <c r="H18" i="3"/>
  <c r="I18" i="3" s="1"/>
  <c r="H33" i="3"/>
  <c r="I33" i="3" s="1"/>
  <c r="H50" i="3"/>
  <c r="I50" i="3" s="1"/>
  <c r="H65" i="3"/>
  <c r="I65" i="3" s="1"/>
  <c r="H80" i="3"/>
  <c r="I80" i="3" s="1"/>
  <c r="H97" i="3"/>
  <c r="I97" i="3" s="1"/>
  <c r="H112" i="3"/>
  <c r="I112" i="3" s="1"/>
  <c r="H128" i="3"/>
  <c r="I128" i="3" s="1"/>
  <c r="H143" i="3"/>
  <c r="I143" i="3" s="1"/>
  <c r="H159" i="3"/>
  <c r="I159" i="3" s="1"/>
  <c r="H175" i="3"/>
  <c r="I175" i="3" s="1"/>
  <c r="H190" i="3"/>
  <c r="I190" i="3" s="1"/>
  <c r="H207" i="3"/>
  <c r="I207" i="3" s="1"/>
  <c r="H222" i="3"/>
  <c r="I222" i="3" s="1"/>
  <c r="H237" i="3"/>
  <c r="I237" i="3" s="1"/>
  <c r="H254" i="3"/>
  <c r="I254" i="3" s="1"/>
  <c r="H269" i="3"/>
  <c r="I269" i="3" s="1"/>
  <c r="H284" i="3"/>
  <c r="I284" i="3" s="1"/>
  <c r="H298" i="3"/>
  <c r="I298" i="3" s="1"/>
  <c r="H313" i="3"/>
  <c r="I313" i="3" s="1"/>
  <c r="H327" i="3"/>
  <c r="I327" i="3" s="1"/>
  <c r="H2" i="3"/>
  <c r="I2" i="3" s="1"/>
  <c r="H19" i="3"/>
  <c r="I19" i="3" s="1"/>
  <c r="H35" i="3"/>
  <c r="I35" i="3" s="1"/>
  <c r="H51" i="3"/>
  <c r="I51" i="3" s="1"/>
  <c r="H66" i="3"/>
  <c r="I66" i="3" s="1"/>
  <c r="H81" i="3"/>
  <c r="I81" i="3" s="1"/>
  <c r="H98" i="3"/>
  <c r="I98" i="3" s="1"/>
  <c r="H114" i="3"/>
  <c r="I114" i="3" s="1"/>
  <c r="H129" i="3"/>
  <c r="I129" i="3" s="1"/>
  <c r="H145" i="3"/>
  <c r="I145" i="3" s="1"/>
  <c r="H10" i="3"/>
  <c r="I10" i="3" s="1"/>
  <c r="H27" i="3"/>
  <c r="I27" i="3" s="1"/>
  <c r="H42" i="3"/>
  <c r="I42" i="3" s="1"/>
  <c r="H58" i="3"/>
  <c r="I58" i="3" s="1"/>
  <c r="H75" i="3"/>
  <c r="I75" i="3" s="1"/>
  <c r="H90" i="3"/>
  <c r="I90" i="3" s="1"/>
  <c r="H105" i="3"/>
  <c r="I105" i="3" s="1"/>
  <c r="H121" i="3"/>
  <c r="I121" i="3" s="1"/>
  <c r="H137" i="3"/>
  <c r="I137" i="3" s="1"/>
  <c r="H153" i="3"/>
  <c r="I153" i="3" s="1"/>
  <c r="H169" i="3"/>
  <c r="I169" i="3" s="1"/>
  <c r="H184" i="3"/>
  <c r="I184" i="3" s="1"/>
  <c r="H199" i="3"/>
  <c r="I199" i="3" s="1"/>
  <c r="H215" i="3"/>
  <c r="I215" i="3" s="1"/>
  <c r="H232" i="3"/>
  <c r="I232" i="3" s="1"/>
  <c r="H247" i="3"/>
  <c r="I247" i="3" s="1"/>
  <c r="H262" i="3"/>
  <c r="I262" i="3" s="1"/>
  <c r="H278" i="3"/>
  <c r="I278" i="3" s="1"/>
  <c r="H292" i="3"/>
  <c r="I292" i="3" s="1"/>
  <c r="H306" i="3"/>
  <c r="I306" i="3" s="1"/>
  <c r="H320" i="3"/>
  <c r="I320" i="3" s="1"/>
  <c r="H334" i="3"/>
  <c r="I334" i="3" s="1"/>
  <c r="H350" i="3"/>
  <c r="I350" i="3" s="1"/>
  <c r="H364" i="3"/>
  <c r="I364" i="3" s="1"/>
  <c r="H378" i="3"/>
  <c r="I378" i="3" s="1"/>
  <c r="H392" i="3"/>
  <c r="I392" i="3" s="1"/>
  <c r="H406" i="3"/>
  <c r="I406" i="3" s="1"/>
  <c r="H421" i="3"/>
  <c r="I421" i="3" s="1"/>
  <c r="H435" i="3"/>
  <c r="I435" i="3" s="1"/>
  <c r="H449" i="3"/>
  <c r="I449" i="3" s="1"/>
  <c r="H463" i="3"/>
  <c r="I463" i="3" s="1"/>
  <c r="H477" i="3"/>
  <c r="I477" i="3" s="1"/>
  <c r="H491" i="3"/>
  <c r="I491" i="3" s="1"/>
  <c r="G22" i="3"/>
  <c r="G36" i="3"/>
  <c r="G50" i="3"/>
  <c r="G64" i="3"/>
  <c r="G78" i="3"/>
  <c r="G92" i="3"/>
  <c r="G107" i="3"/>
  <c r="G121" i="3"/>
  <c r="G136" i="3"/>
  <c r="G150" i="3"/>
  <c r="G164" i="3"/>
  <c r="G178" i="3"/>
  <c r="G191" i="3"/>
  <c r="G204" i="3"/>
  <c r="G217" i="3"/>
  <c r="G230" i="3"/>
  <c r="G243" i="3"/>
  <c r="G256" i="3"/>
  <c r="G269" i="3"/>
  <c r="G283" i="3"/>
  <c r="G296" i="3"/>
  <c r="G309" i="3"/>
  <c r="G322" i="3"/>
  <c r="G335" i="3"/>
  <c r="G348" i="3"/>
  <c r="G361" i="3"/>
  <c r="G374" i="3"/>
  <c r="G387" i="3"/>
  <c r="G400" i="3"/>
  <c r="G413" i="3"/>
  <c r="G427" i="3"/>
  <c r="G440" i="3"/>
  <c r="G453" i="3"/>
  <c r="G466" i="3"/>
  <c r="G479" i="3"/>
  <c r="G492" i="3"/>
  <c r="H20" i="3"/>
  <c r="I20" i="3" s="1"/>
  <c r="H41" i="3"/>
  <c r="I41" i="3" s="1"/>
  <c r="H67" i="3"/>
  <c r="I67" i="3" s="1"/>
  <c r="H89" i="3"/>
  <c r="I89" i="3" s="1"/>
  <c r="H115" i="3"/>
  <c r="I115" i="3" s="1"/>
  <c r="H136" i="3"/>
  <c r="I136" i="3" s="1"/>
  <c r="H160" i="3"/>
  <c r="I160" i="3" s="1"/>
  <c r="H181" i="3"/>
  <c r="I181" i="3" s="1"/>
  <c r="H201" i="3"/>
  <c r="I201" i="3" s="1"/>
  <c r="H223" i="3"/>
  <c r="I223" i="3" s="1"/>
  <c r="H243" i="3"/>
  <c r="I243" i="3" s="1"/>
  <c r="H263" i="3"/>
  <c r="I263" i="3" s="1"/>
  <c r="H285" i="3"/>
  <c r="I285" i="3" s="1"/>
  <c r="H303" i="3"/>
  <c r="I303" i="3" s="1"/>
  <c r="H321" i="3"/>
  <c r="I321" i="3" s="1"/>
  <c r="H341" i="3"/>
  <c r="I341" i="3" s="1"/>
  <c r="H357" i="3"/>
  <c r="I357" i="3" s="1"/>
  <c r="H374" i="3"/>
  <c r="I374" i="3" s="1"/>
  <c r="H391" i="3"/>
  <c r="I391" i="3" s="1"/>
  <c r="H409" i="3"/>
  <c r="I409" i="3" s="1"/>
  <c r="H426" i="3"/>
  <c r="I426" i="3" s="1"/>
  <c r="H443" i="3"/>
  <c r="I443" i="3" s="1"/>
  <c r="H460" i="3"/>
  <c r="I460" i="3" s="1"/>
  <c r="H476" i="3"/>
  <c r="I476" i="3" s="1"/>
  <c r="H495" i="3"/>
  <c r="I495" i="3" s="1"/>
  <c r="H22" i="3"/>
  <c r="I22" i="3" s="1"/>
  <c r="H44" i="3"/>
  <c r="I44" i="3" s="1"/>
  <c r="H68" i="3"/>
  <c r="I68" i="3" s="1"/>
  <c r="H91" i="3"/>
  <c r="I91" i="3" s="1"/>
  <c r="H116" i="3"/>
  <c r="I116" i="3" s="1"/>
  <c r="H138" i="3"/>
  <c r="I138" i="3" s="1"/>
  <c r="H162" i="3"/>
  <c r="I162" i="3" s="1"/>
  <c r="H182" i="3"/>
  <c r="I182" i="3" s="1"/>
  <c r="H202" i="3"/>
  <c r="I202" i="3" s="1"/>
  <c r="H224" i="3"/>
  <c r="I224" i="3" s="1"/>
  <c r="H245" i="3"/>
  <c r="I245" i="3" s="1"/>
  <c r="H265" i="3"/>
  <c r="I265" i="3" s="1"/>
  <c r="H286" i="3"/>
  <c r="I286" i="3" s="1"/>
  <c r="H304" i="3"/>
  <c r="I304" i="3" s="1"/>
  <c r="H323" i="3"/>
  <c r="I323" i="3" s="1"/>
  <c r="H342" i="3"/>
  <c r="I342" i="3" s="1"/>
  <c r="H358" i="3"/>
  <c r="I358" i="3" s="1"/>
  <c r="H376" i="3"/>
  <c r="I376" i="3" s="1"/>
  <c r="H393" i="3"/>
  <c r="I393" i="3" s="1"/>
  <c r="H410" i="3"/>
  <c r="I410" i="3" s="1"/>
  <c r="H428" i="3"/>
  <c r="I428" i="3" s="1"/>
  <c r="H445" i="3"/>
  <c r="I445" i="3" s="1"/>
  <c r="H461" i="3"/>
  <c r="I461" i="3" s="1"/>
  <c r="H478" i="3"/>
  <c r="I478" i="3" s="1"/>
  <c r="H496" i="3"/>
  <c r="I496" i="3" s="1"/>
  <c r="H23" i="3"/>
  <c r="I23" i="3" s="1"/>
  <c r="H45" i="3"/>
  <c r="I45" i="3" s="1"/>
  <c r="H70" i="3"/>
  <c r="I70" i="3" s="1"/>
  <c r="H92" i="3"/>
  <c r="I92" i="3" s="1"/>
  <c r="H117" i="3"/>
  <c r="I117" i="3" s="1"/>
  <c r="H140" i="3"/>
  <c r="I140" i="3" s="1"/>
  <c r="H163" i="3"/>
  <c r="I163" i="3" s="1"/>
  <c r="H183" i="3"/>
  <c r="I183" i="3" s="1"/>
  <c r="H203" i="3"/>
  <c r="I203" i="3" s="1"/>
  <c r="H225" i="3"/>
  <c r="I225" i="3" s="1"/>
  <c r="H246" i="3"/>
  <c r="I246" i="3" s="1"/>
  <c r="H267" i="3"/>
  <c r="I267" i="3" s="1"/>
  <c r="H287" i="3"/>
  <c r="I287" i="3" s="1"/>
  <c r="H305" i="3"/>
  <c r="I305" i="3" s="1"/>
  <c r="H325" i="3"/>
  <c r="I325" i="3" s="1"/>
  <c r="H343" i="3"/>
  <c r="I343" i="3" s="1"/>
  <c r="H359" i="3"/>
  <c r="I359" i="3" s="1"/>
  <c r="H377" i="3"/>
  <c r="I377" i="3" s="1"/>
  <c r="H394" i="3"/>
  <c r="I394" i="3" s="1"/>
  <c r="H412" i="3"/>
  <c r="I412" i="3" s="1"/>
  <c r="H429" i="3"/>
  <c r="I429" i="3" s="1"/>
  <c r="H446" i="3"/>
  <c r="I446" i="3" s="1"/>
  <c r="H462" i="3"/>
  <c r="I462" i="3" s="1"/>
  <c r="H481" i="3"/>
  <c r="I481" i="3" s="1"/>
  <c r="H498" i="3"/>
  <c r="I498" i="3" s="1"/>
  <c r="H25" i="3"/>
  <c r="I25" i="3" s="1"/>
  <c r="H54" i="3"/>
  <c r="I54" i="3" s="1"/>
  <c r="H85" i="3"/>
  <c r="I85" i="3" s="1"/>
  <c r="H118" i="3"/>
  <c r="I118" i="3" s="1"/>
  <c r="H149" i="3"/>
  <c r="I149" i="3" s="1"/>
  <c r="H176" i="3"/>
  <c r="I176" i="3" s="1"/>
  <c r="H208" i="3"/>
  <c r="I208" i="3" s="1"/>
  <c r="H233" i="3"/>
  <c r="I233" i="3" s="1"/>
  <c r="H259" i="3"/>
  <c r="I259" i="3" s="1"/>
  <c r="H289" i="3"/>
  <c r="I289" i="3" s="1"/>
  <c r="H314" i="3"/>
  <c r="I314" i="3" s="1"/>
  <c r="H337" i="3"/>
  <c r="I337" i="3" s="1"/>
  <c r="H361" i="3"/>
  <c r="I361" i="3" s="1"/>
  <c r="H383" i="3"/>
  <c r="I383" i="3" s="1"/>
  <c r="H404" i="3"/>
  <c r="I404" i="3" s="1"/>
  <c r="H430" i="3"/>
  <c r="I430" i="3" s="1"/>
  <c r="H451" i="3"/>
  <c r="I451" i="3" s="1"/>
  <c r="H473" i="3"/>
  <c r="I473" i="3" s="1"/>
  <c r="H499" i="3"/>
  <c r="I499" i="3" s="1"/>
  <c r="G28" i="3"/>
  <c r="G46" i="3"/>
  <c r="G62" i="3"/>
  <c r="G79" i="3"/>
  <c r="G97" i="3"/>
  <c r="G114" i="3"/>
  <c r="G131" i="3"/>
  <c r="G147" i="3"/>
  <c r="G166" i="3"/>
  <c r="G181" i="3"/>
  <c r="G197" i="3"/>
  <c r="G213" i="3"/>
  <c r="G228" i="3"/>
  <c r="G244" i="3"/>
  <c r="G260" i="3"/>
  <c r="G276" i="3"/>
  <c r="G291" i="3"/>
  <c r="G307" i="3"/>
  <c r="G323" i="3"/>
  <c r="G338" i="3"/>
  <c r="G355" i="3"/>
  <c r="G370" i="3"/>
  <c r="G385" i="3"/>
  <c r="G401" i="3"/>
  <c r="H26" i="3"/>
  <c r="I26" i="3" s="1"/>
  <c r="H55" i="3"/>
  <c r="I55" i="3" s="1"/>
  <c r="H86" i="3"/>
  <c r="I86" i="3" s="1"/>
  <c r="H119" i="3"/>
  <c r="I119" i="3" s="1"/>
  <c r="H150" i="3"/>
  <c r="I150" i="3" s="1"/>
  <c r="H177" i="3"/>
  <c r="I177" i="3" s="1"/>
  <c r="H209" i="3"/>
  <c r="I209" i="3" s="1"/>
  <c r="H234" i="3"/>
  <c r="I234" i="3" s="1"/>
  <c r="H260" i="3"/>
  <c r="I260" i="3" s="1"/>
  <c r="H290" i="3"/>
  <c r="I290" i="3" s="1"/>
  <c r="H315" i="3"/>
  <c r="I315" i="3" s="1"/>
  <c r="H338" i="3"/>
  <c r="I338" i="3" s="1"/>
  <c r="H363" i="3"/>
  <c r="I363" i="3" s="1"/>
  <c r="H385" i="3"/>
  <c r="I385" i="3" s="1"/>
  <c r="H405" i="3"/>
  <c r="I405" i="3" s="1"/>
  <c r="H431" i="3"/>
  <c r="I431" i="3" s="1"/>
  <c r="H452" i="3"/>
  <c r="I452" i="3" s="1"/>
  <c r="H474" i="3"/>
  <c r="I474" i="3" s="1"/>
  <c r="H500" i="3"/>
  <c r="I500" i="3" s="1"/>
  <c r="G13" i="3"/>
  <c r="G29" i="3"/>
  <c r="H28" i="3"/>
  <c r="I28" i="3" s="1"/>
  <c r="H57" i="3"/>
  <c r="I57" i="3" s="1"/>
  <c r="H88" i="3"/>
  <c r="I88" i="3" s="1"/>
  <c r="H123" i="3"/>
  <c r="I123" i="3" s="1"/>
  <c r="H151" i="3"/>
  <c r="I151" i="3" s="1"/>
  <c r="H179" i="3"/>
  <c r="I179" i="3" s="1"/>
  <c r="H210" i="3"/>
  <c r="I210" i="3" s="1"/>
  <c r="H235" i="3"/>
  <c r="I235" i="3" s="1"/>
  <c r="H261" i="3"/>
  <c r="I261" i="3" s="1"/>
  <c r="H291" i="3"/>
  <c r="I291" i="3" s="1"/>
  <c r="H316" i="3"/>
  <c r="I316" i="3" s="1"/>
  <c r="H339" i="3"/>
  <c r="I339" i="3" s="1"/>
  <c r="H365" i="3"/>
  <c r="I365" i="3" s="1"/>
  <c r="H386" i="3"/>
  <c r="I386" i="3" s="1"/>
  <c r="H407" i="3"/>
  <c r="I407" i="3" s="1"/>
  <c r="H433" i="3"/>
  <c r="I433" i="3" s="1"/>
  <c r="H455" i="3"/>
  <c r="I455" i="3" s="1"/>
  <c r="H475" i="3"/>
  <c r="I475" i="3" s="1"/>
  <c r="G14" i="3"/>
  <c r="G31" i="3"/>
  <c r="G48" i="3"/>
  <c r="G65" i="3"/>
  <c r="G82" i="3"/>
  <c r="G100" i="3"/>
  <c r="G116" i="3"/>
  <c r="G133" i="3"/>
  <c r="G151" i="3"/>
  <c r="G168" i="3"/>
  <c r="G184" i="3"/>
  <c r="G200" i="3"/>
  <c r="G215" i="3"/>
  <c r="G231" i="3"/>
  <c r="G247" i="3"/>
  <c r="H13" i="3"/>
  <c r="I13" i="3" s="1"/>
  <c r="H59" i="3"/>
  <c r="I59" i="3" s="1"/>
  <c r="H102" i="3"/>
  <c r="I102" i="3" s="1"/>
  <c r="H141" i="3"/>
  <c r="I141" i="3" s="1"/>
  <c r="H185" i="3"/>
  <c r="I185" i="3" s="1"/>
  <c r="H217" i="3"/>
  <c r="I217" i="3" s="1"/>
  <c r="H255" i="3"/>
  <c r="I255" i="3" s="1"/>
  <c r="H293" i="3"/>
  <c r="I293" i="3" s="1"/>
  <c r="H328" i="3"/>
  <c r="I328" i="3" s="1"/>
  <c r="H353" i="3"/>
  <c r="I353" i="3" s="1"/>
  <c r="H387" i="3"/>
  <c r="I387" i="3" s="1"/>
  <c r="H417" i="3"/>
  <c r="I417" i="3" s="1"/>
  <c r="H447" i="3"/>
  <c r="I447" i="3" s="1"/>
  <c r="H482" i="3"/>
  <c r="I482" i="3" s="1"/>
  <c r="G2" i="3"/>
  <c r="G24" i="3"/>
  <c r="G47" i="3"/>
  <c r="G67" i="3"/>
  <c r="G88" i="3"/>
  <c r="G108" i="3"/>
  <c r="G128" i="3"/>
  <c r="G149" i="3"/>
  <c r="G171" i="3"/>
  <c r="G189" i="3"/>
  <c r="G207" i="3"/>
  <c r="G226" i="3"/>
  <c r="G245" i="3"/>
  <c r="G264" i="3"/>
  <c r="G280" i="3"/>
  <c r="G298" i="3"/>
  <c r="G315" i="3"/>
  <c r="G332" i="3"/>
  <c r="G349" i="3"/>
  <c r="G367" i="3"/>
  <c r="G383" i="3"/>
  <c r="G399" i="3"/>
  <c r="G417" i="3"/>
  <c r="G433" i="3"/>
  <c r="G448" i="3"/>
  <c r="G464" i="3"/>
  <c r="G480" i="3"/>
  <c r="G495" i="3"/>
  <c r="H71" i="3"/>
  <c r="I71" i="3" s="1"/>
  <c r="H271" i="3"/>
  <c r="I271" i="3" s="1"/>
  <c r="H395" i="3"/>
  <c r="I395" i="3" s="1"/>
  <c r="H422" i="3"/>
  <c r="I422" i="3" s="1"/>
  <c r="H486" i="3"/>
  <c r="I486" i="3" s="1"/>
  <c r="G73" i="3"/>
  <c r="G156" i="3"/>
  <c r="G193" i="3"/>
  <c r="G251" i="3"/>
  <c r="G302" i="3"/>
  <c r="G353" i="3"/>
  <c r="G406" i="3"/>
  <c r="G421" i="3"/>
  <c r="G436" i="3"/>
  <c r="G484" i="3"/>
  <c r="G500" i="3"/>
  <c r="H14" i="3"/>
  <c r="I14" i="3" s="1"/>
  <c r="H62" i="3"/>
  <c r="I62" i="3" s="1"/>
  <c r="H103" i="3"/>
  <c r="I103" i="3" s="1"/>
  <c r="H146" i="3"/>
  <c r="I146" i="3" s="1"/>
  <c r="H186" i="3"/>
  <c r="I186" i="3" s="1"/>
  <c r="H219" i="3"/>
  <c r="I219" i="3" s="1"/>
  <c r="H256" i="3"/>
  <c r="I256" i="3" s="1"/>
  <c r="H294" i="3"/>
  <c r="I294" i="3" s="1"/>
  <c r="H329" i="3"/>
  <c r="I329" i="3" s="1"/>
  <c r="H355" i="3"/>
  <c r="I355" i="3" s="1"/>
  <c r="H389" i="3"/>
  <c r="I389" i="3" s="1"/>
  <c r="H418" i="3"/>
  <c r="I418" i="3" s="1"/>
  <c r="H448" i="3"/>
  <c r="I448" i="3" s="1"/>
  <c r="H484" i="3"/>
  <c r="I484" i="3" s="1"/>
  <c r="G25" i="3"/>
  <c r="G49" i="3"/>
  <c r="G71" i="3"/>
  <c r="G89" i="3"/>
  <c r="G110" i="3"/>
  <c r="G130" i="3"/>
  <c r="G152" i="3"/>
  <c r="G172" i="3"/>
  <c r="G190" i="3"/>
  <c r="G209" i="3"/>
  <c r="G227" i="3"/>
  <c r="G249" i="3"/>
  <c r="G265" i="3"/>
  <c r="G281" i="3"/>
  <c r="G299" i="3"/>
  <c r="G316" i="3"/>
  <c r="G333" i="3"/>
  <c r="G350" i="3"/>
  <c r="G368" i="3"/>
  <c r="G384" i="3"/>
  <c r="G403" i="3"/>
  <c r="G419" i="3"/>
  <c r="G434" i="3"/>
  <c r="G449" i="3"/>
  <c r="G465" i="3"/>
  <c r="G481" i="3"/>
  <c r="G497" i="3"/>
  <c r="G113" i="3"/>
  <c r="G212" i="3"/>
  <c r="G285" i="3"/>
  <c r="G336" i="3"/>
  <c r="G388" i="3"/>
  <c r="G452" i="3"/>
  <c r="H15" i="3"/>
  <c r="I15" i="3" s="1"/>
  <c r="H63" i="3"/>
  <c r="I63" i="3" s="1"/>
  <c r="H104" i="3"/>
  <c r="I104" i="3" s="1"/>
  <c r="H147" i="3"/>
  <c r="I147" i="3" s="1"/>
  <c r="H188" i="3"/>
  <c r="I188" i="3" s="1"/>
  <c r="H220" i="3"/>
  <c r="I220" i="3" s="1"/>
  <c r="H258" i="3"/>
  <c r="I258" i="3" s="1"/>
  <c r="H295" i="3"/>
  <c r="I295" i="3" s="1"/>
  <c r="H330" i="3"/>
  <c r="I330" i="3" s="1"/>
  <c r="H356" i="3"/>
  <c r="I356" i="3" s="1"/>
  <c r="H390" i="3"/>
  <c r="I390" i="3" s="1"/>
  <c r="H419" i="3"/>
  <c r="I419" i="3" s="1"/>
  <c r="H450" i="3"/>
  <c r="I450" i="3" s="1"/>
  <c r="H485" i="3"/>
  <c r="I485" i="3" s="1"/>
  <c r="G5" i="3"/>
  <c r="G27" i="3"/>
  <c r="G51" i="3"/>
  <c r="G72" i="3"/>
  <c r="G90" i="3"/>
  <c r="G111" i="3"/>
  <c r="G132" i="3"/>
  <c r="G154" i="3"/>
  <c r="G173" i="3"/>
  <c r="G192" i="3"/>
  <c r="G211" i="3"/>
  <c r="G229" i="3"/>
  <c r="G250" i="3"/>
  <c r="G266" i="3"/>
  <c r="G284" i="3"/>
  <c r="G301" i="3"/>
  <c r="G317" i="3"/>
  <c r="G334" i="3"/>
  <c r="G351" i="3"/>
  <c r="G369" i="3"/>
  <c r="G386" i="3"/>
  <c r="G404" i="3"/>
  <c r="G420" i="3"/>
  <c r="G435" i="3"/>
  <c r="G451" i="3"/>
  <c r="G467" i="3"/>
  <c r="G482" i="3"/>
  <c r="G499" i="3"/>
  <c r="H29" i="3"/>
  <c r="I29" i="3" s="1"/>
  <c r="H106" i="3"/>
  <c r="I106" i="3" s="1"/>
  <c r="H154" i="3"/>
  <c r="I154" i="3" s="1"/>
  <c r="H193" i="3"/>
  <c r="I193" i="3" s="1"/>
  <c r="H227" i="3"/>
  <c r="I227" i="3" s="1"/>
  <c r="H299" i="3"/>
  <c r="I299" i="3" s="1"/>
  <c r="H331" i="3"/>
  <c r="I331" i="3" s="1"/>
  <c r="H366" i="3"/>
  <c r="I366" i="3" s="1"/>
  <c r="H457" i="3"/>
  <c r="I457" i="3" s="1"/>
  <c r="G32" i="3"/>
  <c r="G52" i="3"/>
  <c r="G91" i="3"/>
  <c r="G134" i="3"/>
  <c r="G175" i="3"/>
  <c r="G232" i="3"/>
  <c r="G267" i="3"/>
  <c r="G319" i="3"/>
  <c r="G371" i="3"/>
  <c r="G468" i="3"/>
  <c r="G487" i="3"/>
  <c r="G460" i="3"/>
  <c r="G439" i="3"/>
  <c r="G412" i="3"/>
  <c r="G391" i="3"/>
  <c r="G362" i="3"/>
  <c r="G340" i="3"/>
  <c r="G311" i="3"/>
  <c r="G288" i="3"/>
  <c r="G259" i="3"/>
  <c r="G236" i="3"/>
  <c r="G203" i="3"/>
  <c r="G177" i="3"/>
  <c r="G144" i="3"/>
  <c r="G118" i="3"/>
  <c r="G85" i="3"/>
  <c r="G55" i="3"/>
  <c r="G19" i="3"/>
  <c r="H488" i="3"/>
  <c r="I488" i="3" s="1"/>
  <c r="H438" i="3"/>
  <c r="I438" i="3" s="1"/>
  <c r="H399" i="3"/>
  <c r="I399" i="3" s="1"/>
  <c r="H347" i="3"/>
  <c r="I347" i="3" s="1"/>
  <c r="H302" i="3"/>
  <c r="I302" i="3" s="1"/>
  <c r="H248" i="3"/>
  <c r="I248" i="3" s="1"/>
  <c r="H195" i="3"/>
  <c r="I195" i="3" s="1"/>
  <c r="H131" i="3"/>
  <c r="I131" i="3" s="1"/>
  <c r="H76" i="3"/>
  <c r="I76" i="3" s="1"/>
  <c r="G6" i="3"/>
  <c r="H3" i="3"/>
  <c r="I3" i="3" s="1"/>
  <c r="G3" i="3"/>
  <c r="H11" i="3"/>
  <c r="I11" i="3" s="1"/>
  <c r="G11" i="3"/>
  <c r="G485" i="3"/>
  <c r="G459" i="3"/>
  <c r="G437" i="3"/>
  <c r="G411" i="3"/>
  <c r="G389" i="3"/>
  <c r="G360" i="3"/>
  <c r="G337" i="3"/>
  <c r="G310" i="3"/>
  <c r="G286" i="3"/>
  <c r="G257" i="3"/>
  <c r="G233" i="3"/>
  <c r="G202" i="3"/>
  <c r="G176" i="3"/>
  <c r="G143" i="3"/>
  <c r="G115" i="3"/>
  <c r="G80" i="3"/>
  <c r="G53" i="3"/>
  <c r="G18" i="3"/>
  <c r="H487" i="3"/>
  <c r="I487" i="3" s="1"/>
  <c r="H437" i="3"/>
  <c r="I437" i="3" s="1"/>
  <c r="H398" i="3"/>
  <c r="I398" i="3" s="1"/>
  <c r="H346" i="3"/>
  <c r="I346" i="3" s="1"/>
  <c r="H301" i="3"/>
  <c r="I301" i="3" s="1"/>
  <c r="H242" i="3"/>
  <c r="I242" i="3" s="1"/>
  <c r="H194" i="3"/>
  <c r="I194" i="3" s="1"/>
  <c r="H130" i="3"/>
  <c r="I130" i="3" s="1"/>
  <c r="H73" i="3"/>
  <c r="I73" i="3" s="1"/>
  <c r="H5" i="3"/>
  <c r="I5" i="3" s="1"/>
  <c r="H12" i="3"/>
  <c r="I12" i="3" s="1"/>
  <c r="H24" i="3"/>
  <c r="I24" i="3" s="1"/>
  <c r="H36" i="3"/>
  <c r="I36" i="3" s="1"/>
  <c r="H48" i="3"/>
  <c r="I48" i="3" s="1"/>
  <c r="H60" i="3"/>
  <c r="I60" i="3" s="1"/>
  <c r="H72" i="3"/>
  <c r="I72" i="3" s="1"/>
  <c r="H84" i="3"/>
  <c r="I84" i="3" s="1"/>
  <c r="H96" i="3"/>
  <c r="I96" i="3" s="1"/>
  <c r="H108" i="3"/>
  <c r="I108" i="3" s="1"/>
  <c r="H120" i="3"/>
  <c r="I120" i="3" s="1"/>
  <c r="H132" i="3"/>
  <c r="I132" i="3" s="1"/>
  <c r="H144" i="3"/>
  <c r="I144" i="3" s="1"/>
  <c r="H156" i="3"/>
  <c r="I156" i="3" s="1"/>
  <c r="H168" i="3"/>
  <c r="I168" i="3" s="1"/>
  <c r="H180" i="3"/>
  <c r="I180" i="3" s="1"/>
  <c r="H192" i="3"/>
  <c r="I192" i="3" s="1"/>
  <c r="H204" i="3"/>
  <c r="I204" i="3" s="1"/>
  <c r="H216" i="3"/>
  <c r="I216" i="3" s="1"/>
  <c r="H228" i="3"/>
  <c r="I228" i="3" s="1"/>
  <c r="H240" i="3"/>
  <c r="I240" i="3" s="1"/>
  <c r="H252" i="3"/>
  <c r="I252" i="3" s="1"/>
  <c r="H264" i="3"/>
  <c r="I264" i="3" s="1"/>
  <c r="H276" i="3"/>
  <c r="I276" i="3" s="1"/>
  <c r="H288" i="3"/>
  <c r="I288" i="3" s="1"/>
  <c r="H300" i="3"/>
  <c r="I300" i="3" s="1"/>
  <c r="H312" i="3"/>
  <c r="I312" i="3" s="1"/>
  <c r="H324" i="3"/>
  <c r="I324" i="3" s="1"/>
  <c r="H336" i="3"/>
  <c r="I336" i="3" s="1"/>
  <c r="H348" i="3"/>
  <c r="I348" i="3" s="1"/>
  <c r="H360" i="3"/>
  <c r="I360" i="3" s="1"/>
  <c r="H372" i="3"/>
  <c r="I372" i="3" s="1"/>
  <c r="H384" i="3"/>
  <c r="I384" i="3" s="1"/>
  <c r="H396" i="3"/>
  <c r="I396" i="3" s="1"/>
  <c r="H408" i="3"/>
  <c r="I408" i="3" s="1"/>
  <c r="H420" i="3"/>
  <c r="I420" i="3" s="1"/>
  <c r="H432" i="3"/>
  <c r="I432" i="3" s="1"/>
  <c r="H444" i="3"/>
  <c r="I444" i="3" s="1"/>
  <c r="H456" i="3"/>
  <c r="I456" i="3" s="1"/>
  <c r="H468" i="3"/>
  <c r="I468" i="3" s="1"/>
  <c r="H480" i="3"/>
  <c r="I480" i="3" s="1"/>
  <c r="H492" i="3"/>
  <c r="I492" i="3" s="1"/>
  <c r="G9" i="3"/>
  <c r="G21" i="3"/>
  <c r="G33" i="3"/>
  <c r="G45" i="3"/>
  <c r="G57" i="3"/>
  <c r="G69" i="3"/>
  <c r="G81" i="3"/>
  <c r="G93" i="3"/>
  <c r="G105" i="3"/>
  <c r="G117" i="3"/>
  <c r="G129" i="3"/>
  <c r="G141" i="3"/>
  <c r="G153" i="3"/>
  <c r="G165" i="3"/>
  <c r="G498" i="3"/>
  <c r="G486" i="3"/>
  <c r="G474" i="3"/>
  <c r="G462" i="3"/>
  <c r="G450" i="3"/>
  <c r="G438" i="3"/>
  <c r="G426" i="3"/>
  <c r="G414" i="3"/>
  <c r="G402" i="3"/>
  <c r="G390" i="3"/>
  <c r="G378" i="3"/>
  <c r="G366" i="3"/>
  <c r="G354" i="3"/>
  <c r="G342" i="3"/>
  <c r="G330" i="3"/>
  <c r="G318" i="3"/>
  <c r="G306" i="3"/>
  <c r="G294" i="3"/>
  <c r="G282" i="3"/>
  <c r="G270" i="3"/>
  <c r="G258" i="3"/>
  <c r="G246" i="3"/>
  <c r="G234" i="3"/>
  <c r="G222" i="3"/>
  <c r="G210" i="3"/>
  <c r="G198" i="3"/>
  <c r="G186" i="3"/>
  <c r="G174" i="3"/>
  <c r="G161" i="3"/>
  <c r="G148" i="3"/>
  <c r="G135" i="3"/>
  <c r="G122" i="3"/>
  <c r="G109" i="3"/>
  <c r="G96" i="3"/>
  <c r="G83" i="3"/>
  <c r="G70" i="3"/>
  <c r="G56" i="3"/>
  <c r="G43" i="3"/>
  <c r="G30" i="3"/>
  <c r="G17" i="3"/>
  <c r="G4" i="3"/>
  <c r="H493" i="3"/>
  <c r="I493" i="3" s="1"/>
  <c r="H479" i="3"/>
  <c r="I479" i="3" s="1"/>
  <c r="H466" i="3"/>
  <c r="I466" i="3" s="1"/>
  <c r="H453" i="3"/>
  <c r="I453" i="3" s="1"/>
  <c r="H440" i="3"/>
  <c r="I440" i="3" s="1"/>
  <c r="H427" i="3"/>
  <c r="I427" i="3" s="1"/>
  <c r="H414" i="3"/>
  <c r="I414" i="3" s="1"/>
  <c r="H401" i="3"/>
  <c r="I401" i="3" s="1"/>
  <c r="H388" i="3"/>
  <c r="I388" i="3" s="1"/>
  <c r="H375" i="3"/>
  <c r="I375" i="3" s="1"/>
  <c r="H362" i="3"/>
  <c r="I362" i="3" s="1"/>
  <c r="H349" i="3"/>
  <c r="I349" i="3" s="1"/>
  <c r="H335" i="3"/>
  <c r="I335" i="3" s="1"/>
  <c r="H322" i="3"/>
  <c r="I322" i="3" s="1"/>
  <c r="H309" i="3"/>
  <c r="I309" i="3" s="1"/>
  <c r="H296" i="3"/>
  <c r="I296" i="3" s="1"/>
  <c r="H283" i="3"/>
  <c r="I283" i="3" s="1"/>
  <c r="H270" i="3"/>
  <c r="I270" i="3" s="1"/>
  <c r="H257" i="3"/>
  <c r="I257" i="3" s="1"/>
  <c r="H244" i="3"/>
  <c r="I244" i="3" s="1"/>
  <c r="H231" i="3"/>
  <c r="I231" i="3" s="1"/>
  <c r="H218" i="3"/>
  <c r="I218" i="3" s="1"/>
  <c r="H205" i="3"/>
  <c r="I205" i="3" s="1"/>
  <c r="H191" i="3"/>
  <c r="I191" i="3" s="1"/>
  <c r="H178" i="3"/>
  <c r="I178" i="3" s="1"/>
  <c r="H165" i="3"/>
  <c r="I165" i="3" s="1"/>
  <c r="H152" i="3"/>
  <c r="I152" i="3" s="1"/>
  <c r="H139" i="3"/>
  <c r="I139" i="3" s="1"/>
  <c r="H126" i="3"/>
  <c r="I126" i="3" s="1"/>
  <c r="H113" i="3"/>
  <c r="I113" i="3" s="1"/>
  <c r="H100" i="3"/>
  <c r="I100" i="3" s="1"/>
  <c r="H87" i="3"/>
  <c r="I87" i="3" s="1"/>
  <c r="H74" i="3"/>
  <c r="I74" i="3" s="1"/>
  <c r="H61" i="3"/>
  <c r="I61" i="3" s="1"/>
  <c r="H47" i="3"/>
  <c r="I47" i="3" s="1"/>
  <c r="H34" i="3"/>
  <c r="I34" i="3" s="1"/>
  <c r="H21" i="3"/>
  <c r="I21" i="3" s="1"/>
  <c r="D275" i="1"/>
  <c r="D122" i="1"/>
  <c r="D120" i="1"/>
  <c r="D421" i="1"/>
  <c r="D420" i="1"/>
  <c r="D276" i="1"/>
  <c r="D235" i="1"/>
  <c r="D372" i="1"/>
  <c r="D224" i="1"/>
  <c r="D69" i="1"/>
  <c r="D494" i="1"/>
  <c r="D352" i="1"/>
  <c r="D201" i="1"/>
  <c r="D45" i="1"/>
  <c r="D477" i="1"/>
  <c r="D336" i="1"/>
  <c r="D184" i="1"/>
  <c r="D21" i="1"/>
  <c r="D403" i="1"/>
  <c r="D451" i="1"/>
  <c r="D311" i="1"/>
  <c r="D156" i="1"/>
  <c r="D104" i="1"/>
  <c r="D81" i="1"/>
  <c r="D351" i="1"/>
  <c r="D34" i="1"/>
  <c r="D450" i="1"/>
  <c r="D309" i="1"/>
  <c r="D155" i="1"/>
  <c r="D259" i="1"/>
  <c r="D384" i="1"/>
  <c r="D236" i="1"/>
  <c r="D82" i="1"/>
  <c r="D383" i="1"/>
  <c r="D493" i="1"/>
  <c r="D200" i="1"/>
  <c r="D446" i="1"/>
  <c r="D304" i="1"/>
  <c r="D149" i="1"/>
  <c r="D481" i="1"/>
  <c r="D449" i="1"/>
  <c r="D412" i="1"/>
  <c r="D381" i="1"/>
  <c r="D339" i="1"/>
  <c r="D307" i="1"/>
  <c r="D267" i="1"/>
  <c r="D234" i="1"/>
  <c r="D187" i="1"/>
  <c r="D154" i="1"/>
  <c r="D115" i="1"/>
  <c r="D79" i="1"/>
  <c r="D13" i="1"/>
  <c r="D25" i="1"/>
  <c r="D37" i="1"/>
  <c r="D49" i="1"/>
  <c r="D61" i="1"/>
  <c r="D73" i="1"/>
  <c r="D85" i="1"/>
  <c r="D97" i="1"/>
  <c r="D109" i="1"/>
  <c r="D121" i="1"/>
  <c r="D133" i="1"/>
  <c r="D145" i="1"/>
  <c r="D157" i="1"/>
  <c r="D169" i="1"/>
  <c r="D181" i="1"/>
  <c r="D193" i="1"/>
  <c r="D205" i="1"/>
  <c r="D217" i="1"/>
  <c r="D229" i="1"/>
  <c r="D241" i="1"/>
  <c r="D253" i="1"/>
  <c r="D265" i="1"/>
  <c r="D277" i="1"/>
  <c r="D289" i="1"/>
  <c r="D301" i="1"/>
  <c r="D7" i="1"/>
  <c r="D20" i="1"/>
  <c r="D33" i="1"/>
  <c r="D46" i="1"/>
  <c r="D59" i="1"/>
  <c r="D72" i="1"/>
  <c r="D86" i="1"/>
  <c r="D99" i="1"/>
  <c r="D112" i="1"/>
  <c r="D125" i="1"/>
  <c r="D138" i="1"/>
  <c r="D151" i="1"/>
  <c r="D164" i="1"/>
  <c r="D177" i="1"/>
  <c r="D190" i="1"/>
  <c r="D203" i="1"/>
  <c r="D216" i="1"/>
  <c r="D230" i="1"/>
  <c r="D243" i="1"/>
  <c r="D256" i="1"/>
  <c r="D269" i="1"/>
  <c r="D282" i="1"/>
  <c r="D295" i="1"/>
  <c r="D308" i="1"/>
  <c r="D320" i="1"/>
  <c r="D332" i="1"/>
  <c r="D344" i="1"/>
  <c r="D356" i="1"/>
  <c r="D368" i="1"/>
  <c r="D380" i="1"/>
  <c r="D392" i="1"/>
  <c r="D404" i="1"/>
  <c r="D416" i="1"/>
  <c r="D428" i="1"/>
  <c r="D440" i="1"/>
  <c r="D452" i="1"/>
  <c r="D464" i="1"/>
  <c r="D476" i="1"/>
  <c r="D488" i="1"/>
  <c r="D500" i="1"/>
  <c r="D9" i="1"/>
  <c r="D22" i="1"/>
  <c r="D35" i="1"/>
  <c r="D48" i="1"/>
  <c r="D62" i="1"/>
  <c r="D75" i="1"/>
  <c r="D88" i="1"/>
  <c r="D101" i="1"/>
  <c r="D114" i="1"/>
  <c r="D127" i="1"/>
  <c r="D140" i="1"/>
  <c r="D153" i="1"/>
  <c r="D166" i="1"/>
  <c r="D179" i="1"/>
  <c r="D192" i="1"/>
  <c r="D206" i="1"/>
  <c r="D219" i="1"/>
  <c r="D232" i="1"/>
  <c r="D245" i="1"/>
  <c r="D258" i="1"/>
  <c r="D271" i="1"/>
  <c r="D284" i="1"/>
  <c r="D297" i="1"/>
  <c r="D310" i="1"/>
  <c r="D322" i="1"/>
  <c r="D334" i="1"/>
  <c r="D346" i="1"/>
  <c r="D358" i="1"/>
  <c r="D370" i="1"/>
  <c r="D382" i="1"/>
  <c r="D394" i="1"/>
  <c r="D406" i="1"/>
  <c r="D418" i="1"/>
  <c r="D430" i="1"/>
  <c r="D442" i="1"/>
  <c r="D454" i="1"/>
  <c r="D466" i="1"/>
  <c r="D478" i="1"/>
  <c r="D490" i="1"/>
  <c r="D2" i="1"/>
  <c r="D17" i="1"/>
  <c r="D32" i="1"/>
  <c r="D50" i="1"/>
  <c r="D65" i="1"/>
  <c r="D80" i="1"/>
  <c r="D95" i="1"/>
  <c r="D111" i="1"/>
  <c r="D128" i="1"/>
  <c r="D143" i="1"/>
  <c r="D159" i="1"/>
  <c r="D174" i="1"/>
  <c r="D189" i="1"/>
  <c r="D207" i="1"/>
  <c r="D222" i="1"/>
  <c r="D237" i="1"/>
  <c r="D252" i="1"/>
  <c r="D268" i="1"/>
  <c r="D285" i="1"/>
  <c r="D300" i="1"/>
  <c r="D315" i="1"/>
  <c r="D329" i="1"/>
  <c r="D343" i="1"/>
  <c r="D359" i="1"/>
  <c r="D373" i="1"/>
  <c r="D387" i="1"/>
  <c r="D401" i="1"/>
  <c r="D415" i="1"/>
  <c r="D431" i="1"/>
  <c r="D445" i="1"/>
  <c r="D459" i="1"/>
  <c r="D473" i="1"/>
  <c r="D487" i="1"/>
  <c r="D5" i="1"/>
  <c r="D23" i="1"/>
  <c r="D40" i="1"/>
  <c r="D56" i="1"/>
  <c r="D74" i="1"/>
  <c r="D91" i="1"/>
  <c r="D107" i="1"/>
  <c r="D124" i="1"/>
  <c r="D142" i="1"/>
  <c r="D160" i="1"/>
  <c r="D176" i="1"/>
  <c r="D195" i="1"/>
  <c r="D211" i="1"/>
  <c r="D227" i="1"/>
  <c r="D246" i="1"/>
  <c r="D262" i="1"/>
  <c r="D279" i="1"/>
  <c r="D296" i="1"/>
  <c r="D313" i="1"/>
  <c r="D328" i="1"/>
  <c r="D345" i="1"/>
  <c r="D361" i="1"/>
  <c r="D376" i="1"/>
  <c r="D391" i="1"/>
  <c r="D408" i="1"/>
  <c r="D423" i="1"/>
  <c r="D438" i="1"/>
  <c r="D455" i="1"/>
  <c r="D470" i="1"/>
  <c r="D485" i="1"/>
  <c r="D6" i="1"/>
  <c r="D24" i="1"/>
  <c r="D41" i="1"/>
  <c r="D57" i="1"/>
  <c r="D76" i="1"/>
  <c r="D92" i="1"/>
  <c r="D108" i="1"/>
  <c r="D126" i="1"/>
  <c r="D144" i="1"/>
  <c r="D161" i="1"/>
  <c r="D178" i="1"/>
  <c r="D196" i="1"/>
  <c r="D212" i="1"/>
  <c r="D228" i="1"/>
  <c r="D247" i="1"/>
  <c r="D263" i="1"/>
  <c r="D280" i="1"/>
  <c r="D298" i="1"/>
  <c r="D314" i="1"/>
  <c r="D330" i="1"/>
  <c r="D347" i="1"/>
  <c r="D362" i="1"/>
  <c r="D377" i="1"/>
  <c r="D393" i="1"/>
  <c r="D409" i="1"/>
  <c r="D424" i="1"/>
  <c r="D439" i="1"/>
  <c r="D456" i="1"/>
  <c r="D471" i="1"/>
  <c r="D486" i="1"/>
  <c r="D8" i="1"/>
  <c r="D26" i="1"/>
  <c r="D42" i="1"/>
  <c r="D58" i="1"/>
  <c r="D77" i="1"/>
  <c r="D93" i="1"/>
  <c r="D110" i="1"/>
  <c r="D129" i="1"/>
  <c r="D146" i="1"/>
  <c r="D162" i="1"/>
  <c r="D180" i="1"/>
  <c r="D197" i="1"/>
  <c r="D213" i="1"/>
  <c r="D231" i="1"/>
  <c r="D248" i="1"/>
  <c r="D264" i="1"/>
  <c r="D281" i="1"/>
  <c r="D299" i="1"/>
  <c r="D316" i="1"/>
  <c r="D331" i="1"/>
  <c r="D348" i="1"/>
  <c r="D363" i="1"/>
  <c r="D378" i="1"/>
  <c r="D395" i="1"/>
  <c r="D410" i="1"/>
  <c r="D425" i="1"/>
  <c r="D441" i="1"/>
  <c r="D457" i="1"/>
  <c r="D472" i="1"/>
  <c r="D489" i="1"/>
  <c r="D10" i="1"/>
  <c r="D27" i="1"/>
  <c r="D43" i="1"/>
  <c r="D60" i="1"/>
  <c r="D78" i="1"/>
  <c r="D94" i="1"/>
  <c r="D113" i="1"/>
  <c r="D130" i="1"/>
  <c r="D147" i="1"/>
  <c r="D163" i="1"/>
  <c r="D182" i="1"/>
  <c r="D198" i="1"/>
  <c r="D214" i="1"/>
  <c r="D233" i="1"/>
  <c r="D249" i="1"/>
  <c r="D266" i="1"/>
  <c r="D283" i="1"/>
  <c r="D302" i="1"/>
  <c r="D317" i="1"/>
  <c r="D333" i="1"/>
  <c r="D349" i="1"/>
  <c r="D364" i="1"/>
  <c r="D379" i="1"/>
  <c r="D396" i="1"/>
  <c r="D411" i="1"/>
  <c r="D426" i="1"/>
  <c r="D443" i="1"/>
  <c r="D458" i="1"/>
  <c r="D474" i="1"/>
  <c r="D491" i="1"/>
  <c r="D12" i="1"/>
  <c r="D36" i="1"/>
  <c r="D64" i="1"/>
  <c r="D87" i="1"/>
  <c r="D116" i="1"/>
  <c r="D137" i="1"/>
  <c r="D167" i="1"/>
  <c r="D188" i="1"/>
  <c r="D218" i="1"/>
  <c r="D240" i="1"/>
  <c r="D270" i="1"/>
  <c r="D292" i="1"/>
  <c r="D319" i="1"/>
  <c r="D340" i="1"/>
  <c r="D366" i="1"/>
  <c r="D388" i="1"/>
  <c r="D413" i="1"/>
  <c r="D435" i="1"/>
  <c r="D461" i="1"/>
  <c r="D482" i="1"/>
  <c r="D14" i="1"/>
  <c r="D38" i="1"/>
  <c r="D66" i="1"/>
  <c r="D89" i="1"/>
  <c r="D117" i="1"/>
  <c r="D139" i="1"/>
  <c r="D168" i="1"/>
  <c r="D191" i="1"/>
  <c r="D220" i="1"/>
  <c r="D242" i="1"/>
  <c r="D272" i="1"/>
  <c r="D293" i="1"/>
  <c r="D321" i="1"/>
  <c r="D341" i="1"/>
  <c r="D367" i="1"/>
  <c r="D389" i="1"/>
  <c r="D414" i="1"/>
  <c r="D436" i="1"/>
  <c r="D462" i="1"/>
  <c r="D483" i="1"/>
  <c r="D15" i="1"/>
  <c r="D39" i="1"/>
  <c r="D67" i="1"/>
  <c r="D90" i="1"/>
  <c r="D118" i="1"/>
  <c r="D141" i="1"/>
  <c r="D170" i="1"/>
  <c r="D194" i="1"/>
  <c r="D221" i="1"/>
  <c r="D244" i="1"/>
  <c r="D273" i="1"/>
  <c r="D294" i="1"/>
  <c r="D323" i="1"/>
  <c r="D342" i="1"/>
  <c r="D369" i="1"/>
  <c r="D390" i="1"/>
  <c r="D417" i="1"/>
  <c r="D437" i="1"/>
  <c r="D463" i="1"/>
  <c r="D484" i="1"/>
  <c r="D16" i="1"/>
  <c r="D44" i="1"/>
  <c r="D68" i="1"/>
  <c r="D96" i="1"/>
  <c r="D119" i="1"/>
  <c r="D148" i="1"/>
  <c r="D171" i="1"/>
  <c r="D199" i="1"/>
  <c r="D223" i="1"/>
  <c r="D250" i="1"/>
  <c r="D274" i="1"/>
  <c r="D303" i="1"/>
  <c r="D324" i="1"/>
  <c r="D350" i="1"/>
  <c r="D371" i="1"/>
  <c r="D397" i="1"/>
  <c r="D419" i="1"/>
  <c r="D444" i="1"/>
  <c r="D465" i="1"/>
  <c r="D492" i="1"/>
  <c r="D28" i="1"/>
  <c r="D52" i="1"/>
  <c r="D480" i="1"/>
  <c r="D448" i="1"/>
  <c r="D407" i="1"/>
  <c r="D375" i="1"/>
  <c r="D338" i="1"/>
  <c r="D306" i="1"/>
  <c r="D261" i="1"/>
  <c r="D226" i="1"/>
  <c r="D186" i="1"/>
  <c r="D152" i="1"/>
  <c r="D106" i="1"/>
  <c r="D71" i="1"/>
  <c r="D30" i="1"/>
  <c r="D479" i="1"/>
  <c r="D447" i="1"/>
  <c r="D405" i="1"/>
  <c r="D374" i="1"/>
  <c r="D337" i="1"/>
  <c r="D305" i="1"/>
  <c r="D260" i="1"/>
  <c r="D225" i="1"/>
  <c r="D185" i="1"/>
  <c r="D150" i="1"/>
  <c r="D105" i="1"/>
  <c r="D70" i="1"/>
  <c r="D29" i="1"/>
  <c r="D475" i="1"/>
  <c r="D434" i="1"/>
  <c r="D402" i="1"/>
  <c r="D365" i="1"/>
  <c r="D335" i="1"/>
  <c r="D291" i="1"/>
  <c r="D257" i="1"/>
  <c r="D215" i="1"/>
  <c r="D183" i="1"/>
  <c r="D136" i="1"/>
  <c r="D103" i="1"/>
  <c r="D63" i="1"/>
  <c r="D19" i="1"/>
  <c r="D499" i="1"/>
  <c r="D469" i="1"/>
  <c r="D433" i="1"/>
  <c r="D400" i="1"/>
  <c r="D360" i="1"/>
  <c r="D327" i="1"/>
  <c r="D290" i="1"/>
  <c r="D255" i="1"/>
  <c r="D210" i="1"/>
  <c r="D175" i="1"/>
  <c r="D135" i="1"/>
  <c r="D102" i="1"/>
  <c r="D55" i="1"/>
  <c r="D18" i="1"/>
  <c r="D498" i="1"/>
  <c r="D468" i="1"/>
  <c r="D432" i="1"/>
  <c r="D399" i="1"/>
  <c r="D357" i="1"/>
  <c r="D326" i="1"/>
  <c r="D288" i="1"/>
  <c r="D254" i="1"/>
  <c r="D209" i="1"/>
  <c r="D173" i="1"/>
  <c r="D134" i="1"/>
  <c r="D100" i="1"/>
  <c r="D54" i="1"/>
  <c r="D11" i="1"/>
  <c r="D497" i="1"/>
  <c r="D467" i="1"/>
  <c r="D429" i="1"/>
  <c r="D398" i="1"/>
  <c r="D355" i="1"/>
  <c r="D325" i="1"/>
  <c r="D287" i="1"/>
  <c r="D251" i="1"/>
  <c r="D208" i="1"/>
  <c r="D172" i="1"/>
  <c r="D132" i="1"/>
  <c r="D98" i="1"/>
  <c r="D53" i="1"/>
  <c r="D4" i="1"/>
  <c r="D496" i="1"/>
  <c r="D460" i="1"/>
  <c r="D427" i="1"/>
  <c r="D386" i="1"/>
  <c r="D354" i="1"/>
  <c r="D318" i="1"/>
  <c r="D286" i="1"/>
  <c r="D239" i="1"/>
  <c r="D204" i="1"/>
  <c r="D165" i="1"/>
  <c r="D131" i="1"/>
  <c r="D84" i="1"/>
  <c r="D51" i="1"/>
  <c r="D3" i="1"/>
  <c r="D495" i="1"/>
  <c r="D453" i="1"/>
  <c r="D422" i="1"/>
  <c r="D385" i="1"/>
  <c r="D353" i="1"/>
  <c r="D312" i="1"/>
  <c r="D278" i="1"/>
  <c r="D238" i="1"/>
  <c r="D202" i="1"/>
  <c r="D158" i="1"/>
  <c r="D123" i="1"/>
  <c r="D83" i="1"/>
  <c r="D47" i="1"/>
  <c r="V1" i="8"/>
  <c r="I2" i="2" l="1"/>
  <c r="U6" i="1"/>
  <c r="U18" i="1"/>
  <c r="U30" i="1"/>
  <c r="U42" i="1"/>
  <c r="U19" i="1"/>
  <c r="U31" i="1"/>
  <c r="U43" i="1"/>
  <c r="U20" i="1"/>
  <c r="U32" i="1"/>
  <c r="U44" i="1"/>
  <c r="U21" i="1"/>
  <c r="U33" i="1"/>
  <c r="U45" i="1"/>
  <c r="U22" i="1"/>
  <c r="U34" i="1"/>
  <c r="U46" i="1"/>
  <c r="U23" i="1"/>
  <c r="U35" i="1"/>
  <c r="U47" i="1"/>
  <c r="U24" i="1"/>
  <c r="U36" i="1"/>
  <c r="U48" i="1"/>
  <c r="U25" i="1"/>
  <c r="U37" i="1"/>
  <c r="U49" i="1"/>
  <c r="U14" i="1"/>
  <c r="U26" i="1"/>
  <c r="U38" i="1"/>
  <c r="U50" i="1"/>
  <c r="U15" i="1"/>
  <c r="U27" i="1"/>
  <c r="U39" i="1"/>
  <c r="U1" i="1"/>
  <c r="U16" i="1"/>
  <c r="U28" i="1"/>
  <c r="U40" i="1"/>
  <c r="U17" i="1"/>
  <c r="U29" i="1"/>
  <c r="U41" i="1"/>
  <c r="U7" i="1"/>
  <c r="U8" i="1"/>
  <c r="U9" i="1"/>
  <c r="U10" i="1"/>
  <c r="U11" i="1"/>
  <c r="U12" i="1"/>
  <c r="U13" i="1"/>
  <c r="U2" i="1"/>
  <c r="U3" i="1"/>
  <c r="U4" i="1"/>
  <c r="U5" i="1"/>
  <c r="AD11" i="8"/>
  <c r="AD23" i="8"/>
  <c r="AD35" i="8"/>
  <c r="AD47" i="8"/>
  <c r="AD7" i="8"/>
  <c r="AD32" i="8"/>
  <c r="AD45" i="8"/>
  <c r="AD46" i="8"/>
  <c r="AD12" i="8"/>
  <c r="AD24" i="8"/>
  <c r="AD36" i="8"/>
  <c r="AD48" i="8"/>
  <c r="AD43" i="8"/>
  <c r="AD44" i="8"/>
  <c r="AD34" i="8"/>
  <c r="AD13" i="8"/>
  <c r="AD25" i="8"/>
  <c r="AD37" i="8"/>
  <c r="AD49" i="8"/>
  <c r="AD30" i="8"/>
  <c r="AD1" i="8"/>
  <c r="AD21" i="8"/>
  <c r="AD2" i="8"/>
  <c r="AD14" i="8"/>
  <c r="AD26" i="8"/>
  <c r="AD38" i="8"/>
  <c r="AD50" i="8"/>
  <c r="AD42" i="8"/>
  <c r="AD19" i="8"/>
  <c r="AD9" i="8"/>
  <c r="AD3" i="8"/>
  <c r="AD15" i="8"/>
  <c r="AD27" i="8"/>
  <c r="AD39" i="8"/>
  <c r="AD6" i="8"/>
  <c r="AD20" i="8"/>
  <c r="AD33" i="8"/>
  <c r="AD10" i="8"/>
  <c r="AD4" i="8"/>
  <c r="AD16" i="8"/>
  <c r="AD28" i="8"/>
  <c r="AD40" i="8"/>
  <c r="AD5" i="8"/>
  <c r="AD17" i="8"/>
  <c r="AD29" i="8"/>
  <c r="AD41" i="8"/>
  <c r="AD18" i="8"/>
  <c r="AD31" i="8"/>
  <c r="AD8" i="8"/>
  <c r="AD22" i="8"/>
  <c r="W1" i="8"/>
  <c r="P1" i="8" s="1"/>
  <c r="U1" i="8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E8" i="1"/>
  <c r="F8" i="1" s="1"/>
  <c r="E20" i="1"/>
  <c r="F20" i="1" s="1"/>
  <c r="G20" i="1" s="1"/>
  <c r="E9" i="1"/>
  <c r="F9" i="1" s="1"/>
  <c r="E11" i="1"/>
  <c r="F11" i="1" s="1"/>
  <c r="E13" i="1"/>
  <c r="F13" i="1" s="1"/>
  <c r="E2" i="1"/>
  <c r="F2" i="1" s="1"/>
  <c r="E14" i="1"/>
  <c r="F14" i="1" s="1"/>
  <c r="E6" i="1"/>
  <c r="F6" i="1" s="1"/>
  <c r="E18" i="1"/>
  <c r="F18" i="1" s="1"/>
  <c r="E17" i="1"/>
  <c r="F17" i="1" s="1"/>
  <c r="E31" i="1"/>
  <c r="F31" i="1" s="1"/>
  <c r="E43" i="1"/>
  <c r="F43" i="1" s="1"/>
  <c r="E55" i="1"/>
  <c r="F55" i="1" s="1"/>
  <c r="G55" i="1" s="1"/>
  <c r="E67" i="1"/>
  <c r="F67" i="1" s="1"/>
  <c r="G67" i="1" s="1"/>
  <c r="E79" i="1"/>
  <c r="F79" i="1" s="1"/>
  <c r="E91" i="1"/>
  <c r="F91" i="1" s="1"/>
  <c r="E103" i="1"/>
  <c r="F103" i="1" s="1"/>
  <c r="E115" i="1"/>
  <c r="F115" i="1" s="1"/>
  <c r="I115" i="1" s="1"/>
  <c r="E127" i="1"/>
  <c r="F127" i="1" s="1"/>
  <c r="E139" i="1"/>
  <c r="F139" i="1" s="1"/>
  <c r="E151" i="1"/>
  <c r="F151" i="1" s="1"/>
  <c r="E163" i="1"/>
  <c r="F163" i="1" s="1"/>
  <c r="E175" i="1"/>
  <c r="F175" i="1" s="1"/>
  <c r="E187" i="1"/>
  <c r="F187" i="1" s="1"/>
  <c r="E199" i="1"/>
  <c r="F199" i="1" s="1"/>
  <c r="E211" i="1"/>
  <c r="F211" i="1" s="1"/>
  <c r="E223" i="1"/>
  <c r="F223" i="1" s="1"/>
  <c r="E235" i="1"/>
  <c r="F235" i="1" s="1"/>
  <c r="G235" i="1" s="1"/>
  <c r="E247" i="1"/>
  <c r="F247" i="1" s="1"/>
  <c r="E259" i="1"/>
  <c r="F259" i="1" s="1"/>
  <c r="G259" i="1" s="1"/>
  <c r="E271" i="1"/>
  <c r="F271" i="1" s="1"/>
  <c r="E283" i="1"/>
  <c r="F283" i="1" s="1"/>
  <c r="G283" i="1" s="1"/>
  <c r="E295" i="1"/>
  <c r="F295" i="1" s="1"/>
  <c r="G295" i="1" s="1"/>
  <c r="E307" i="1"/>
  <c r="F307" i="1" s="1"/>
  <c r="E319" i="1"/>
  <c r="F319" i="1" s="1"/>
  <c r="I319" i="1" s="1"/>
  <c r="E331" i="1"/>
  <c r="F331" i="1" s="1"/>
  <c r="E343" i="1"/>
  <c r="F343" i="1" s="1"/>
  <c r="E355" i="1"/>
  <c r="F355" i="1" s="1"/>
  <c r="E367" i="1"/>
  <c r="F367" i="1" s="1"/>
  <c r="G367" i="1" s="1"/>
  <c r="E379" i="1"/>
  <c r="F379" i="1" s="1"/>
  <c r="I379" i="1" s="1"/>
  <c r="E391" i="1"/>
  <c r="F391" i="1" s="1"/>
  <c r="E403" i="1"/>
  <c r="F403" i="1" s="1"/>
  <c r="E415" i="1"/>
  <c r="F415" i="1" s="1"/>
  <c r="E427" i="1"/>
  <c r="F427" i="1" s="1"/>
  <c r="E439" i="1"/>
  <c r="F439" i="1" s="1"/>
  <c r="E451" i="1"/>
  <c r="F451" i="1" s="1"/>
  <c r="I451" i="1" s="1"/>
  <c r="E463" i="1"/>
  <c r="F463" i="1" s="1"/>
  <c r="E475" i="1"/>
  <c r="F475" i="1" s="1"/>
  <c r="E487" i="1"/>
  <c r="F487" i="1" s="1"/>
  <c r="E499" i="1"/>
  <c r="F499" i="1" s="1"/>
  <c r="G499" i="1" s="1"/>
  <c r="E19" i="1"/>
  <c r="F19" i="1" s="1"/>
  <c r="E32" i="1"/>
  <c r="F32" i="1" s="1"/>
  <c r="E44" i="1"/>
  <c r="F44" i="1" s="1"/>
  <c r="E56" i="1"/>
  <c r="F56" i="1" s="1"/>
  <c r="E68" i="1"/>
  <c r="F68" i="1" s="1"/>
  <c r="E80" i="1"/>
  <c r="F80" i="1" s="1"/>
  <c r="E92" i="1"/>
  <c r="F92" i="1" s="1"/>
  <c r="E104" i="1"/>
  <c r="F104" i="1" s="1"/>
  <c r="E116" i="1"/>
  <c r="F116" i="1" s="1"/>
  <c r="E128" i="1"/>
  <c r="F128" i="1" s="1"/>
  <c r="E140" i="1"/>
  <c r="F140" i="1" s="1"/>
  <c r="E21" i="1"/>
  <c r="F21" i="1" s="1"/>
  <c r="E33" i="1"/>
  <c r="F33" i="1" s="1"/>
  <c r="G33" i="1" s="1"/>
  <c r="E45" i="1"/>
  <c r="F45" i="1" s="1"/>
  <c r="I45" i="1" s="1"/>
  <c r="E57" i="1"/>
  <c r="F57" i="1" s="1"/>
  <c r="E69" i="1"/>
  <c r="F69" i="1" s="1"/>
  <c r="E81" i="1"/>
  <c r="F81" i="1" s="1"/>
  <c r="E93" i="1"/>
  <c r="F93" i="1" s="1"/>
  <c r="E105" i="1"/>
  <c r="F105" i="1" s="1"/>
  <c r="E117" i="1"/>
  <c r="F117" i="1" s="1"/>
  <c r="E129" i="1"/>
  <c r="F129" i="1" s="1"/>
  <c r="E141" i="1"/>
  <c r="F141" i="1" s="1"/>
  <c r="G141" i="1" s="1"/>
  <c r="E153" i="1"/>
  <c r="F153" i="1" s="1"/>
  <c r="E165" i="1"/>
  <c r="F165" i="1" s="1"/>
  <c r="E22" i="1"/>
  <c r="F22" i="1" s="1"/>
  <c r="E34" i="1"/>
  <c r="F34" i="1" s="1"/>
  <c r="E46" i="1"/>
  <c r="F46" i="1" s="1"/>
  <c r="E58" i="1"/>
  <c r="F58" i="1" s="1"/>
  <c r="E70" i="1"/>
  <c r="F70" i="1" s="1"/>
  <c r="E82" i="1"/>
  <c r="F82" i="1" s="1"/>
  <c r="E94" i="1"/>
  <c r="F94" i="1" s="1"/>
  <c r="E106" i="1"/>
  <c r="F106" i="1" s="1"/>
  <c r="E118" i="1"/>
  <c r="F118" i="1" s="1"/>
  <c r="E130" i="1"/>
  <c r="F130" i="1" s="1"/>
  <c r="E142" i="1"/>
  <c r="F142" i="1" s="1"/>
  <c r="G142" i="1" s="1"/>
  <c r="E154" i="1"/>
  <c r="F154" i="1" s="1"/>
  <c r="G154" i="1" s="1"/>
  <c r="E166" i="1"/>
  <c r="F166" i="1" s="1"/>
  <c r="I166" i="1" s="1"/>
  <c r="E178" i="1"/>
  <c r="F178" i="1" s="1"/>
  <c r="E190" i="1"/>
  <c r="F190" i="1" s="1"/>
  <c r="E202" i="1"/>
  <c r="F202" i="1" s="1"/>
  <c r="E214" i="1"/>
  <c r="F214" i="1" s="1"/>
  <c r="E226" i="1"/>
  <c r="F226" i="1" s="1"/>
  <c r="E238" i="1"/>
  <c r="F238" i="1" s="1"/>
  <c r="E250" i="1"/>
  <c r="F250" i="1" s="1"/>
  <c r="E262" i="1"/>
  <c r="F262" i="1" s="1"/>
  <c r="I262" i="1" s="1"/>
  <c r="E274" i="1"/>
  <c r="F274" i="1" s="1"/>
  <c r="I274" i="1" s="1"/>
  <c r="E286" i="1"/>
  <c r="F286" i="1" s="1"/>
  <c r="E298" i="1"/>
  <c r="F298" i="1" s="1"/>
  <c r="I298" i="1" s="1"/>
  <c r="E310" i="1"/>
  <c r="F310" i="1" s="1"/>
  <c r="E322" i="1"/>
  <c r="F322" i="1" s="1"/>
  <c r="E334" i="1"/>
  <c r="F334" i="1" s="1"/>
  <c r="E346" i="1"/>
  <c r="F346" i="1" s="1"/>
  <c r="E358" i="1"/>
  <c r="F358" i="1" s="1"/>
  <c r="I358" i="1" s="1"/>
  <c r="E370" i="1"/>
  <c r="F370" i="1" s="1"/>
  <c r="E382" i="1"/>
  <c r="F382" i="1" s="1"/>
  <c r="E394" i="1"/>
  <c r="F394" i="1" s="1"/>
  <c r="I394" i="1" s="1"/>
  <c r="E406" i="1"/>
  <c r="F406" i="1" s="1"/>
  <c r="E418" i="1"/>
  <c r="F418" i="1" s="1"/>
  <c r="E430" i="1"/>
  <c r="F430" i="1" s="1"/>
  <c r="E442" i="1"/>
  <c r="F442" i="1" s="1"/>
  <c r="E454" i="1"/>
  <c r="F454" i="1" s="1"/>
  <c r="E466" i="1"/>
  <c r="F466" i="1" s="1"/>
  <c r="E478" i="1"/>
  <c r="F478" i="1" s="1"/>
  <c r="E490" i="1"/>
  <c r="F490" i="1" s="1"/>
  <c r="E3" i="1"/>
  <c r="F3" i="1" s="1"/>
  <c r="I3" i="1" s="1"/>
  <c r="E23" i="1"/>
  <c r="F23" i="1" s="1"/>
  <c r="E35" i="1"/>
  <c r="F35" i="1" s="1"/>
  <c r="E47" i="1"/>
  <c r="F47" i="1" s="1"/>
  <c r="E59" i="1"/>
  <c r="F59" i="1" s="1"/>
  <c r="E71" i="1"/>
  <c r="F71" i="1" s="1"/>
  <c r="G71" i="1" s="1"/>
  <c r="E83" i="1"/>
  <c r="F83" i="1" s="1"/>
  <c r="E95" i="1"/>
  <c r="F95" i="1" s="1"/>
  <c r="E107" i="1"/>
  <c r="F107" i="1" s="1"/>
  <c r="E119" i="1"/>
  <c r="F119" i="1" s="1"/>
  <c r="E131" i="1"/>
  <c r="F131" i="1" s="1"/>
  <c r="E143" i="1"/>
  <c r="F143" i="1" s="1"/>
  <c r="E155" i="1"/>
  <c r="F155" i="1" s="1"/>
  <c r="E167" i="1"/>
  <c r="F167" i="1" s="1"/>
  <c r="E179" i="1"/>
  <c r="F179" i="1" s="1"/>
  <c r="E191" i="1"/>
  <c r="F191" i="1" s="1"/>
  <c r="I191" i="1" s="1"/>
  <c r="E203" i="1"/>
  <c r="F203" i="1" s="1"/>
  <c r="E28" i="1"/>
  <c r="F28" i="1" s="1"/>
  <c r="E50" i="1"/>
  <c r="F50" i="1" s="1"/>
  <c r="E72" i="1"/>
  <c r="F72" i="1" s="1"/>
  <c r="E89" i="1"/>
  <c r="F89" i="1" s="1"/>
  <c r="I89" i="1" s="1"/>
  <c r="E111" i="1"/>
  <c r="F111" i="1" s="1"/>
  <c r="E133" i="1"/>
  <c r="F133" i="1" s="1"/>
  <c r="G133" i="1" s="1"/>
  <c r="E150" i="1"/>
  <c r="F150" i="1" s="1"/>
  <c r="E170" i="1"/>
  <c r="F170" i="1" s="1"/>
  <c r="G170" i="1" s="1"/>
  <c r="E185" i="1"/>
  <c r="F185" i="1" s="1"/>
  <c r="I185" i="1" s="1"/>
  <c r="E201" i="1"/>
  <c r="F201" i="1" s="1"/>
  <c r="E217" i="1"/>
  <c r="F217" i="1" s="1"/>
  <c r="G217" i="1" s="1"/>
  <c r="E231" i="1"/>
  <c r="F231" i="1" s="1"/>
  <c r="E245" i="1"/>
  <c r="F245" i="1" s="1"/>
  <c r="E260" i="1"/>
  <c r="F260" i="1" s="1"/>
  <c r="G260" i="1" s="1"/>
  <c r="E275" i="1"/>
  <c r="F275" i="1" s="1"/>
  <c r="E289" i="1"/>
  <c r="F289" i="1" s="1"/>
  <c r="E303" i="1"/>
  <c r="F303" i="1" s="1"/>
  <c r="E317" i="1"/>
  <c r="F317" i="1" s="1"/>
  <c r="E332" i="1"/>
  <c r="F332" i="1" s="1"/>
  <c r="E347" i="1"/>
  <c r="F347" i="1" s="1"/>
  <c r="G347" i="1" s="1"/>
  <c r="E361" i="1"/>
  <c r="F361" i="1" s="1"/>
  <c r="I361" i="1" s="1"/>
  <c r="E375" i="1"/>
  <c r="F375" i="1" s="1"/>
  <c r="I375" i="1" s="1"/>
  <c r="E389" i="1"/>
  <c r="F389" i="1" s="1"/>
  <c r="E404" i="1"/>
  <c r="F404" i="1" s="1"/>
  <c r="G404" i="1" s="1"/>
  <c r="E419" i="1"/>
  <c r="F419" i="1" s="1"/>
  <c r="E433" i="1"/>
  <c r="F433" i="1" s="1"/>
  <c r="G433" i="1" s="1"/>
  <c r="E447" i="1"/>
  <c r="F447" i="1" s="1"/>
  <c r="G447" i="1" s="1"/>
  <c r="E461" i="1"/>
  <c r="F461" i="1" s="1"/>
  <c r="E476" i="1"/>
  <c r="F476" i="1" s="1"/>
  <c r="E491" i="1"/>
  <c r="F491" i="1" s="1"/>
  <c r="C13" i="1"/>
  <c r="M13" i="1" s="1"/>
  <c r="C25" i="1"/>
  <c r="M25" i="1" s="1"/>
  <c r="C37" i="1"/>
  <c r="M37" i="1" s="1"/>
  <c r="C49" i="1"/>
  <c r="M49" i="1" s="1"/>
  <c r="C61" i="1"/>
  <c r="M61" i="1" s="1"/>
  <c r="C73" i="1"/>
  <c r="M73" i="1" s="1"/>
  <c r="C85" i="1"/>
  <c r="M85" i="1" s="1"/>
  <c r="C97" i="1"/>
  <c r="M97" i="1" s="1"/>
  <c r="C109" i="1"/>
  <c r="M109" i="1" s="1"/>
  <c r="C121" i="1"/>
  <c r="M121" i="1" s="1"/>
  <c r="C133" i="1"/>
  <c r="M133" i="1" s="1"/>
  <c r="C145" i="1"/>
  <c r="M145" i="1" s="1"/>
  <c r="C157" i="1"/>
  <c r="M157" i="1" s="1"/>
  <c r="C169" i="1"/>
  <c r="M169" i="1" s="1"/>
  <c r="C181" i="1"/>
  <c r="M181" i="1" s="1"/>
  <c r="C193" i="1"/>
  <c r="M193" i="1" s="1"/>
  <c r="C205" i="1"/>
  <c r="M205" i="1" s="1"/>
  <c r="C217" i="1"/>
  <c r="M217" i="1" s="1"/>
  <c r="C229" i="1"/>
  <c r="M229" i="1" s="1"/>
  <c r="C241" i="1"/>
  <c r="M241" i="1" s="1"/>
  <c r="C253" i="1"/>
  <c r="M253" i="1" s="1"/>
  <c r="C265" i="1"/>
  <c r="M265" i="1" s="1"/>
  <c r="C277" i="1"/>
  <c r="M277" i="1" s="1"/>
  <c r="C289" i="1"/>
  <c r="M289" i="1" s="1"/>
  <c r="C301" i="1"/>
  <c r="M301" i="1" s="1"/>
  <c r="C313" i="1"/>
  <c r="M313" i="1" s="1"/>
  <c r="C325" i="1"/>
  <c r="M325" i="1" s="1"/>
  <c r="C337" i="1"/>
  <c r="M337" i="1" s="1"/>
  <c r="C349" i="1"/>
  <c r="M349" i="1" s="1"/>
  <c r="C361" i="1"/>
  <c r="M361" i="1" s="1"/>
  <c r="C373" i="1"/>
  <c r="M373" i="1" s="1"/>
  <c r="C385" i="1"/>
  <c r="M385" i="1" s="1"/>
  <c r="C397" i="1"/>
  <c r="M397" i="1" s="1"/>
  <c r="C409" i="1"/>
  <c r="M409" i="1" s="1"/>
  <c r="C421" i="1"/>
  <c r="M421" i="1" s="1"/>
  <c r="C433" i="1"/>
  <c r="M433" i="1" s="1"/>
  <c r="C445" i="1"/>
  <c r="M445" i="1" s="1"/>
  <c r="C457" i="1"/>
  <c r="M457" i="1" s="1"/>
  <c r="C469" i="1"/>
  <c r="M469" i="1" s="1"/>
  <c r="C481" i="1"/>
  <c r="M481" i="1" s="1"/>
  <c r="C493" i="1"/>
  <c r="M493" i="1" s="1"/>
  <c r="E4" i="1"/>
  <c r="F4" i="1" s="1"/>
  <c r="E29" i="1"/>
  <c r="F29" i="1" s="1"/>
  <c r="I29" i="1" s="1"/>
  <c r="E51" i="1"/>
  <c r="F51" i="1" s="1"/>
  <c r="E73" i="1"/>
  <c r="F73" i="1" s="1"/>
  <c r="E90" i="1"/>
  <c r="F90" i="1" s="1"/>
  <c r="E112" i="1"/>
  <c r="F112" i="1" s="1"/>
  <c r="G112" i="1" s="1"/>
  <c r="E134" i="1"/>
  <c r="F134" i="1" s="1"/>
  <c r="E152" i="1"/>
  <c r="F152" i="1" s="1"/>
  <c r="E171" i="1"/>
  <c r="F171" i="1" s="1"/>
  <c r="E186" i="1"/>
  <c r="F186" i="1" s="1"/>
  <c r="I186" i="1" s="1"/>
  <c r="E204" i="1"/>
  <c r="F204" i="1" s="1"/>
  <c r="G204" i="1" s="1"/>
  <c r="E218" i="1"/>
  <c r="F218" i="1" s="1"/>
  <c r="E232" i="1"/>
  <c r="F232" i="1" s="1"/>
  <c r="G232" i="1" s="1"/>
  <c r="E246" i="1"/>
  <c r="F246" i="1" s="1"/>
  <c r="E261" i="1"/>
  <c r="F261" i="1" s="1"/>
  <c r="E276" i="1"/>
  <c r="F276" i="1" s="1"/>
  <c r="E290" i="1"/>
  <c r="F290" i="1" s="1"/>
  <c r="E304" i="1"/>
  <c r="F304" i="1" s="1"/>
  <c r="E318" i="1"/>
  <c r="F318" i="1" s="1"/>
  <c r="E333" i="1"/>
  <c r="F333" i="1" s="1"/>
  <c r="E348" i="1"/>
  <c r="F348" i="1" s="1"/>
  <c r="E362" i="1"/>
  <c r="F362" i="1" s="1"/>
  <c r="E376" i="1"/>
  <c r="F376" i="1" s="1"/>
  <c r="E390" i="1"/>
  <c r="F390" i="1" s="1"/>
  <c r="E405" i="1"/>
  <c r="F405" i="1" s="1"/>
  <c r="E420" i="1"/>
  <c r="F420" i="1" s="1"/>
  <c r="E434" i="1"/>
  <c r="F434" i="1" s="1"/>
  <c r="E448" i="1"/>
  <c r="F448" i="1" s="1"/>
  <c r="E462" i="1"/>
  <c r="F462" i="1" s="1"/>
  <c r="E477" i="1"/>
  <c r="F477" i="1" s="1"/>
  <c r="E492" i="1"/>
  <c r="F492" i="1" s="1"/>
  <c r="C2" i="1"/>
  <c r="M2" i="1" s="1"/>
  <c r="C14" i="1"/>
  <c r="M14" i="1" s="1"/>
  <c r="C26" i="1"/>
  <c r="M26" i="1" s="1"/>
  <c r="C38" i="1"/>
  <c r="M38" i="1" s="1"/>
  <c r="C50" i="1"/>
  <c r="M50" i="1" s="1"/>
  <c r="C62" i="1"/>
  <c r="M62" i="1" s="1"/>
  <c r="C74" i="1"/>
  <c r="M74" i="1" s="1"/>
  <c r="C86" i="1"/>
  <c r="M86" i="1" s="1"/>
  <c r="C98" i="1"/>
  <c r="M98" i="1" s="1"/>
  <c r="C110" i="1"/>
  <c r="M110" i="1" s="1"/>
  <c r="C122" i="1"/>
  <c r="M122" i="1" s="1"/>
  <c r="C134" i="1"/>
  <c r="M134" i="1" s="1"/>
  <c r="C146" i="1"/>
  <c r="M146" i="1" s="1"/>
  <c r="C158" i="1"/>
  <c r="M158" i="1" s="1"/>
  <c r="C170" i="1"/>
  <c r="M170" i="1" s="1"/>
  <c r="C182" i="1"/>
  <c r="M182" i="1" s="1"/>
  <c r="C194" i="1"/>
  <c r="M194" i="1" s="1"/>
  <c r="C206" i="1"/>
  <c r="M206" i="1" s="1"/>
  <c r="C218" i="1"/>
  <c r="M218" i="1" s="1"/>
  <c r="C230" i="1"/>
  <c r="M230" i="1" s="1"/>
  <c r="C242" i="1"/>
  <c r="M242" i="1" s="1"/>
  <c r="C254" i="1"/>
  <c r="M254" i="1" s="1"/>
  <c r="C266" i="1"/>
  <c r="M266" i="1" s="1"/>
  <c r="C278" i="1"/>
  <c r="M278" i="1" s="1"/>
  <c r="C290" i="1"/>
  <c r="M290" i="1" s="1"/>
  <c r="C302" i="1"/>
  <c r="M302" i="1" s="1"/>
  <c r="C314" i="1"/>
  <c r="M314" i="1" s="1"/>
  <c r="C326" i="1"/>
  <c r="M326" i="1" s="1"/>
  <c r="C338" i="1"/>
  <c r="M338" i="1" s="1"/>
  <c r="C350" i="1"/>
  <c r="M350" i="1" s="1"/>
  <c r="C362" i="1"/>
  <c r="M362" i="1" s="1"/>
  <c r="C374" i="1"/>
  <c r="M374" i="1" s="1"/>
  <c r="C386" i="1"/>
  <c r="M386" i="1" s="1"/>
  <c r="C398" i="1"/>
  <c r="M398" i="1" s="1"/>
  <c r="C410" i="1"/>
  <c r="M410" i="1" s="1"/>
  <c r="C422" i="1"/>
  <c r="M422" i="1" s="1"/>
  <c r="C434" i="1"/>
  <c r="M434" i="1" s="1"/>
  <c r="C446" i="1"/>
  <c r="M446" i="1" s="1"/>
  <c r="C458" i="1"/>
  <c r="M458" i="1" s="1"/>
  <c r="C470" i="1"/>
  <c r="M470" i="1" s="1"/>
  <c r="C482" i="1"/>
  <c r="M482" i="1" s="1"/>
  <c r="C494" i="1"/>
  <c r="M494" i="1" s="1"/>
  <c r="E5" i="1"/>
  <c r="F5" i="1" s="1"/>
  <c r="E30" i="1"/>
  <c r="F30" i="1" s="1"/>
  <c r="E52" i="1"/>
  <c r="F52" i="1" s="1"/>
  <c r="I52" i="1" s="1"/>
  <c r="E74" i="1"/>
  <c r="F74" i="1" s="1"/>
  <c r="G74" i="1" s="1"/>
  <c r="E96" i="1"/>
  <c r="F96" i="1" s="1"/>
  <c r="E113" i="1"/>
  <c r="F113" i="1" s="1"/>
  <c r="E135" i="1"/>
  <c r="F135" i="1" s="1"/>
  <c r="E156" i="1"/>
  <c r="F156" i="1" s="1"/>
  <c r="E172" i="1"/>
  <c r="F172" i="1" s="1"/>
  <c r="E188" i="1"/>
  <c r="F188" i="1" s="1"/>
  <c r="E205" i="1"/>
  <c r="F205" i="1" s="1"/>
  <c r="E219" i="1"/>
  <c r="F219" i="1" s="1"/>
  <c r="E233" i="1"/>
  <c r="F233" i="1" s="1"/>
  <c r="E248" i="1"/>
  <c r="F248" i="1" s="1"/>
  <c r="E263" i="1"/>
  <c r="F263" i="1" s="1"/>
  <c r="E277" i="1"/>
  <c r="F277" i="1" s="1"/>
  <c r="I277" i="1" s="1"/>
  <c r="E291" i="1"/>
  <c r="F291" i="1" s="1"/>
  <c r="E305" i="1"/>
  <c r="F305" i="1" s="1"/>
  <c r="E320" i="1"/>
  <c r="F320" i="1" s="1"/>
  <c r="G320" i="1" s="1"/>
  <c r="E335" i="1"/>
  <c r="F335" i="1" s="1"/>
  <c r="I335" i="1" s="1"/>
  <c r="E349" i="1"/>
  <c r="F349" i="1" s="1"/>
  <c r="E363" i="1"/>
  <c r="F363" i="1" s="1"/>
  <c r="G363" i="1" s="1"/>
  <c r="E377" i="1"/>
  <c r="F377" i="1" s="1"/>
  <c r="E392" i="1"/>
  <c r="F392" i="1" s="1"/>
  <c r="E407" i="1"/>
  <c r="F407" i="1" s="1"/>
  <c r="E421" i="1"/>
  <c r="F421" i="1" s="1"/>
  <c r="E435" i="1"/>
  <c r="F435" i="1" s="1"/>
  <c r="E449" i="1"/>
  <c r="F449" i="1" s="1"/>
  <c r="E464" i="1"/>
  <c r="F464" i="1" s="1"/>
  <c r="E479" i="1"/>
  <c r="F479" i="1" s="1"/>
  <c r="E493" i="1"/>
  <c r="F493" i="1" s="1"/>
  <c r="G493" i="1" s="1"/>
  <c r="C3" i="1"/>
  <c r="M3" i="1" s="1"/>
  <c r="C15" i="1"/>
  <c r="M15" i="1" s="1"/>
  <c r="C27" i="1"/>
  <c r="M27" i="1" s="1"/>
  <c r="C39" i="1"/>
  <c r="M39" i="1" s="1"/>
  <c r="C51" i="1"/>
  <c r="M51" i="1" s="1"/>
  <c r="C63" i="1"/>
  <c r="M63" i="1" s="1"/>
  <c r="C75" i="1"/>
  <c r="M75" i="1" s="1"/>
  <c r="C87" i="1"/>
  <c r="M87" i="1" s="1"/>
  <c r="C99" i="1"/>
  <c r="M99" i="1" s="1"/>
  <c r="C111" i="1"/>
  <c r="M111" i="1" s="1"/>
  <c r="C123" i="1"/>
  <c r="M123" i="1" s="1"/>
  <c r="C135" i="1"/>
  <c r="M135" i="1" s="1"/>
  <c r="C147" i="1"/>
  <c r="M147" i="1" s="1"/>
  <c r="C159" i="1"/>
  <c r="M159" i="1" s="1"/>
  <c r="C171" i="1"/>
  <c r="M171" i="1" s="1"/>
  <c r="C183" i="1"/>
  <c r="M183" i="1" s="1"/>
  <c r="C195" i="1"/>
  <c r="M195" i="1" s="1"/>
  <c r="C207" i="1"/>
  <c r="M207" i="1" s="1"/>
  <c r="C219" i="1"/>
  <c r="M219" i="1" s="1"/>
  <c r="C231" i="1"/>
  <c r="M231" i="1" s="1"/>
  <c r="E7" i="1"/>
  <c r="F7" i="1" s="1"/>
  <c r="I7" i="1" s="1"/>
  <c r="E36" i="1"/>
  <c r="F36" i="1" s="1"/>
  <c r="E53" i="1"/>
  <c r="F53" i="1" s="1"/>
  <c r="E75" i="1"/>
  <c r="F75" i="1" s="1"/>
  <c r="E97" i="1"/>
  <c r="F97" i="1" s="1"/>
  <c r="E114" i="1"/>
  <c r="F114" i="1" s="1"/>
  <c r="E136" i="1"/>
  <c r="F136" i="1" s="1"/>
  <c r="E157" i="1"/>
  <c r="F157" i="1" s="1"/>
  <c r="I157" i="1" s="1"/>
  <c r="E173" i="1"/>
  <c r="F173" i="1" s="1"/>
  <c r="E189" i="1"/>
  <c r="F189" i="1" s="1"/>
  <c r="E206" i="1"/>
  <c r="F206" i="1" s="1"/>
  <c r="E220" i="1"/>
  <c r="F220" i="1" s="1"/>
  <c r="E234" i="1"/>
  <c r="F234" i="1" s="1"/>
  <c r="E249" i="1"/>
  <c r="F249" i="1" s="1"/>
  <c r="E264" i="1"/>
  <c r="F264" i="1" s="1"/>
  <c r="I264" i="1" s="1"/>
  <c r="E278" i="1"/>
  <c r="F278" i="1" s="1"/>
  <c r="E292" i="1"/>
  <c r="F292" i="1" s="1"/>
  <c r="E306" i="1"/>
  <c r="F306" i="1" s="1"/>
  <c r="E321" i="1"/>
  <c r="F321" i="1" s="1"/>
  <c r="E336" i="1"/>
  <c r="F336" i="1" s="1"/>
  <c r="E350" i="1"/>
  <c r="F350" i="1" s="1"/>
  <c r="E364" i="1"/>
  <c r="F364" i="1" s="1"/>
  <c r="E378" i="1"/>
  <c r="F378" i="1" s="1"/>
  <c r="I378" i="1" s="1"/>
  <c r="E393" i="1"/>
  <c r="F393" i="1" s="1"/>
  <c r="E408" i="1"/>
  <c r="F408" i="1" s="1"/>
  <c r="E422" i="1"/>
  <c r="F422" i="1" s="1"/>
  <c r="E436" i="1"/>
  <c r="F436" i="1" s="1"/>
  <c r="E450" i="1"/>
  <c r="F450" i="1" s="1"/>
  <c r="E465" i="1"/>
  <c r="F465" i="1" s="1"/>
  <c r="I465" i="1" s="1"/>
  <c r="E480" i="1"/>
  <c r="F480" i="1" s="1"/>
  <c r="E494" i="1"/>
  <c r="F494" i="1" s="1"/>
  <c r="C4" i="1"/>
  <c r="M4" i="1" s="1"/>
  <c r="C16" i="1"/>
  <c r="M16" i="1" s="1"/>
  <c r="C28" i="1"/>
  <c r="M28" i="1" s="1"/>
  <c r="C40" i="1"/>
  <c r="M40" i="1" s="1"/>
  <c r="C52" i="1"/>
  <c r="M52" i="1" s="1"/>
  <c r="C64" i="1"/>
  <c r="M64" i="1" s="1"/>
  <c r="C76" i="1"/>
  <c r="M76" i="1" s="1"/>
  <c r="C88" i="1"/>
  <c r="M88" i="1" s="1"/>
  <c r="C100" i="1"/>
  <c r="M100" i="1" s="1"/>
  <c r="C112" i="1"/>
  <c r="M112" i="1" s="1"/>
  <c r="C124" i="1"/>
  <c r="M124" i="1" s="1"/>
  <c r="C136" i="1"/>
  <c r="M136" i="1" s="1"/>
  <c r="C148" i="1"/>
  <c r="M148" i="1" s="1"/>
  <c r="C160" i="1"/>
  <c r="M160" i="1" s="1"/>
  <c r="C172" i="1"/>
  <c r="M172" i="1" s="1"/>
  <c r="C184" i="1"/>
  <c r="M184" i="1" s="1"/>
  <c r="C196" i="1"/>
  <c r="M196" i="1" s="1"/>
  <c r="C208" i="1"/>
  <c r="M208" i="1" s="1"/>
  <c r="C220" i="1"/>
  <c r="M220" i="1" s="1"/>
  <c r="C232" i="1"/>
  <c r="M232" i="1" s="1"/>
  <c r="C244" i="1"/>
  <c r="M244" i="1" s="1"/>
  <c r="C256" i="1"/>
  <c r="M256" i="1" s="1"/>
  <c r="C268" i="1"/>
  <c r="M268" i="1" s="1"/>
  <c r="C280" i="1"/>
  <c r="M280" i="1" s="1"/>
  <c r="C292" i="1"/>
  <c r="M292" i="1" s="1"/>
  <c r="C304" i="1"/>
  <c r="M304" i="1" s="1"/>
  <c r="C316" i="1"/>
  <c r="M316" i="1" s="1"/>
  <c r="C328" i="1"/>
  <c r="M328" i="1" s="1"/>
  <c r="C340" i="1"/>
  <c r="M340" i="1" s="1"/>
  <c r="C352" i="1"/>
  <c r="M352" i="1" s="1"/>
  <c r="C364" i="1"/>
  <c r="M364" i="1" s="1"/>
  <c r="C376" i="1"/>
  <c r="M376" i="1" s="1"/>
  <c r="C388" i="1"/>
  <c r="M388" i="1" s="1"/>
  <c r="C400" i="1"/>
  <c r="M400" i="1" s="1"/>
  <c r="C412" i="1"/>
  <c r="M412" i="1" s="1"/>
  <c r="C424" i="1"/>
  <c r="M424" i="1" s="1"/>
  <c r="C436" i="1"/>
  <c r="M436" i="1" s="1"/>
  <c r="E16" i="1"/>
  <c r="F16" i="1" s="1"/>
  <c r="I16" i="1" s="1"/>
  <c r="E40" i="1"/>
  <c r="F40" i="1" s="1"/>
  <c r="I40" i="1" s="1"/>
  <c r="E62" i="1"/>
  <c r="F62" i="1" s="1"/>
  <c r="G62" i="1" s="1"/>
  <c r="E84" i="1"/>
  <c r="F84" i="1" s="1"/>
  <c r="E101" i="1"/>
  <c r="F101" i="1" s="1"/>
  <c r="E123" i="1"/>
  <c r="F123" i="1" s="1"/>
  <c r="G123" i="1" s="1"/>
  <c r="E145" i="1"/>
  <c r="F145" i="1" s="1"/>
  <c r="E161" i="1"/>
  <c r="F161" i="1" s="1"/>
  <c r="E180" i="1"/>
  <c r="F180" i="1" s="1"/>
  <c r="E195" i="1"/>
  <c r="F195" i="1" s="1"/>
  <c r="E210" i="1"/>
  <c r="F210" i="1" s="1"/>
  <c r="E225" i="1"/>
  <c r="F225" i="1" s="1"/>
  <c r="E240" i="1"/>
  <c r="F240" i="1" s="1"/>
  <c r="E254" i="1"/>
  <c r="F254" i="1" s="1"/>
  <c r="E268" i="1"/>
  <c r="F268" i="1" s="1"/>
  <c r="E282" i="1"/>
  <c r="F282" i="1" s="1"/>
  <c r="E297" i="1"/>
  <c r="F297" i="1" s="1"/>
  <c r="E312" i="1"/>
  <c r="F312" i="1" s="1"/>
  <c r="E326" i="1"/>
  <c r="F326" i="1" s="1"/>
  <c r="E340" i="1"/>
  <c r="F340" i="1" s="1"/>
  <c r="E354" i="1"/>
  <c r="F354" i="1" s="1"/>
  <c r="E369" i="1"/>
  <c r="F369" i="1" s="1"/>
  <c r="G369" i="1" s="1"/>
  <c r="E384" i="1"/>
  <c r="F384" i="1" s="1"/>
  <c r="E398" i="1"/>
  <c r="F398" i="1" s="1"/>
  <c r="E412" i="1"/>
  <c r="F412" i="1" s="1"/>
  <c r="E426" i="1"/>
  <c r="F426" i="1" s="1"/>
  <c r="E441" i="1"/>
  <c r="F441" i="1" s="1"/>
  <c r="E456" i="1"/>
  <c r="F456" i="1" s="1"/>
  <c r="E470" i="1"/>
  <c r="F470" i="1" s="1"/>
  <c r="E484" i="1"/>
  <c r="F484" i="1" s="1"/>
  <c r="I484" i="1" s="1"/>
  <c r="E498" i="1"/>
  <c r="F498" i="1" s="1"/>
  <c r="I498" i="1" s="1"/>
  <c r="E24" i="1"/>
  <c r="F24" i="1" s="1"/>
  <c r="E41" i="1"/>
  <c r="F41" i="1" s="1"/>
  <c r="E63" i="1"/>
  <c r="F63" i="1" s="1"/>
  <c r="E85" i="1"/>
  <c r="F85" i="1" s="1"/>
  <c r="E102" i="1"/>
  <c r="F102" i="1" s="1"/>
  <c r="E124" i="1"/>
  <c r="F124" i="1" s="1"/>
  <c r="E146" i="1"/>
  <c r="F146" i="1" s="1"/>
  <c r="G146" i="1" s="1"/>
  <c r="E162" i="1"/>
  <c r="F162" i="1" s="1"/>
  <c r="E181" i="1"/>
  <c r="F181" i="1" s="1"/>
  <c r="E196" i="1"/>
  <c r="F196" i="1" s="1"/>
  <c r="E212" i="1"/>
  <c r="F212" i="1" s="1"/>
  <c r="E227" i="1"/>
  <c r="F227" i="1" s="1"/>
  <c r="E241" i="1"/>
  <c r="F241" i="1" s="1"/>
  <c r="E255" i="1"/>
  <c r="F255" i="1" s="1"/>
  <c r="E269" i="1"/>
  <c r="F269" i="1" s="1"/>
  <c r="G269" i="1" s="1"/>
  <c r="E284" i="1"/>
  <c r="F284" i="1" s="1"/>
  <c r="E299" i="1"/>
  <c r="F299" i="1" s="1"/>
  <c r="I299" i="1" s="1"/>
  <c r="E313" i="1"/>
  <c r="F313" i="1" s="1"/>
  <c r="E327" i="1"/>
  <c r="F327" i="1" s="1"/>
  <c r="E341" i="1"/>
  <c r="F341" i="1" s="1"/>
  <c r="E356" i="1"/>
  <c r="F356" i="1" s="1"/>
  <c r="E371" i="1"/>
  <c r="F371" i="1" s="1"/>
  <c r="I371" i="1" s="1"/>
  <c r="E385" i="1"/>
  <c r="F385" i="1" s="1"/>
  <c r="E399" i="1"/>
  <c r="F399" i="1" s="1"/>
  <c r="E413" i="1"/>
  <c r="F413" i="1" s="1"/>
  <c r="E428" i="1"/>
  <c r="F428" i="1" s="1"/>
  <c r="E443" i="1"/>
  <c r="F443" i="1" s="1"/>
  <c r="E457" i="1"/>
  <c r="F457" i="1" s="1"/>
  <c r="E471" i="1"/>
  <c r="F471" i="1" s="1"/>
  <c r="E485" i="1"/>
  <c r="F485" i="1" s="1"/>
  <c r="E500" i="1"/>
  <c r="F500" i="1" s="1"/>
  <c r="E25" i="1"/>
  <c r="F25" i="1" s="1"/>
  <c r="G25" i="1" s="1"/>
  <c r="E42" i="1"/>
  <c r="F42" i="1" s="1"/>
  <c r="E64" i="1"/>
  <c r="F64" i="1" s="1"/>
  <c r="E86" i="1"/>
  <c r="F86" i="1" s="1"/>
  <c r="E108" i="1"/>
  <c r="F108" i="1" s="1"/>
  <c r="E125" i="1"/>
  <c r="F125" i="1" s="1"/>
  <c r="E147" i="1"/>
  <c r="F147" i="1" s="1"/>
  <c r="E164" i="1"/>
  <c r="F164" i="1" s="1"/>
  <c r="E182" i="1"/>
  <c r="F182" i="1" s="1"/>
  <c r="G182" i="1" s="1"/>
  <c r="E197" i="1"/>
  <c r="F197" i="1" s="1"/>
  <c r="G197" i="1" s="1"/>
  <c r="E213" i="1"/>
  <c r="F213" i="1" s="1"/>
  <c r="E228" i="1"/>
  <c r="F228" i="1" s="1"/>
  <c r="E242" i="1"/>
  <c r="F242" i="1" s="1"/>
  <c r="G242" i="1" s="1"/>
  <c r="E256" i="1"/>
  <c r="F256" i="1" s="1"/>
  <c r="E270" i="1"/>
  <c r="F270" i="1" s="1"/>
  <c r="I270" i="1" s="1"/>
  <c r="E285" i="1"/>
  <c r="F285" i="1" s="1"/>
  <c r="E300" i="1"/>
  <c r="F300" i="1" s="1"/>
  <c r="E314" i="1"/>
  <c r="F314" i="1" s="1"/>
  <c r="E328" i="1"/>
  <c r="F328" i="1" s="1"/>
  <c r="E342" i="1"/>
  <c r="F342" i="1" s="1"/>
  <c r="E357" i="1"/>
  <c r="F357" i="1" s="1"/>
  <c r="E372" i="1"/>
  <c r="F372" i="1" s="1"/>
  <c r="E386" i="1"/>
  <c r="F386" i="1" s="1"/>
  <c r="I386" i="1" s="1"/>
  <c r="E400" i="1"/>
  <c r="F400" i="1" s="1"/>
  <c r="I400" i="1" s="1"/>
  <c r="E414" i="1"/>
  <c r="F414" i="1" s="1"/>
  <c r="E429" i="1"/>
  <c r="F429" i="1" s="1"/>
  <c r="E444" i="1"/>
  <c r="F444" i="1" s="1"/>
  <c r="E458" i="1"/>
  <c r="F458" i="1" s="1"/>
  <c r="E472" i="1"/>
  <c r="F472" i="1" s="1"/>
  <c r="E486" i="1"/>
  <c r="F486" i="1" s="1"/>
  <c r="E26" i="1"/>
  <c r="F26" i="1" s="1"/>
  <c r="E48" i="1"/>
  <c r="F48" i="1" s="1"/>
  <c r="E65" i="1"/>
  <c r="F65" i="1" s="1"/>
  <c r="E87" i="1"/>
  <c r="F87" i="1" s="1"/>
  <c r="I87" i="1" s="1"/>
  <c r="E109" i="1"/>
  <c r="F109" i="1" s="1"/>
  <c r="E126" i="1"/>
  <c r="F126" i="1" s="1"/>
  <c r="G126" i="1" s="1"/>
  <c r="E148" i="1"/>
  <c r="F148" i="1" s="1"/>
  <c r="E168" i="1"/>
  <c r="F168" i="1" s="1"/>
  <c r="E183" i="1"/>
  <c r="F183" i="1" s="1"/>
  <c r="G183" i="1" s="1"/>
  <c r="E198" i="1"/>
  <c r="F198" i="1" s="1"/>
  <c r="E215" i="1"/>
  <c r="F215" i="1" s="1"/>
  <c r="E229" i="1"/>
  <c r="F229" i="1" s="1"/>
  <c r="E243" i="1"/>
  <c r="F243" i="1" s="1"/>
  <c r="E257" i="1"/>
  <c r="F257" i="1" s="1"/>
  <c r="E272" i="1"/>
  <c r="F272" i="1" s="1"/>
  <c r="E287" i="1"/>
  <c r="F287" i="1" s="1"/>
  <c r="I287" i="1" s="1"/>
  <c r="E301" i="1"/>
  <c r="F301" i="1" s="1"/>
  <c r="I301" i="1" s="1"/>
  <c r="E315" i="1"/>
  <c r="F315" i="1" s="1"/>
  <c r="E329" i="1"/>
  <c r="F329" i="1" s="1"/>
  <c r="E344" i="1"/>
  <c r="F344" i="1" s="1"/>
  <c r="G344" i="1" s="1"/>
  <c r="E359" i="1"/>
  <c r="F359" i="1" s="1"/>
  <c r="I359" i="1" s="1"/>
  <c r="E373" i="1"/>
  <c r="F373" i="1" s="1"/>
  <c r="E387" i="1"/>
  <c r="F387" i="1" s="1"/>
  <c r="E401" i="1"/>
  <c r="F401" i="1" s="1"/>
  <c r="I401" i="1" s="1"/>
  <c r="E416" i="1"/>
  <c r="F416" i="1" s="1"/>
  <c r="E431" i="1"/>
  <c r="F431" i="1" s="1"/>
  <c r="E445" i="1"/>
  <c r="F445" i="1" s="1"/>
  <c r="E459" i="1"/>
  <c r="F459" i="1" s="1"/>
  <c r="G459" i="1" s="1"/>
  <c r="E473" i="1"/>
  <c r="F473" i="1" s="1"/>
  <c r="E488" i="1"/>
  <c r="F488" i="1" s="1"/>
  <c r="E27" i="1"/>
  <c r="F27" i="1" s="1"/>
  <c r="E49" i="1"/>
  <c r="F49" i="1" s="1"/>
  <c r="G49" i="1" s="1"/>
  <c r="E66" i="1"/>
  <c r="F66" i="1" s="1"/>
  <c r="E88" i="1"/>
  <c r="F88" i="1" s="1"/>
  <c r="E110" i="1"/>
  <c r="F110" i="1" s="1"/>
  <c r="E132" i="1"/>
  <c r="F132" i="1" s="1"/>
  <c r="E149" i="1"/>
  <c r="F149" i="1" s="1"/>
  <c r="E169" i="1"/>
  <c r="F169" i="1" s="1"/>
  <c r="I169" i="1" s="1"/>
  <c r="E184" i="1"/>
  <c r="F184" i="1" s="1"/>
  <c r="E200" i="1"/>
  <c r="F200" i="1" s="1"/>
  <c r="E216" i="1"/>
  <c r="F216" i="1" s="1"/>
  <c r="E230" i="1"/>
  <c r="F230" i="1" s="1"/>
  <c r="E244" i="1"/>
  <c r="F244" i="1" s="1"/>
  <c r="I244" i="1" s="1"/>
  <c r="E258" i="1"/>
  <c r="F258" i="1" s="1"/>
  <c r="G258" i="1" s="1"/>
  <c r="E273" i="1"/>
  <c r="F273" i="1" s="1"/>
  <c r="E288" i="1"/>
  <c r="F288" i="1" s="1"/>
  <c r="E302" i="1"/>
  <c r="F302" i="1" s="1"/>
  <c r="E316" i="1"/>
  <c r="F316" i="1" s="1"/>
  <c r="I316" i="1" s="1"/>
  <c r="E330" i="1"/>
  <c r="F330" i="1" s="1"/>
  <c r="E345" i="1"/>
  <c r="F345" i="1" s="1"/>
  <c r="E360" i="1"/>
  <c r="F360" i="1" s="1"/>
  <c r="E374" i="1"/>
  <c r="F374" i="1" s="1"/>
  <c r="I374" i="1" s="1"/>
  <c r="E388" i="1"/>
  <c r="F388" i="1" s="1"/>
  <c r="E402" i="1"/>
  <c r="F402" i="1" s="1"/>
  <c r="E417" i="1"/>
  <c r="F417" i="1" s="1"/>
  <c r="E432" i="1"/>
  <c r="F432" i="1" s="1"/>
  <c r="E446" i="1"/>
  <c r="F446" i="1" s="1"/>
  <c r="E460" i="1"/>
  <c r="F460" i="1" s="1"/>
  <c r="E474" i="1"/>
  <c r="F474" i="1" s="1"/>
  <c r="E489" i="1"/>
  <c r="F489" i="1" s="1"/>
  <c r="E54" i="1"/>
  <c r="F54" i="1" s="1"/>
  <c r="E137" i="1"/>
  <c r="F137" i="1" s="1"/>
  <c r="E207" i="1"/>
  <c r="F207" i="1" s="1"/>
  <c r="I207" i="1" s="1"/>
  <c r="E265" i="1"/>
  <c r="F265" i="1" s="1"/>
  <c r="E323" i="1"/>
  <c r="F323" i="1" s="1"/>
  <c r="E380" i="1"/>
  <c r="F380" i="1" s="1"/>
  <c r="E437" i="1"/>
  <c r="F437" i="1" s="1"/>
  <c r="E495" i="1"/>
  <c r="F495" i="1" s="1"/>
  <c r="C5" i="1"/>
  <c r="M5" i="1" s="1"/>
  <c r="C21" i="1"/>
  <c r="M21" i="1" s="1"/>
  <c r="C41" i="1"/>
  <c r="M41" i="1" s="1"/>
  <c r="C57" i="1"/>
  <c r="M57" i="1" s="1"/>
  <c r="C77" i="1"/>
  <c r="M77" i="1" s="1"/>
  <c r="C93" i="1"/>
  <c r="M93" i="1" s="1"/>
  <c r="C113" i="1"/>
  <c r="M113" i="1" s="1"/>
  <c r="C129" i="1"/>
  <c r="M129" i="1" s="1"/>
  <c r="C149" i="1"/>
  <c r="M149" i="1" s="1"/>
  <c r="C165" i="1"/>
  <c r="M165" i="1" s="1"/>
  <c r="C185" i="1"/>
  <c r="M185" i="1" s="1"/>
  <c r="C201" i="1"/>
  <c r="M201" i="1" s="1"/>
  <c r="C221" i="1"/>
  <c r="M221" i="1" s="1"/>
  <c r="C237" i="1"/>
  <c r="M237" i="1" s="1"/>
  <c r="C252" i="1"/>
  <c r="M252" i="1" s="1"/>
  <c r="C270" i="1"/>
  <c r="M270" i="1" s="1"/>
  <c r="C285" i="1"/>
  <c r="M285" i="1" s="1"/>
  <c r="C300" i="1"/>
  <c r="M300" i="1" s="1"/>
  <c r="C318" i="1"/>
  <c r="M318" i="1" s="1"/>
  <c r="C333" i="1"/>
  <c r="M333" i="1" s="1"/>
  <c r="C348" i="1"/>
  <c r="M348" i="1" s="1"/>
  <c r="C366" i="1"/>
  <c r="M366" i="1" s="1"/>
  <c r="C381" i="1"/>
  <c r="M381" i="1" s="1"/>
  <c r="C396" i="1"/>
  <c r="M396" i="1" s="1"/>
  <c r="C414" i="1"/>
  <c r="M414" i="1" s="1"/>
  <c r="C429" i="1"/>
  <c r="M429" i="1" s="1"/>
  <c r="C444" i="1"/>
  <c r="M444" i="1" s="1"/>
  <c r="C460" i="1"/>
  <c r="M460" i="1" s="1"/>
  <c r="C474" i="1"/>
  <c r="M474" i="1" s="1"/>
  <c r="C488" i="1"/>
  <c r="M488" i="1" s="1"/>
  <c r="E60" i="1"/>
  <c r="F60" i="1" s="1"/>
  <c r="E138" i="1"/>
  <c r="F138" i="1" s="1"/>
  <c r="E208" i="1"/>
  <c r="F208" i="1" s="1"/>
  <c r="G208" i="1" s="1"/>
  <c r="E266" i="1"/>
  <c r="F266" i="1" s="1"/>
  <c r="E324" i="1"/>
  <c r="F324" i="1" s="1"/>
  <c r="E381" i="1"/>
  <c r="F381" i="1" s="1"/>
  <c r="E438" i="1"/>
  <c r="F438" i="1" s="1"/>
  <c r="E496" i="1"/>
  <c r="F496" i="1" s="1"/>
  <c r="C6" i="1"/>
  <c r="M6" i="1" s="1"/>
  <c r="C22" i="1"/>
  <c r="M22" i="1" s="1"/>
  <c r="C42" i="1"/>
  <c r="M42" i="1" s="1"/>
  <c r="C58" i="1"/>
  <c r="M58" i="1" s="1"/>
  <c r="C78" i="1"/>
  <c r="M78" i="1" s="1"/>
  <c r="C94" i="1"/>
  <c r="M94" i="1" s="1"/>
  <c r="C114" i="1"/>
  <c r="M114" i="1" s="1"/>
  <c r="C130" i="1"/>
  <c r="M130" i="1" s="1"/>
  <c r="C150" i="1"/>
  <c r="M150" i="1" s="1"/>
  <c r="C166" i="1"/>
  <c r="M166" i="1" s="1"/>
  <c r="C186" i="1"/>
  <c r="M186" i="1" s="1"/>
  <c r="C202" i="1"/>
  <c r="M202" i="1" s="1"/>
  <c r="C222" i="1"/>
  <c r="M222" i="1" s="1"/>
  <c r="C238" i="1"/>
  <c r="M238" i="1" s="1"/>
  <c r="C255" i="1"/>
  <c r="M255" i="1" s="1"/>
  <c r="C271" i="1"/>
  <c r="M271" i="1" s="1"/>
  <c r="C286" i="1"/>
  <c r="M286" i="1" s="1"/>
  <c r="C303" i="1"/>
  <c r="M303" i="1" s="1"/>
  <c r="C319" i="1"/>
  <c r="M319" i="1" s="1"/>
  <c r="C334" i="1"/>
  <c r="M334" i="1" s="1"/>
  <c r="C351" i="1"/>
  <c r="M351" i="1" s="1"/>
  <c r="C367" i="1"/>
  <c r="M367" i="1" s="1"/>
  <c r="C382" i="1"/>
  <c r="M382" i="1" s="1"/>
  <c r="C399" i="1"/>
  <c r="M399" i="1" s="1"/>
  <c r="C415" i="1"/>
  <c r="M415" i="1" s="1"/>
  <c r="C430" i="1"/>
  <c r="M430" i="1" s="1"/>
  <c r="C447" i="1"/>
  <c r="M447" i="1" s="1"/>
  <c r="C461" i="1"/>
  <c r="M461" i="1" s="1"/>
  <c r="C475" i="1"/>
  <c r="M475" i="1" s="1"/>
  <c r="C489" i="1"/>
  <c r="M489" i="1" s="1"/>
  <c r="E61" i="1"/>
  <c r="F61" i="1" s="1"/>
  <c r="E144" i="1"/>
  <c r="F144" i="1" s="1"/>
  <c r="G144" i="1" s="1"/>
  <c r="E209" i="1"/>
  <c r="F209" i="1" s="1"/>
  <c r="I209" i="1" s="1"/>
  <c r="E267" i="1"/>
  <c r="F267" i="1" s="1"/>
  <c r="E325" i="1"/>
  <c r="F325" i="1" s="1"/>
  <c r="E383" i="1"/>
  <c r="F383" i="1" s="1"/>
  <c r="E440" i="1"/>
  <c r="F440" i="1" s="1"/>
  <c r="G440" i="1" s="1"/>
  <c r="E497" i="1"/>
  <c r="F497" i="1" s="1"/>
  <c r="C7" i="1"/>
  <c r="M7" i="1" s="1"/>
  <c r="C23" i="1"/>
  <c r="M23" i="1" s="1"/>
  <c r="C43" i="1"/>
  <c r="M43" i="1" s="1"/>
  <c r="C59" i="1"/>
  <c r="M59" i="1" s="1"/>
  <c r="C79" i="1"/>
  <c r="M79" i="1" s="1"/>
  <c r="C95" i="1"/>
  <c r="M95" i="1" s="1"/>
  <c r="C115" i="1"/>
  <c r="M115" i="1" s="1"/>
  <c r="C131" i="1"/>
  <c r="M131" i="1" s="1"/>
  <c r="C151" i="1"/>
  <c r="M151" i="1" s="1"/>
  <c r="C167" i="1"/>
  <c r="M167" i="1" s="1"/>
  <c r="C187" i="1"/>
  <c r="M187" i="1" s="1"/>
  <c r="C203" i="1"/>
  <c r="M203" i="1" s="1"/>
  <c r="C223" i="1"/>
  <c r="M223" i="1" s="1"/>
  <c r="C239" i="1"/>
  <c r="M239" i="1" s="1"/>
  <c r="C257" i="1"/>
  <c r="M257" i="1" s="1"/>
  <c r="C272" i="1"/>
  <c r="M272" i="1" s="1"/>
  <c r="C287" i="1"/>
  <c r="M287" i="1" s="1"/>
  <c r="C305" i="1"/>
  <c r="M305" i="1" s="1"/>
  <c r="C320" i="1"/>
  <c r="M320" i="1" s="1"/>
  <c r="C335" i="1"/>
  <c r="M335" i="1" s="1"/>
  <c r="C353" i="1"/>
  <c r="M353" i="1" s="1"/>
  <c r="C368" i="1"/>
  <c r="M368" i="1" s="1"/>
  <c r="C383" i="1"/>
  <c r="M383" i="1" s="1"/>
  <c r="C401" i="1"/>
  <c r="C416" i="1"/>
  <c r="C431" i="1"/>
  <c r="C448" i="1"/>
  <c r="M448" i="1" s="1"/>
  <c r="C462" i="1"/>
  <c r="M462" i="1" s="1"/>
  <c r="C476" i="1"/>
  <c r="M476" i="1" s="1"/>
  <c r="C490" i="1"/>
  <c r="M490" i="1" s="1"/>
  <c r="E76" i="1"/>
  <c r="F76" i="1" s="1"/>
  <c r="E158" i="1"/>
  <c r="F158" i="1" s="1"/>
  <c r="E221" i="1"/>
  <c r="F221" i="1" s="1"/>
  <c r="I221" i="1" s="1"/>
  <c r="E279" i="1"/>
  <c r="F279" i="1" s="1"/>
  <c r="G279" i="1" s="1"/>
  <c r="E337" i="1"/>
  <c r="F337" i="1" s="1"/>
  <c r="E395" i="1"/>
  <c r="F395" i="1" s="1"/>
  <c r="E452" i="1"/>
  <c r="F452" i="1" s="1"/>
  <c r="C8" i="1"/>
  <c r="M8" i="1" s="1"/>
  <c r="C24" i="1"/>
  <c r="M24" i="1" s="1"/>
  <c r="C44" i="1"/>
  <c r="M44" i="1" s="1"/>
  <c r="C60" i="1"/>
  <c r="M60" i="1" s="1"/>
  <c r="C80" i="1"/>
  <c r="M80" i="1" s="1"/>
  <c r="C96" i="1"/>
  <c r="M96" i="1" s="1"/>
  <c r="C116" i="1"/>
  <c r="M116" i="1" s="1"/>
  <c r="C132" i="1"/>
  <c r="M132" i="1" s="1"/>
  <c r="C152" i="1"/>
  <c r="M152" i="1" s="1"/>
  <c r="C168" i="1"/>
  <c r="M168" i="1" s="1"/>
  <c r="C188" i="1"/>
  <c r="M188" i="1" s="1"/>
  <c r="C204" i="1"/>
  <c r="M204" i="1" s="1"/>
  <c r="C224" i="1"/>
  <c r="M224" i="1" s="1"/>
  <c r="C240" i="1"/>
  <c r="M240" i="1" s="1"/>
  <c r="C258" i="1"/>
  <c r="M258" i="1" s="1"/>
  <c r="C273" i="1"/>
  <c r="M273" i="1" s="1"/>
  <c r="C288" i="1"/>
  <c r="M288" i="1" s="1"/>
  <c r="C306" i="1"/>
  <c r="M306" i="1" s="1"/>
  <c r="C321" i="1"/>
  <c r="M321" i="1" s="1"/>
  <c r="C336" i="1"/>
  <c r="M336" i="1" s="1"/>
  <c r="C354" i="1"/>
  <c r="M354" i="1" s="1"/>
  <c r="C369" i="1"/>
  <c r="M369" i="1" s="1"/>
  <c r="C384" i="1"/>
  <c r="M384" i="1" s="1"/>
  <c r="C402" i="1"/>
  <c r="M402" i="1" s="1"/>
  <c r="C417" i="1"/>
  <c r="M417" i="1" s="1"/>
  <c r="C432" i="1"/>
  <c r="M432" i="1" s="1"/>
  <c r="C449" i="1"/>
  <c r="M449" i="1" s="1"/>
  <c r="C463" i="1"/>
  <c r="M463" i="1" s="1"/>
  <c r="C477" i="1"/>
  <c r="M477" i="1" s="1"/>
  <c r="C491" i="1"/>
  <c r="M491" i="1" s="1"/>
  <c r="E12" i="1"/>
  <c r="F12" i="1" s="1"/>
  <c r="E99" i="1"/>
  <c r="F99" i="1" s="1"/>
  <c r="E176" i="1"/>
  <c r="F176" i="1" s="1"/>
  <c r="I176" i="1" s="1"/>
  <c r="E237" i="1"/>
  <c r="F237" i="1" s="1"/>
  <c r="E294" i="1"/>
  <c r="F294" i="1" s="1"/>
  <c r="E352" i="1"/>
  <c r="F352" i="1" s="1"/>
  <c r="I352" i="1" s="1"/>
  <c r="E410" i="1"/>
  <c r="F410" i="1" s="1"/>
  <c r="E468" i="1"/>
  <c r="F468" i="1" s="1"/>
  <c r="G468" i="1" s="1"/>
  <c r="C12" i="1"/>
  <c r="M12" i="1" s="1"/>
  <c r="C32" i="1"/>
  <c r="M32" i="1" s="1"/>
  <c r="C48" i="1"/>
  <c r="M48" i="1" s="1"/>
  <c r="C68" i="1"/>
  <c r="M68" i="1" s="1"/>
  <c r="C84" i="1"/>
  <c r="M84" i="1" s="1"/>
  <c r="C104" i="1"/>
  <c r="M104" i="1" s="1"/>
  <c r="C120" i="1"/>
  <c r="M120" i="1" s="1"/>
  <c r="C140" i="1"/>
  <c r="M140" i="1" s="1"/>
  <c r="C156" i="1"/>
  <c r="M156" i="1" s="1"/>
  <c r="C176" i="1"/>
  <c r="M176" i="1" s="1"/>
  <c r="C192" i="1"/>
  <c r="M192" i="1" s="1"/>
  <c r="C212" i="1"/>
  <c r="M212" i="1" s="1"/>
  <c r="C228" i="1"/>
  <c r="M228" i="1" s="1"/>
  <c r="C247" i="1"/>
  <c r="M247" i="1" s="1"/>
  <c r="C262" i="1"/>
  <c r="M262" i="1" s="1"/>
  <c r="C279" i="1"/>
  <c r="M279" i="1" s="1"/>
  <c r="C295" i="1"/>
  <c r="M295" i="1" s="1"/>
  <c r="C310" i="1"/>
  <c r="M310" i="1" s="1"/>
  <c r="C327" i="1"/>
  <c r="M327" i="1" s="1"/>
  <c r="C343" i="1"/>
  <c r="M343" i="1" s="1"/>
  <c r="C358" i="1"/>
  <c r="M358" i="1" s="1"/>
  <c r="C375" i="1"/>
  <c r="M375" i="1" s="1"/>
  <c r="C391" i="1"/>
  <c r="M391" i="1" s="1"/>
  <c r="C406" i="1"/>
  <c r="M406" i="1" s="1"/>
  <c r="C423" i="1"/>
  <c r="M423" i="1" s="1"/>
  <c r="C439" i="1"/>
  <c r="M439" i="1" s="1"/>
  <c r="C453" i="1"/>
  <c r="M453" i="1" s="1"/>
  <c r="C467" i="1"/>
  <c r="M467" i="1" s="1"/>
  <c r="C483" i="1"/>
  <c r="M483" i="1" s="1"/>
  <c r="C497" i="1"/>
  <c r="M497" i="1" s="1"/>
  <c r="E15" i="1"/>
  <c r="F15" i="1" s="1"/>
  <c r="E100" i="1"/>
  <c r="F100" i="1" s="1"/>
  <c r="E177" i="1"/>
  <c r="F177" i="1" s="1"/>
  <c r="E239" i="1"/>
  <c r="F239" i="1" s="1"/>
  <c r="I239" i="1" s="1"/>
  <c r="E296" i="1"/>
  <c r="F296" i="1" s="1"/>
  <c r="E353" i="1"/>
  <c r="F353" i="1" s="1"/>
  <c r="E411" i="1"/>
  <c r="F411" i="1" s="1"/>
  <c r="E469" i="1"/>
  <c r="F469" i="1" s="1"/>
  <c r="G469" i="1" s="1"/>
  <c r="C17" i="1"/>
  <c r="M17" i="1" s="1"/>
  <c r="C33" i="1"/>
  <c r="M33" i="1" s="1"/>
  <c r="C53" i="1"/>
  <c r="M53" i="1" s="1"/>
  <c r="C69" i="1"/>
  <c r="M69" i="1" s="1"/>
  <c r="C89" i="1"/>
  <c r="M89" i="1" s="1"/>
  <c r="C105" i="1"/>
  <c r="M105" i="1" s="1"/>
  <c r="C125" i="1"/>
  <c r="M125" i="1" s="1"/>
  <c r="C141" i="1"/>
  <c r="M141" i="1" s="1"/>
  <c r="C161" i="1"/>
  <c r="M161" i="1" s="1"/>
  <c r="C177" i="1"/>
  <c r="M177" i="1" s="1"/>
  <c r="C197" i="1"/>
  <c r="M197" i="1" s="1"/>
  <c r="C213" i="1"/>
  <c r="M213" i="1" s="1"/>
  <c r="C233" i="1"/>
  <c r="M233" i="1" s="1"/>
  <c r="C248" i="1"/>
  <c r="M248" i="1" s="1"/>
  <c r="C263" i="1"/>
  <c r="M263" i="1" s="1"/>
  <c r="C281" i="1"/>
  <c r="M281" i="1" s="1"/>
  <c r="C296" i="1"/>
  <c r="M296" i="1" s="1"/>
  <c r="C311" i="1"/>
  <c r="M311" i="1" s="1"/>
  <c r="C329" i="1"/>
  <c r="M329" i="1" s="1"/>
  <c r="C344" i="1"/>
  <c r="M344" i="1" s="1"/>
  <c r="C359" i="1"/>
  <c r="M359" i="1" s="1"/>
  <c r="C377" i="1"/>
  <c r="M377" i="1" s="1"/>
  <c r="C392" i="1"/>
  <c r="M392" i="1" s="1"/>
  <c r="C407" i="1"/>
  <c r="M407" i="1" s="1"/>
  <c r="C425" i="1"/>
  <c r="M425" i="1" s="1"/>
  <c r="C440" i="1"/>
  <c r="M440" i="1" s="1"/>
  <c r="C454" i="1"/>
  <c r="M454" i="1" s="1"/>
  <c r="C468" i="1"/>
  <c r="M468" i="1" s="1"/>
  <c r="C484" i="1"/>
  <c r="M484" i="1" s="1"/>
  <c r="C498" i="1"/>
  <c r="M498" i="1" s="1"/>
  <c r="E37" i="1"/>
  <c r="F37" i="1" s="1"/>
  <c r="E120" i="1"/>
  <c r="F120" i="1" s="1"/>
  <c r="E192" i="1"/>
  <c r="F192" i="1" s="1"/>
  <c r="E251" i="1"/>
  <c r="F251" i="1" s="1"/>
  <c r="E308" i="1"/>
  <c r="F308" i="1" s="1"/>
  <c r="E365" i="1"/>
  <c r="F365" i="1" s="1"/>
  <c r="E423" i="1"/>
  <c r="F423" i="1" s="1"/>
  <c r="E481" i="1"/>
  <c r="F481" i="1" s="1"/>
  <c r="I481" i="1" s="1"/>
  <c r="C18" i="1"/>
  <c r="M18" i="1" s="1"/>
  <c r="C34" i="1"/>
  <c r="M34" i="1" s="1"/>
  <c r="C54" i="1"/>
  <c r="M54" i="1" s="1"/>
  <c r="C70" i="1"/>
  <c r="M70" i="1" s="1"/>
  <c r="C90" i="1"/>
  <c r="M90" i="1" s="1"/>
  <c r="C106" i="1"/>
  <c r="M106" i="1" s="1"/>
  <c r="C126" i="1"/>
  <c r="M126" i="1" s="1"/>
  <c r="C142" i="1"/>
  <c r="M142" i="1" s="1"/>
  <c r="C162" i="1"/>
  <c r="M162" i="1" s="1"/>
  <c r="C178" i="1"/>
  <c r="M178" i="1" s="1"/>
  <c r="C198" i="1"/>
  <c r="M198" i="1" s="1"/>
  <c r="C214" i="1"/>
  <c r="M214" i="1" s="1"/>
  <c r="C234" i="1"/>
  <c r="M234" i="1" s="1"/>
  <c r="C249" i="1"/>
  <c r="M249" i="1" s="1"/>
  <c r="C264" i="1"/>
  <c r="M264" i="1" s="1"/>
  <c r="C282" i="1"/>
  <c r="M282" i="1" s="1"/>
  <c r="C297" i="1"/>
  <c r="M297" i="1" s="1"/>
  <c r="C312" i="1"/>
  <c r="M312" i="1" s="1"/>
  <c r="C330" i="1"/>
  <c r="M330" i="1" s="1"/>
  <c r="C345" i="1"/>
  <c r="M345" i="1" s="1"/>
  <c r="C360" i="1"/>
  <c r="M360" i="1" s="1"/>
  <c r="C378" i="1"/>
  <c r="M378" i="1" s="1"/>
  <c r="C393" i="1"/>
  <c r="M393" i="1" s="1"/>
  <c r="C408" i="1"/>
  <c r="M408" i="1" s="1"/>
  <c r="C426" i="1"/>
  <c r="M426" i="1" s="1"/>
  <c r="C441" i="1"/>
  <c r="M441" i="1" s="1"/>
  <c r="C455" i="1"/>
  <c r="M455" i="1" s="1"/>
  <c r="C471" i="1"/>
  <c r="M471" i="1" s="1"/>
  <c r="C485" i="1"/>
  <c r="M485" i="1" s="1"/>
  <c r="C499" i="1"/>
  <c r="M499" i="1" s="1"/>
  <c r="E38" i="1"/>
  <c r="F38" i="1" s="1"/>
  <c r="E121" i="1"/>
  <c r="F121" i="1" s="1"/>
  <c r="I121" i="1" s="1"/>
  <c r="E193" i="1"/>
  <c r="F193" i="1" s="1"/>
  <c r="E252" i="1"/>
  <c r="F252" i="1" s="1"/>
  <c r="E309" i="1"/>
  <c r="F309" i="1" s="1"/>
  <c r="E366" i="1"/>
  <c r="F366" i="1" s="1"/>
  <c r="E424" i="1"/>
  <c r="F424" i="1" s="1"/>
  <c r="E482" i="1"/>
  <c r="F482" i="1" s="1"/>
  <c r="C19" i="1"/>
  <c r="M19" i="1" s="1"/>
  <c r="C35" i="1"/>
  <c r="M35" i="1" s="1"/>
  <c r="C55" i="1"/>
  <c r="M55" i="1" s="1"/>
  <c r="C71" i="1"/>
  <c r="M71" i="1" s="1"/>
  <c r="C91" i="1"/>
  <c r="M91" i="1" s="1"/>
  <c r="C107" i="1"/>
  <c r="M107" i="1" s="1"/>
  <c r="C127" i="1"/>
  <c r="M127" i="1" s="1"/>
  <c r="C143" i="1"/>
  <c r="M143" i="1" s="1"/>
  <c r="C163" i="1"/>
  <c r="M163" i="1" s="1"/>
  <c r="C179" i="1"/>
  <c r="M179" i="1" s="1"/>
  <c r="C199" i="1"/>
  <c r="M199" i="1" s="1"/>
  <c r="C215" i="1"/>
  <c r="M215" i="1" s="1"/>
  <c r="C235" i="1"/>
  <c r="M235" i="1" s="1"/>
  <c r="C250" i="1"/>
  <c r="M250" i="1" s="1"/>
  <c r="C267" i="1"/>
  <c r="M267" i="1" s="1"/>
  <c r="C283" i="1"/>
  <c r="M283" i="1" s="1"/>
  <c r="C298" i="1"/>
  <c r="M298" i="1" s="1"/>
  <c r="C315" i="1"/>
  <c r="M315" i="1" s="1"/>
  <c r="C331" i="1"/>
  <c r="M331" i="1" s="1"/>
  <c r="C346" i="1"/>
  <c r="M346" i="1" s="1"/>
  <c r="C363" i="1"/>
  <c r="M363" i="1" s="1"/>
  <c r="C379" i="1"/>
  <c r="M379" i="1" s="1"/>
  <c r="C394" i="1"/>
  <c r="M394" i="1" s="1"/>
  <c r="C411" i="1"/>
  <c r="M411" i="1" s="1"/>
  <c r="C427" i="1"/>
  <c r="M427" i="1" s="1"/>
  <c r="C442" i="1"/>
  <c r="M442" i="1" s="1"/>
  <c r="C456" i="1"/>
  <c r="M456" i="1" s="1"/>
  <c r="C472" i="1"/>
  <c r="M472" i="1" s="1"/>
  <c r="C486" i="1"/>
  <c r="M486" i="1" s="1"/>
  <c r="C500" i="1"/>
  <c r="M500" i="1" s="1"/>
  <c r="E39" i="1"/>
  <c r="F39" i="1" s="1"/>
  <c r="E122" i="1"/>
  <c r="F122" i="1" s="1"/>
  <c r="E194" i="1"/>
  <c r="F194" i="1" s="1"/>
  <c r="E253" i="1"/>
  <c r="F253" i="1" s="1"/>
  <c r="I253" i="1" s="1"/>
  <c r="E311" i="1"/>
  <c r="F311" i="1" s="1"/>
  <c r="E368" i="1"/>
  <c r="F368" i="1" s="1"/>
  <c r="E425" i="1"/>
  <c r="F425" i="1" s="1"/>
  <c r="E483" i="1"/>
  <c r="F483" i="1" s="1"/>
  <c r="C20" i="1"/>
  <c r="M20" i="1" s="1"/>
  <c r="C36" i="1"/>
  <c r="M36" i="1" s="1"/>
  <c r="C56" i="1"/>
  <c r="M56" i="1" s="1"/>
  <c r="C72" i="1"/>
  <c r="M72" i="1" s="1"/>
  <c r="C92" i="1"/>
  <c r="M92" i="1" s="1"/>
  <c r="C108" i="1"/>
  <c r="M108" i="1" s="1"/>
  <c r="C128" i="1"/>
  <c r="M128" i="1" s="1"/>
  <c r="C144" i="1"/>
  <c r="M144" i="1" s="1"/>
  <c r="C164" i="1"/>
  <c r="M164" i="1" s="1"/>
  <c r="C180" i="1"/>
  <c r="M180" i="1" s="1"/>
  <c r="C200" i="1"/>
  <c r="M200" i="1" s="1"/>
  <c r="C216" i="1"/>
  <c r="M216" i="1" s="1"/>
  <c r="C236" i="1"/>
  <c r="M236" i="1" s="1"/>
  <c r="C251" i="1"/>
  <c r="M251" i="1" s="1"/>
  <c r="C269" i="1"/>
  <c r="M269" i="1" s="1"/>
  <c r="C284" i="1"/>
  <c r="M284" i="1" s="1"/>
  <c r="C299" i="1"/>
  <c r="M299" i="1" s="1"/>
  <c r="C317" i="1"/>
  <c r="M317" i="1" s="1"/>
  <c r="C332" i="1"/>
  <c r="M332" i="1" s="1"/>
  <c r="C347" i="1"/>
  <c r="M347" i="1" s="1"/>
  <c r="C365" i="1"/>
  <c r="M365" i="1" s="1"/>
  <c r="C380" i="1"/>
  <c r="M380" i="1" s="1"/>
  <c r="C395" i="1"/>
  <c r="M395" i="1" s="1"/>
  <c r="C413" i="1"/>
  <c r="M413" i="1" s="1"/>
  <c r="C428" i="1"/>
  <c r="M428" i="1" s="1"/>
  <c r="C443" i="1"/>
  <c r="M443" i="1" s="1"/>
  <c r="C459" i="1"/>
  <c r="M459" i="1" s="1"/>
  <c r="C473" i="1"/>
  <c r="M473" i="1" s="1"/>
  <c r="C487" i="1"/>
  <c r="M487" i="1" s="1"/>
  <c r="E280" i="1"/>
  <c r="F280" i="1" s="1"/>
  <c r="C10" i="1"/>
  <c r="M10" i="1" s="1"/>
  <c r="C82" i="1"/>
  <c r="M82" i="1" s="1"/>
  <c r="C154" i="1"/>
  <c r="M154" i="1" s="1"/>
  <c r="C226" i="1"/>
  <c r="M226" i="1" s="1"/>
  <c r="C293" i="1"/>
  <c r="M293" i="1" s="1"/>
  <c r="C356" i="1"/>
  <c r="M356" i="1" s="1"/>
  <c r="C419" i="1"/>
  <c r="M419" i="1" s="1"/>
  <c r="C479" i="1"/>
  <c r="M479" i="1" s="1"/>
  <c r="E78" i="1"/>
  <c r="F78" i="1" s="1"/>
  <c r="C259" i="1"/>
  <c r="M259" i="1" s="1"/>
  <c r="C190" i="1"/>
  <c r="M190" i="1" s="1"/>
  <c r="C451" i="1"/>
  <c r="M451" i="1" s="1"/>
  <c r="E281" i="1"/>
  <c r="F281" i="1" s="1"/>
  <c r="C11" i="1"/>
  <c r="M11" i="1" s="1"/>
  <c r="C83" i="1"/>
  <c r="M83" i="1" s="1"/>
  <c r="C155" i="1"/>
  <c r="M155" i="1" s="1"/>
  <c r="C227" i="1"/>
  <c r="M227" i="1" s="1"/>
  <c r="C294" i="1"/>
  <c r="M294" i="1" s="1"/>
  <c r="C357" i="1"/>
  <c r="M357" i="1" s="1"/>
  <c r="C420" i="1"/>
  <c r="M420" i="1" s="1"/>
  <c r="C480" i="1"/>
  <c r="M480" i="1" s="1"/>
  <c r="E339" i="1"/>
  <c r="F339" i="1" s="1"/>
  <c r="C117" i="1"/>
  <c r="M117" i="1" s="1"/>
  <c r="C322" i="1"/>
  <c r="M322" i="1" s="1"/>
  <c r="C450" i="1"/>
  <c r="M450" i="1" s="1"/>
  <c r="E396" i="1"/>
  <c r="F396" i="1" s="1"/>
  <c r="I396" i="1" s="1"/>
  <c r="C46" i="1"/>
  <c r="M46" i="1" s="1"/>
  <c r="C260" i="1"/>
  <c r="M260" i="1" s="1"/>
  <c r="C389" i="1"/>
  <c r="M389" i="1" s="1"/>
  <c r="E10" i="1"/>
  <c r="F10" i="1" s="1"/>
  <c r="E293" i="1"/>
  <c r="F293" i="1" s="1"/>
  <c r="C29" i="1"/>
  <c r="M29" i="1" s="1"/>
  <c r="C101" i="1"/>
  <c r="M101" i="1" s="1"/>
  <c r="C173" i="1"/>
  <c r="M173" i="1" s="1"/>
  <c r="C243" i="1"/>
  <c r="M243" i="1" s="1"/>
  <c r="C307" i="1"/>
  <c r="M307" i="1" s="1"/>
  <c r="C370" i="1"/>
  <c r="M370" i="1" s="1"/>
  <c r="C435" i="1"/>
  <c r="M435" i="1" s="1"/>
  <c r="C492" i="1"/>
  <c r="M492" i="1" s="1"/>
  <c r="E77" i="1"/>
  <c r="F77" i="1" s="1"/>
  <c r="E338" i="1"/>
  <c r="F338" i="1" s="1"/>
  <c r="C30" i="1"/>
  <c r="M30" i="1" s="1"/>
  <c r="C102" i="1"/>
  <c r="M102" i="1" s="1"/>
  <c r="C174" i="1"/>
  <c r="M174" i="1" s="1"/>
  <c r="C245" i="1"/>
  <c r="M245" i="1" s="1"/>
  <c r="C308" i="1"/>
  <c r="M308" i="1" s="1"/>
  <c r="C371" i="1"/>
  <c r="M371" i="1" s="1"/>
  <c r="C437" i="1"/>
  <c r="M437" i="1" s="1"/>
  <c r="C495" i="1"/>
  <c r="M495" i="1" s="1"/>
  <c r="E1" i="1"/>
  <c r="R1" i="1" s="1"/>
  <c r="C31" i="1"/>
  <c r="M31" i="1" s="1"/>
  <c r="C103" i="1"/>
  <c r="M103" i="1" s="1"/>
  <c r="C175" i="1"/>
  <c r="M175" i="1" s="1"/>
  <c r="C246" i="1"/>
  <c r="M246" i="1" s="1"/>
  <c r="C309" i="1"/>
  <c r="M309" i="1" s="1"/>
  <c r="C372" i="1"/>
  <c r="M372" i="1" s="1"/>
  <c r="C438" i="1"/>
  <c r="M438" i="1" s="1"/>
  <c r="C496" i="1"/>
  <c r="M496" i="1" s="1"/>
  <c r="E98" i="1"/>
  <c r="F98" i="1" s="1"/>
  <c r="C45" i="1"/>
  <c r="M45" i="1" s="1"/>
  <c r="C189" i="1"/>
  <c r="M189" i="1" s="1"/>
  <c r="C387" i="1"/>
  <c r="M387" i="1" s="1"/>
  <c r="E159" i="1"/>
  <c r="F159" i="1" s="1"/>
  <c r="I159" i="1" s="1"/>
  <c r="C118" i="1"/>
  <c r="M118" i="1" s="1"/>
  <c r="C323" i="1"/>
  <c r="M323" i="1" s="1"/>
  <c r="E160" i="1"/>
  <c r="F160" i="1" s="1"/>
  <c r="E397" i="1"/>
  <c r="F397" i="1" s="1"/>
  <c r="C47" i="1"/>
  <c r="M47" i="1" s="1"/>
  <c r="C119" i="1"/>
  <c r="M119" i="1" s="1"/>
  <c r="C191" i="1"/>
  <c r="M191" i="1" s="1"/>
  <c r="C261" i="1"/>
  <c r="M261" i="1" s="1"/>
  <c r="C324" i="1"/>
  <c r="M324" i="1" s="1"/>
  <c r="C390" i="1"/>
  <c r="M390" i="1" s="1"/>
  <c r="C452" i="1"/>
  <c r="M452" i="1" s="1"/>
  <c r="E174" i="1"/>
  <c r="F174" i="1" s="1"/>
  <c r="E409" i="1"/>
  <c r="F409" i="1" s="1"/>
  <c r="C65" i="1"/>
  <c r="M65" i="1" s="1"/>
  <c r="C137" i="1"/>
  <c r="M137" i="1" s="1"/>
  <c r="C209" i="1"/>
  <c r="M209" i="1" s="1"/>
  <c r="C274" i="1"/>
  <c r="M274" i="1" s="1"/>
  <c r="C339" i="1"/>
  <c r="M339" i="1" s="1"/>
  <c r="C403" i="1"/>
  <c r="M403" i="1" s="1"/>
  <c r="C464" i="1"/>
  <c r="M464" i="1" s="1"/>
  <c r="E222" i="1"/>
  <c r="F222" i="1" s="1"/>
  <c r="E453" i="1"/>
  <c r="F453" i="1" s="1"/>
  <c r="C66" i="1"/>
  <c r="M66" i="1" s="1"/>
  <c r="C138" i="1"/>
  <c r="M138" i="1" s="1"/>
  <c r="C210" i="1"/>
  <c r="M210" i="1" s="1"/>
  <c r="C275" i="1"/>
  <c r="M275" i="1" s="1"/>
  <c r="C341" i="1"/>
  <c r="M341" i="1" s="1"/>
  <c r="C404" i="1"/>
  <c r="M404" i="1" s="1"/>
  <c r="C465" i="1"/>
  <c r="M465" i="1" s="1"/>
  <c r="E224" i="1"/>
  <c r="F224" i="1" s="1"/>
  <c r="E455" i="1"/>
  <c r="F455" i="1" s="1"/>
  <c r="C67" i="1"/>
  <c r="M67" i="1" s="1"/>
  <c r="C139" i="1"/>
  <c r="M139" i="1" s="1"/>
  <c r="C211" i="1"/>
  <c r="M211" i="1" s="1"/>
  <c r="C276" i="1"/>
  <c r="M276" i="1" s="1"/>
  <c r="C342" i="1"/>
  <c r="M342" i="1" s="1"/>
  <c r="C405" i="1"/>
  <c r="M405" i="1" s="1"/>
  <c r="C466" i="1"/>
  <c r="M466" i="1" s="1"/>
  <c r="E236" i="1"/>
  <c r="F236" i="1" s="1"/>
  <c r="E467" i="1"/>
  <c r="F467" i="1" s="1"/>
  <c r="G467" i="1" s="1"/>
  <c r="C9" i="1"/>
  <c r="M9" i="1" s="1"/>
  <c r="C81" i="1"/>
  <c r="M81" i="1" s="1"/>
  <c r="C153" i="1"/>
  <c r="M153" i="1" s="1"/>
  <c r="C225" i="1"/>
  <c r="M225" i="1" s="1"/>
  <c r="C291" i="1"/>
  <c r="M291" i="1" s="1"/>
  <c r="C355" i="1"/>
  <c r="M355" i="1" s="1"/>
  <c r="C418" i="1"/>
  <c r="M418" i="1" s="1"/>
  <c r="C478" i="1"/>
  <c r="M478" i="1" s="1"/>
  <c r="E351" i="1"/>
  <c r="F351" i="1" s="1"/>
  <c r="R1" i="8" l="1"/>
  <c r="Q1" i="8"/>
  <c r="D343" i="8" s="1"/>
  <c r="T10" i="1"/>
  <c r="T22" i="1"/>
  <c r="T34" i="1"/>
  <c r="T46" i="1"/>
  <c r="T2" i="1"/>
  <c r="T14" i="1"/>
  <c r="T26" i="1"/>
  <c r="T38" i="1"/>
  <c r="T50" i="1"/>
  <c r="T5" i="1"/>
  <c r="T17" i="1"/>
  <c r="T29" i="1"/>
  <c r="T41" i="1"/>
  <c r="T6" i="1"/>
  <c r="T30" i="1"/>
  <c r="T19" i="1"/>
  <c r="T9" i="1"/>
  <c r="T45" i="1"/>
  <c r="T11" i="1"/>
  <c r="T23" i="1"/>
  <c r="T35" i="1"/>
  <c r="T47" i="1"/>
  <c r="T12" i="1"/>
  <c r="T24" i="1"/>
  <c r="T36" i="1"/>
  <c r="T48" i="1"/>
  <c r="T13" i="1"/>
  <c r="T25" i="1"/>
  <c r="T37" i="1"/>
  <c r="T49" i="1"/>
  <c r="T3" i="1"/>
  <c r="T15" i="1"/>
  <c r="T27" i="1"/>
  <c r="T39" i="1"/>
  <c r="T1" i="1"/>
  <c r="T4" i="1"/>
  <c r="T16" i="1"/>
  <c r="T28" i="1"/>
  <c r="T40" i="1"/>
  <c r="T18" i="1"/>
  <c r="T42" i="1"/>
  <c r="T7" i="1"/>
  <c r="T31" i="1"/>
  <c r="T43" i="1"/>
  <c r="T21" i="1"/>
  <c r="T33" i="1"/>
  <c r="T8" i="1"/>
  <c r="T20" i="1"/>
  <c r="T32" i="1"/>
  <c r="T44" i="1"/>
  <c r="F1" i="1"/>
  <c r="I1" i="1" s="1"/>
  <c r="H431" i="1"/>
  <c r="M431" i="1"/>
  <c r="J416" i="1"/>
  <c r="M416" i="1"/>
  <c r="H401" i="1"/>
  <c r="M401" i="1"/>
  <c r="J191" i="1"/>
  <c r="H118" i="1"/>
  <c r="J389" i="1"/>
  <c r="J365" i="1"/>
  <c r="J358" i="1"/>
  <c r="J243" i="1"/>
  <c r="J178" i="1"/>
  <c r="A9" i="3"/>
  <c r="A10" i="3" s="1"/>
  <c r="H405" i="1"/>
  <c r="J360" i="1"/>
  <c r="H211" i="1"/>
  <c r="J499" i="1"/>
  <c r="J116" i="1"/>
  <c r="J165" i="1"/>
  <c r="H40" i="1"/>
  <c r="H66" i="1"/>
  <c r="I290" i="1"/>
  <c r="H125" i="1"/>
  <c r="G290" i="1"/>
  <c r="H424" i="1"/>
  <c r="H26" i="1"/>
  <c r="J423" i="1"/>
  <c r="H279" i="1"/>
  <c r="J223" i="1"/>
  <c r="H7" i="1"/>
  <c r="J225" i="1"/>
  <c r="J274" i="1"/>
  <c r="J330" i="1"/>
  <c r="J197" i="1"/>
  <c r="J262" i="1"/>
  <c r="G6" i="1"/>
  <c r="I6" i="1"/>
  <c r="G458" i="1"/>
  <c r="G244" i="1"/>
  <c r="I46" i="1"/>
  <c r="H46" i="1"/>
  <c r="J139" i="1"/>
  <c r="I427" i="1"/>
  <c r="H85" i="1"/>
  <c r="I248" i="1"/>
  <c r="G417" i="1"/>
  <c r="H6" i="1"/>
  <c r="J57" i="1"/>
  <c r="G85" i="1"/>
  <c r="J86" i="1"/>
  <c r="I447" i="1"/>
  <c r="J339" i="1"/>
  <c r="I279" i="1"/>
  <c r="J265" i="1"/>
  <c r="I181" i="1"/>
  <c r="G277" i="1"/>
  <c r="I199" i="1"/>
  <c r="J357" i="1"/>
  <c r="J412" i="1"/>
  <c r="J66" i="1"/>
  <c r="H489" i="1"/>
  <c r="H219" i="1"/>
  <c r="H170" i="1"/>
  <c r="I183" i="1"/>
  <c r="G378" i="1"/>
  <c r="J347" i="1"/>
  <c r="H106" i="1"/>
  <c r="H316" i="1"/>
  <c r="G199" i="1"/>
  <c r="H359" i="1"/>
  <c r="J121" i="1"/>
  <c r="G195" i="1"/>
  <c r="I195" i="1"/>
  <c r="G487" i="1"/>
  <c r="G359" i="1"/>
  <c r="G121" i="1"/>
  <c r="I487" i="1"/>
  <c r="G8" i="1"/>
  <c r="I8" i="1"/>
  <c r="G181" i="1"/>
  <c r="J279" i="1"/>
  <c r="I362" i="1"/>
  <c r="G356" i="1"/>
  <c r="G489" i="1"/>
  <c r="I250" i="1"/>
  <c r="G185" i="1"/>
  <c r="G250" i="1"/>
  <c r="I369" i="1"/>
  <c r="H394" i="1"/>
  <c r="J128" i="1"/>
  <c r="H67" i="1"/>
  <c r="J253" i="1"/>
  <c r="I356" i="1"/>
  <c r="G362" i="1"/>
  <c r="J46" i="1"/>
  <c r="I393" i="1"/>
  <c r="I55" i="1"/>
  <c r="G221" i="1"/>
  <c r="G343" i="1"/>
  <c r="J394" i="1"/>
  <c r="I440" i="1"/>
  <c r="I343" i="1"/>
  <c r="G373" i="1"/>
  <c r="H251" i="1"/>
  <c r="J224" i="1"/>
  <c r="H8" i="1"/>
  <c r="H471" i="1"/>
  <c r="J136" i="1"/>
  <c r="J27" i="1"/>
  <c r="J206" i="1"/>
  <c r="J151" i="1"/>
  <c r="I91" i="1"/>
  <c r="H423" i="1"/>
  <c r="G394" i="1"/>
  <c r="G159" i="1"/>
  <c r="I373" i="1"/>
  <c r="H253" i="1"/>
  <c r="G3" i="1"/>
  <c r="H347" i="1"/>
  <c r="G414" i="1"/>
  <c r="H197" i="1"/>
  <c r="J359" i="1"/>
  <c r="G253" i="1"/>
  <c r="I489" i="1"/>
  <c r="I67" i="1"/>
  <c r="G75" i="1"/>
  <c r="G19" i="1"/>
  <c r="I98" i="1"/>
  <c r="G98" i="1"/>
  <c r="G339" i="1"/>
  <c r="I436" i="1"/>
  <c r="G53" i="1"/>
  <c r="H53" i="1"/>
  <c r="I53" i="1"/>
  <c r="J203" i="1"/>
  <c r="I103" i="1"/>
  <c r="H223" i="1"/>
  <c r="J16" i="1"/>
  <c r="I366" i="1"/>
  <c r="I24" i="1"/>
  <c r="G377" i="1"/>
  <c r="I247" i="1"/>
  <c r="I246" i="1"/>
  <c r="G243" i="1"/>
  <c r="G391" i="1"/>
  <c r="I405" i="1"/>
  <c r="H298" i="1"/>
  <c r="H416" i="1"/>
  <c r="H389" i="1"/>
  <c r="H274" i="1"/>
  <c r="G246" i="1"/>
  <c r="H243" i="1"/>
  <c r="H153" i="1"/>
  <c r="I308" i="1"/>
  <c r="G308" i="1"/>
  <c r="G60" i="1"/>
  <c r="I349" i="1"/>
  <c r="I172" i="1"/>
  <c r="G172" i="1"/>
  <c r="G35" i="1"/>
  <c r="I418" i="1"/>
  <c r="G128" i="1"/>
  <c r="I128" i="1"/>
  <c r="I367" i="1"/>
  <c r="I223" i="1"/>
  <c r="G223" i="1"/>
  <c r="G298" i="1"/>
  <c r="G274" i="1"/>
  <c r="G179" i="1"/>
  <c r="H128" i="1"/>
  <c r="I251" i="1"/>
  <c r="J167" i="1"/>
  <c r="H167" i="1"/>
  <c r="G198" i="1"/>
  <c r="I198" i="1"/>
  <c r="I197" i="1"/>
  <c r="G79" i="1"/>
  <c r="I339" i="1"/>
  <c r="G423" i="1"/>
  <c r="J25" i="1"/>
  <c r="H25" i="1"/>
  <c r="I36" i="1"/>
  <c r="G36" i="1"/>
  <c r="I414" i="1"/>
  <c r="G337" i="1"/>
  <c r="I391" i="1"/>
  <c r="G252" i="1"/>
  <c r="I35" i="1"/>
  <c r="G330" i="1"/>
  <c r="I330" i="1"/>
  <c r="G371" i="1"/>
  <c r="I196" i="1"/>
  <c r="G196" i="1"/>
  <c r="I210" i="1"/>
  <c r="G210" i="1"/>
  <c r="G220" i="1"/>
  <c r="I220" i="1"/>
  <c r="I376" i="1"/>
  <c r="G376" i="1"/>
  <c r="I167" i="1"/>
  <c r="G167" i="1"/>
  <c r="I23" i="1"/>
  <c r="G23" i="1"/>
  <c r="I406" i="1"/>
  <c r="G406" i="1"/>
  <c r="I129" i="1"/>
  <c r="G129" i="1"/>
  <c r="G116" i="1"/>
  <c r="I116" i="1"/>
  <c r="I499" i="1"/>
  <c r="G355" i="1"/>
  <c r="I355" i="1"/>
  <c r="I211" i="1"/>
  <c r="G211" i="1"/>
  <c r="I20" i="1"/>
  <c r="H20" i="1"/>
  <c r="I469" i="1"/>
  <c r="I408" i="1"/>
  <c r="I25" i="1"/>
  <c r="G24" i="1"/>
  <c r="G29" i="1"/>
  <c r="G335" i="1"/>
  <c r="G408" i="1"/>
  <c r="J118" i="1"/>
  <c r="H262" i="1"/>
  <c r="G361" i="1"/>
  <c r="I79" i="1"/>
  <c r="G7" i="1"/>
  <c r="G203" i="1"/>
  <c r="I404" i="1"/>
  <c r="I377" i="1"/>
  <c r="H121" i="1"/>
  <c r="I26" i="1"/>
  <c r="G26" i="1"/>
  <c r="J414" i="1"/>
  <c r="G59" i="1"/>
  <c r="G40" i="1"/>
  <c r="H103" i="1"/>
  <c r="H36" i="1"/>
  <c r="J411" i="1"/>
  <c r="H411" i="1"/>
  <c r="H414" i="1"/>
  <c r="I108" i="1"/>
  <c r="G108" i="1"/>
  <c r="I312" i="1"/>
  <c r="G312" i="1"/>
  <c r="H58" i="1"/>
  <c r="G103" i="1"/>
  <c r="I242" i="1"/>
  <c r="J78" i="1"/>
  <c r="G247" i="1"/>
  <c r="J316" i="1"/>
  <c r="I203" i="1"/>
  <c r="G393" i="1"/>
  <c r="H75" i="1"/>
  <c r="G91" i="1"/>
  <c r="I206" i="1"/>
  <c r="G206" i="1"/>
  <c r="I320" i="1"/>
  <c r="I135" i="1"/>
  <c r="G135" i="1"/>
  <c r="H397" i="1"/>
  <c r="I347" i="1"/>
  <c r="G106" i="1"/>
  <c r="I106" i="1"/>
  <c r="I170" i="1"/>
  <c r="G186" i="1"/>
  <c r="J487" i="1"/>
  <c r="G117" i="1"/>
  <c r="I182" i="1"/>
  <c r="G192" i="1"/>
  <c r="J67" i="1"/>
  <c r="G411" i="1"/>
  <c r="J406" i="1"/>
  <c r="G207" i="1"/>
  <c r="G132" i="1"/>
  <c r="I132" i="1"/>
  <c r="I357" i="1"/>
  <c r="G357" i="1"/>
  <c r="H406" i="1"/>
  <c r="J55" i="1"/>
  <c r="H192" i="1"/>
  <c r="J202" i="1"/>
  <c r="I411" i="1"/>
  <c r="G316" i="1"/>
  <c r="I117" i="1"/>
  <c r="I192" i="1"/>
  <c r="H332" i="1"/>
  <c r="J186" i="1"/>
  <c r="J41" i="1"/>
  <c r="H148" i="1"/>
  <c r="H473" i="1"/>
  <c r="J258" i="1"/>
  <c r="J373" i="1"/>
  <c r="H56" i="1"/>
  <c r="H18" i="1"/>
  <c r="J89" i="1"/>
  <c r="J432" i="1"/>
  <c r="H21" i="1"/>
  <c r="J488" i="1"/>
  <c r="J485" i="1"/>
  <c r="J232" i="1"/>
  <c r="J183" i="1"/>
  <c r="J277" i="1"/>
  <c r="J74" i="1"/>
  <c r="H208" i="1"/>
  <c r="J337" i="1"/>
  <c r="J190" i="1"/>
  <c r="J6" i="1"/>
  <c r="J20" i="1"/>
  <c r="J53" i="1"/>
  <c r="H204" i="1"/>
  <c r="H130" i="1"/>
  <c r="I417" i="1"/>
  <c r="J418" i="1"/>
  <c r="H174" i="1"/>
  <c r="J379" i="1"/>
  <c r="J440" i="1"/>
  <c r="H497" i="1"/>
  <c r="H310" i="1"/>
  <c r="H104" i="1"/>
  <c r="J188" i="1"/>
  <c r="J257" i="1"/>
  <c r="J185" i="1"/>
  <c r="J196" i="1"/>
  <c r="H469" i="1"/>
  <c r="H376" i="1"/>
  <c r="J376" i="1"/>
  <c r="J362" i="1"/>
  <c r="H362" i="1"/>
  <c r="G214" i="1"/>
  <c r="I214" i="1"/>
  <c r="J300" i="1"/>
  <c r="H300" i="1"/>
  <c r="G300" i="1"/>
  <c r="I300" i="1"/>
  <c r="J346" i="1"/>
  <c r="G346" i="1"/>
  <c r="G18" i="1"/>
  <c r="J478" i="1"/>
  <c r="H478" i="1"/>
  <c r="G409" i="1"/>
  <c r="I409" i="1"/>
  <c r="J409" i="1"/>
  <c r="H409" i="1"/>
  <c r="J435" i="1"/>
  <c r="H59" i="1"/>
  <c r="J59" i="1"/>
  <c r="I381" i="1"/>
  <c r="G381" i="1"/>
  <c r="G87" i="1"/>
  <c r="H87" i="1"/>
  <c r="J87" i="1"/>
  <c r="G284" i="1"/>
  <c r="I284" i="1"/>
  <c r="I470" i="1"/>
  <c r="G470" i="1"/>
  <c r="I101" i="1"/>
  <c r="G101" i="1"/>
  <c r="I306" i="1"/>
  <c r="G306" i="1"/>
  <c r="H159" i="1"/>
  <c r="J159" i="1"/>
  <c r="G30" i="1"/>
  <c r="I30" i="1"/>
  <c r="G462" i="1"/>
  <c r="I462" i="1"/>
  <c r="I90" i="1"/>
  <c r="G90" i="1"/>
  <c r="H90" i="1"/>
  <c r="I72" i="1"/>
  <c r="I478" i="1"/>
  <c r="G478" i="1"/>
  <c r="I334" i="1"/>
  <c r="G334" i="1"/>
  <c r="I57" i="1"/>
  <c r="G57" i="1"/>
  <c r="G46" i="1"/>
  <c r="I74" i="1"/>
  <c r="I85" i="1"/>
  <c r="J157" i="1"/>
  <c r="H283" i="1"/>
  <c r="H190" i="1"/>
  <c r="I95" i="1"/>
  <c r="G484" i="1"/>
  <c r="I190" i="1"/>
  <c r="J8" i="1"/>
  <c r="H374" i="1"/>
  <c r="J374" i="1"/>
  <c r="I273" i="1"/>
  <c r="G273" i="1"/>
  <c r="I315" i="1"/>
  <c r="G315" i="1"/>
  <c r="I326" i="1"/>
  <c r="G134" i="1"/>
  <c r="J361" i="1"/>
  <c r="H361" i="1"/>
  <c r="I303" i="1"/>
  <c r="G303" i="1"/>
  <c r="I119" i="1"/>
  <c r="G119" i="1"/>
  <c r="G70" i="1"/>
  <c r="J70" i="1"/>
  <c r="I70" i="1"/>
  <c r="H70" i="1"/>
  <c r="I68" i="1"/>
  <c r="H277" i="1"/>
  <c r="H183" i="1"/>
  <c r="J214" i="1"/>
  <c r="I473" i="1"/>
  <c r="G473" i="1"/>
  <c r="H289" i="1"/>
  <c r="H263" i="1"/>
  <c r="J263" i="1"/>
  <c r="I100" i="1"/>
  <c r="G100" i="1"/>
  <c r="J462" i="1"/>
  <c r="H462" i="1"/>
  <c r="H144" i="1"/>
  <c r="I144" i="1"/>
  <c r="I27" i="1"/>
  <c r="G27" i="1"/>
  <c r="I459" i="1"/>
  <c r="I285" i="1"/>
  <c r="G86" i="1"/>
  <c r="I86" i="1"/>
  <c r="I457" i="1"/>
  <c r="G457" i="1"/>
  <c r="J297" i="1"/>
  <c r="G297" i="1"/>
  <c r="H297" i="1"/>
  <c r="I297" i="1"/>
  <c r="I480" i="1"/>
  <c r="G480" i="1"/>
  <c r="I114" i="1"/>
  <c r="G114" i="1"/>
  <c r="G44" i="1"/>
  <c r="I44" i="1"/>
  <c r="I139" i="1"/>
  <c r="G139" i="1"/>
  <c r="H139" i="1"/>
  <c r="H186" i="1"/>
  <c r="G248" i="1"/>
  <c r="J208" i="1"/>
  <c r="J90" i="1"/>
  <c r="G95" i="1"/>
  <c r="J68" i="1"/>
  <c r="G72" i="1"/>
  <c r="G111" i="1"/>
  <c r="G151" i="1"/>
  <c r="G190" i="1"/>
  <c r="J490" i="1"/>
  <c r="H490" i="1"/>
  <c r="J367" i="1"/>
  <c r="H367" i="1"/>
  <c r="I314" i="1"/>
  <c r="G318" i="1"/>
  <c r="I318" i="1"/>
  <c r="I163" i="1"/>
  <c r="G163" i="1"/>
  <c r="J408" i="1"/>
  <c r="H408" i="1"/>
  <c r="H343" i="1"/>
  <c r="J343" i="1"/>
  <c r="G109" i="1"/>
  <c r="I109" i="1"/>
  <c r="G222" i="1"/>
  <c r="J222" i="1"/>
  <c r="J452" i="1"/>
  <c r="H452" i="1"/>
  <c r="H10" i="1"/>
  <c r="J10" i="1"/>
  <c r="J199" i="1"/>
  <c r="H199" i="1"/>
  <c r="H393" i="1"/>
  <c r="J393" i="1"/>
  <c r="J334" i="1"/>
  <c r="H334" i="1"/>
  <c r="G287" i="1"/>
  <c r="I283" i="1"/>
  <c r="J283" i="1"/>
  <c r="H111" i="1"/>
  <c r="I10" i="1"/>
  <c r="I258" i="1"/>
  <c r="G333" i="1"/>
  <c r="G125" i="1"/>
  <c r="I125" i="1"/>
  <c r="H145" i="1"/>
  <c r="G145" i="1"/>
  <c r="I145" i="1"/>
  <c r="J62" i="1"/>
  <c r="H62" i="1"/>
  <c r="J439" i="1"/>
  <c r="I295" i="1"/>
  <c r="G160" i="1"/>
  <c r="I160" i="1"/>
  <c r="G78" i="1"/>
  <c r="I78" i="1"/>
  <c r="H198" i="1"/>
  <c r="J198" i="1"/>
  <c r="J396" i="1"/>
  <c r="H396" i="1"/>
  <c r="I111" i="1"/>
  <c r="G10" i="1"/>
  <c r="I458" i="1"/>
  <c r="J163" i="1"/>
  <c r="G427" i="1"/>
  <c r="J61" i="1"/>
  <c r="J480" i="1"/>
  <c r="H163" i="1"/>
  <c r="H239" i="1"/>
  <c r="J239" i="1"/>
  <c r="H135" i="1"/>
  <c r="J135" i="1"/>
  <c r="J458" i="1"/>
  <c r="H457" i="1"/>
  <c r="H78" i="1"/>
  <c r="I208" i="1"/>
  <c r="I200" i="1"/>
  <c r="G416" i="1"/>
  <c r="I416" i="1"/>
  <c r="I413" i="1"/>
  <c r="G413" i="1"/>
  <c r="I241" i="1"/>
  <c r="G241" i="1"/>
  <c r="G426" i="1"/>
  <c r="I426" i="1"/>
  <c r="I254" i="1"/>
  <c r="G254" i="1"/>
  <c r="J172" i="1"/>
  <c r="H172" i="1"/>
  <c r="G264" i="1"/>
  <c r="I205" i="1"/>
  <c r="G205" i="1"/>
  <c r="J29" i="1"/>
  <c r="H13" i="1"/>
  <c r="J13" i="1"/>
  <c r="G442" i="1"/>
  <c r="I442" i="1"/>
  <c r="J298" i="1"/>
  <c r="I165" i="1"/>
  <c r="G165" i="1"/>
  <c r="G13" i="1"/>
  <c r="I13" i="1"/>
  <c r="I437" i="1"/>
  <c r="H436" i="1"/>
  <c r="J103" i="1"/>
  <c r="H165" i="1"/>
  <c r="I423" i="1"/>
  <c r="G176" i="1"/>
  <c r="G366" i="1"/>
  <c r="I243" i="1"/>
  <c r="H37" i="1"/>
  <c r="G437" i="1"/>
  <c r="G374" i="1"/>
  <c r="G436" i="1"/>
  <c r="H339" i="1"/>
  <c r="I59" i="1"/>
  <c r="G231" i="1"/>
  <c r="H175" i="1"/>
  <c r="J319" i="1"/>
  <c r="H319" i="1"/>
  <c r="J23" i="1"/>
  <c r="H23" i="1"/>
  <c r="G452" i="1"/>
  <c r="I452" i="1"/>
  <c r="J170" i="1"/>
  <c r="J254" i="1"/>
  <c r="J436" i="1"/>
  <c r="I483" i="1"/>
  <c r="I154" i="1"/>
  <c r="I231" i="1"/>
  <c r="J52" i="1"/>
  <c r="J268" i="1"/>
  <c r="G268" i="1"/>
  <c r="H268" i="1"/>
  <c r="H254" i="1"/>
  <c r="G483" i="1"/>
  <c r="H178" i="1"/>
  <c r="G200" i="1"/>
  <c r="J30" i="1"/>
  <c r="H203" i="1"/>
  <c r="H461" i="1"/>
  <c r="J58" i="1"/>
  <c r="J101" i="1"/>
  <c r="J144" i="1"/>
  <c r="J377" i="1"/>
  <c r="H247" i="1"/>
  <c r="J321" i="1"/>
  <c r="J447" i="1"/>
  <c r="H29" i="1"/>
  <c r="J92" i="1"/>
  <c r="H92" i="1"/>
  <c r="H267" i="1"/>
  <c r="J267" i="1"/>
  <c r="J38" i="1"/>
  <c r="G38" i="1"/>
  <c r="I38" i="1"/>
  <c r="J329" i="1"/>
  <c r="H329" i="1"/>
  <c r="G353" i="1"/>
  <c r="H353" i="1"/>
  <c r="J463" i="1"/>
  <c r="H463" i="1"/>
  <c r="J460" i="1"/>
  <c r="H460" i="1"/>
  <c r="I302" i="1"/>
  <c r="G342" i="1"/>
  <c r="H342" i="1"/>
  <c r="I342" i="1"/>
  <c r="J342" i="1"/>
  <c r="J341" i="1"/>
  <c r="I341" i="1"/>
  <c r="H341" i="1"/>
  <c r="G341" i="1"/>
  <c r="J180" i="1"/>
  <c r="H180" i="1"/>
  <c r="I180" i="1"/>
  <c r="G180" i="1"/>
  <c r="I189" i="1"/>
  <c r="G189" i="1"/>
  <c r="G305" i="1"/>
  <c r="I305" i="1"/>
  <c r="H242" i="1"/>
  <c r="J242" i="1"/>
  <c r="G348" i="1"/>
  <c r="H348" i="1"/>
  <c r="I348" i="1"/>
  <c r="J348" i="1"/>
  <c r="H150" i="1"/>
  <c r="G150" i="1"/>
  <c r="I150" i="1"/>
  <c r="I382" i="1"/>
  <c r="G382" i="1"/>
  <c r="I105" i="1"/>
  <c r="G105" i="1"/>
  <c r="G43" i="1"/>
  <c r="I43" i="1"/>
  <c r="H442" i="1"/>
  <c r="J442" i="1"/>
  <c r="I37" i="1"/>
  <c r="G37" i="1"/>
  <c r="J498" i="1"/>
  <c r="H498" i="1"/>
  <c r="I76" i="1"/>
  <c r="J76" i="1"/>
  <c r="G76" i="1"/>
  <c r="I325" i="1"/>
  <c r="G325" i="1"/>
  <c r="J444" i="1"/>
  <c r="H444" i="1"/>
  <c r="G54" i="1"/>
  <c r="I54" i="1"/>
  <c r="I460" i="1"/>
  <c r="G460" i="1"/>
  <c r="I88" i="1"/>
  <c r="G88" i="1"/>
  <c r="H88" i="1"/>
  <c r="I148" i="1"/>
  <c r="J148" i="1"/>
  <c r="G148" i="1"/>
  <c r="I328" i="1"/>
  <c r="G328" i="1"/>
  <c r="J327" i="1"/>
  <c r="H327" i="1"/>
  <c r="I327" i="1"/>
  <c r="G327" i="1"/>
  <c r="J161" i="1"/>
  <c r="G161" i="1"/>
  <c r="I161" i="1"/>
  <c r="H161" i="1"/>
  <c r="H244" i="1"/>
  <c r="J244" i="1"/>
  <c r="J100" i="1"/>
  <c r="H100" i="1"/>
  <c r="G173" i="1"/>
  <c r="I173" i="1"/>
  <c r="H51" i="1"/>
  <c r="J51" i="1"/>
  <c r="J497" i="1"/>
  <c r="H264" i="1"/>
  <c r="J264" i="1"/>
  <c r="H391" i="1"/>
  <c r="J391" i="1"/>
  <c r="H60" i="1"/>
  <c r="J60" i="1"/>
  <c r="H131" i="1"/>
  <c r="J131" i="1"/>
  <c r="J110" i="1"/>
  <c r="H110" i="1"/>
  <c r="I110" i="1"/>
  <c r="G110" i="1"/>
  <c r="G354" i="1"/>
  <c r="J354" i="1"/>
  <c r="I354" i="1"/>
  <c r="H354" i="1"/>
  <c r="I364" i="1"/>
  <c r="G364" i="1"/>
  <c r="J364" i="1"/>
  <c r="H63" i="1"/>
  <c r="J63" i="1"/>
  <c r="I479" i="1"/>
  <c r="G479" i="1"/>
  <c r="J98" i="1"/>
  <c r="H98" i="1"/>
  <c r="I171" i="1"/>
  <c r="G171" i="1"/>
  <c r="J171" i="1"/>
  <c r="J97" i="1"/>
  <c r="H97" i="1"/>
  <c r="I143" i="1"/>
  <c r="H143" i="1"/>
  <c r="G143" i="1"/>
  <c r="J143" i="1"/>
  <c r="J238" i="1"/>
  <c r="G238" i="1"/>
  <c r="H238" i="1"/>
  <c r="I238" i="1"/>
  <c r="G92" i="1"/>
  <c r="I92" i="1"/>
  <c r="G187" i="1"/>
  <c r="I187" i="1"/>
  <c r="H338" i="1"/>
  <c r="I338" i="1"/>
  <c r="G338" i="1"/>
  <c r="J72" i="1"/>
  <c r="H72" i="1"/>
  <c r="H250" i="1"/>
  <c r="J250" i="1"/>
  <c r="J441" i="1"/>
  <c r="H441" i="1"/>
  <c r="G296" i="1"/>
  <c r="I296" i="1"/>
  <c r="H176" i="1"/>
  <c r="J176" i="1"/>
  <c r="H449" i="1"/>
  <c r="J449" i="1"/>
  <c r="J320" i="1"/>
  <c r="H320" i="1"/>
  <c r="J115" i="1"/>
  <c r="H115" i="1"/>
  <c r="I329" i="1"/>
  <c r="I147" i="1"/>
  <c r="G147" i="1"/>
  <c r="I500" i="1"/>
  <c r="G500" i="1"/>
  <c r="I146" i="1"/>
  <c r="J388" i="1"/>
  <c r="H388" i="1"/>
  <c r="I350" i="1"/>
  <c r="G350" i="1"/>
  <c r="H195" i="1"/>
  <c r="J195" i="1"/>
  <c r="J83" i="1"/>
  <c r="H83" i="1"/>
  <c r="J299" i="1"/>
  <c r="H299" i="1"/>
  <c r="I194" i="1"/>
  <c r="G194" i="1"/>
  <c r="H194" i="1"/>
  <c r="J194" i="1"/>
  <c r="J54" i="1"/>
  <c r="H54" i="1"/>
  <c r="J273" i="1"/>
  <c r="H273" i="1"/>
  <c r="H158" i="1"/>
  <c r="G158" i="1"/>
  <c r="J158" i="1"/>
  <c r="I158" i="1"/>
  <c r="J335" i="1"/>
  <c r="H335" i="1"/>
  <c r="H270" i="1"/>
  <c r="J270" i="1"/>
  <c r="J474" i="1"/>
  <c r="I168" i="1"/>
  <c r="G168" i="1"/>
  <c r="G164" i="1"/>
  <c r="I164" i="1"/>
  <c r="H207" i="1"/>
  <c r="J207" i="1"/>
  <c r="I113" i="1"/>
  <c r="H113" i="1"/>
  <c r="G113" i="1"/>
  <c r="J241" i="1"/>
  <c r="H241" i="1"/>
  <c r="I332" i="1"/>
  <c r="J332" i="1"/>
  <c r="G332" i="1"/>
  <c r="I94" i="1"/>
  <c r="G94" i="1"/>
  <c r="G475" i="1"/>
  <c r="I475" i="1"/>
  <c r="J475" i="1"/>
  <c r="H475" i="1"/>
  <c r="G331" i="1"/>
  <c r="I331" i="1"/>
  <c r="H495" i="1"/>
  <c r="J495" i="1"/>
  <c r="H284" i="1"/>
  <c r="J284" i="1"/>
  <c r="H35" i="1"/>
  <c r="J35" i="1"/>
  <c r="J34" i="1"/>
  <c r="H34" i="1"/>
  <c r="J105" i="1"/>
  <c r="H105" i="1"/>
  <c r="H44" i="1"/>
  <c r="J44" i="1"/>
  <c r="H382" i="1"/>
  <c r="J382" i="1"/>
  <c r="J288" i="1"/>
  <c r="G288" i="1"/>
  <c r="I288" i="1"/>
  <c r="H288" i="1"/>
  <c r="I340" i="1"/>
  <c r="G340" i="1"/>
  <c r="J469" i="1"/>
  <c r="H440" i="1"/>
  <c r="J310" i="1"/>
  <c r="H55" i="1"/>
  <c r="H487" i="1"/>
  <c r="H466" i="1"/>
  <c r="J466" i="1"/>
  <c r="J465" i="1"/>
  <c r="H465" i="1"/>
  <c r="J464" i="1"/>
  <c r="H464" i="1"/>
  <c r="J189" i="1"/>
  <c r="H189" i="1"/>
  <c r="H216" i="1"/>
  <c r="J216" i="1"/>
  <c r="H482" i="1"/>
  <c r="J482" i="1"/>
  <c r="G482" i="1"/>
  <c r="I482" i="1"/>
  <c r="J378" i="1"/>
  <c r="H378" i="1"/>
  <c r="H33" i="1"/>
  <c r="J33" i="1"/>
  <c r="G15" i="1"/>
  <c r="I15" i="1"/>
  <c r="J15" i="1"/>
  <c r="H15" i="1"/>
  <c r="J381" i="1"/>
  <c r="H381" i="1"/>
  <c r="J402" i="1"/>
  <c r="G402" i="1"/>
  <c r="I402" i="1"/>
  <c r="H445" i="1"/>
  <c r="I445" i="1"/>
  <c r="G445" i="1"/>
  <c r="J445" i="1"/>
  <c r="H65" i="1"/>
  <c r="I65" i="1"/>
  <c r="J65" i="1"/>
  <c r="G65" i="1"/>
  <c r="I269" i="1"/>
  <c r="I456" i="1"/>
  <c r="G456" i="1"/>
  <c r="I84" i="1"/>
  <c r="G84" i="1"/>
  <c r="I292" i="1"/>
  <c r="G292" i="1"/>
  <c r="J147" i="1"/>
  <c r="H147" i="1"/>
  <c r="G233" i="1"/>
  <c r="I233" i="1"/>
  <c r="J470" i="1"/>
  <c r="H470" i="1"/>
  <c r="H38" i="1"/>
  <c r="J433" i="1"/>
  <c r="I433" i="1"/>
  <c r="I50" i="1"/>
  <c r="J50" i="1"/>
  <c r="G50" i="1"/>
  <c r="H50" i="1"/>
  <c r="G466" i="1"/>
  <c r="I466" i="1"/>
  <c r="I178" i="1"/>
  <c r="G178" i="1"/>
  <c r="G45" i="1"/>
  <c r="I271" i="1"/>
  <c r="G271" i="1"/>
  <c r="J14" i="1"/>
  <c r="H14" i="1"/>
  <c r="G14" i="1"/>
  <c r="I14" i="1"/>
  <c r="H305" i="1"/>
  <c r="J37" i="1"/>
  <c r="G270" i="1"/>
  <c r="G329" i="1"/>
  <c r="I351" i="1"/>
  <c r="J351" i="1"/>
  <c r="G174" i="1"/>
  <c r="I174" i="1"/>
  <c r="H245" i="1"/>
  <c r="J245" i="1"/>
  <c r="H370" i="1"/>
  <c r="J370" i="1"/>
  <c r="J117" i="1"/>
  <c r="H117" i="1"/>
  <c r="H356" i="1"/>
  <c r="J356" i="1"/>
  <c r="H413" i="1"/>
  <c r="J413" i="1"/>
  <c r="H248" i="1"/>
  <c r="J248" i="1"/>
  <c r="I294" i="1"/>
  <c r="G294" i="1"/>
  <c r="J294" i="1"/>
  <c r="H294" i="1"/>
  <c r="J448" i="1"/>
  <c r="H448" i="1"/>
  <c r="H43" i="1"/>
  <c r="J43" i="1"/>
  <c r="I61" i="1"/>
  <c r="G61" i="1"/>
  <c r="J114" i="1"/>
  <c r="H114" i="1"/>
  <c r="G324" i="1"/>
  <c r="I324" i="1"/>
  <c r="I230" i="1"/>
  <c r="G230" i="1"/>
  <c r="I272" i="1"/>
  <c r="G272" i="1"/>
  <c r="H272" i="1"/>
  <c r="I444" i="1"/>
  <c r="G444" i="1"/>
  <c r="J64" i="1"/>
  <c r="I64" i="1"/>
  <c r="H64" i="1"/>
  <c r="G64" i="1"/>
  <c r="I443" i="1"/>
  <c r="G443" i="1"/>
  <c r="I63" i="1"/>
  <c r="G63" i="1"/>
  <c r="G282" i="1"/>
  <c r="I282" i="1"/>
  <c r="H282" i="1"/>
  <c r="J282" i="1"/>
  <c r="H340" i="1"/>
  <c r="J340" i="1"/>
  <c r="G465" i="1"/>
  <c r="I97" i="1"/>
  <c r="G97" i="1"/>
  <c r="J3" i="1"/>
  <c r="H3" i="1"/>
  <c r="G407" i="1"/>
  <c r="J407" i="1"/>
  <c r="I407" i="1"/>
  <c r="H407" i="1"/>
  <c r="I5" i="1"/>
  <c r="G5" i="1"/>
  <c r="J5" i="1"/>
  <c r="J326" i="1"/>
  <c r="H326" i="1"/>
  <c r="H182" i="1"/>
  <c r="J182" i="1"/>
  <c r="I448" i="1"/>
  <c r="G448" i="1"/>
  <c r="G73" i="1"/>
  <c r="I73" i="1"/>
  <c r="J325" i="1"/>
  <c r="H325" i="1"/>
  <c r="H181" i="1"/>
  <c r="J181" i="1"/>
  <c r="I260" i="1"/>
  <c r="I83" i="1"/>
  <c r="G83" i="1"/>
  <c r="G322" i="1"/>
  <c r="H322" i="1"/>
  <c r="I322" i="1"/>
  <c r="J322" i="1"/>
  <c r="I34" i="1"/>
  <c r="G34" i="1"/>
  <c r="G32" i="1"/>
  <c r="I32" i="1"/>
  <c r="J415" i="1"/>
  <c r="I415" i="1"/>
  <c r="H415" i="1"/>
  <c r="G415" i="1"/>
  <c r="G127" i="1"/>
  <c r="I127" i="1"/>
  <c r="J125" i="1"/>
  <c r="H41" i="1"/>
  <c r="J292" i="1"/>
  <c r="H257" i="1"/>
  <c r="G291" i="1"/>
  <c r="H291" i="1"/>
  <c r="J230" i="1"/>
  <c r="H230" i="1"/>
  <c r="J152" i="1"/>
  <c r="J491" i="1"/>
  <c r="I491" i="1"/>
  <c r="H491" i="1"/>
  <c r="J133" i="1"/>
  <c r="H133" i="1"/>
  <c r="J226" i="1"/>
  <c r="I226" i="1"/>
  <c r="G226" i="1"/>
  <c r="H226" i="1"/>
  <c r="G93" i="1"/>
  <c r="J93" i="1"/>
  <c r="H80" i="1"/>
  <c r="J80" i="1"/>
  <c r="G80" i="1"/>
  <c r="I80" i="1"/>
  <c r="G319" i="1"/>
  <c r="G175" i="1"/>
  <c r="I175" i="1"/>
  <c r="H19" i="1"/>
  <c r="I268" i="1"/>
  <c r="I333" i="1"/>
  <c r="G77" i="1"/>
  <c r="H77" i="1"/>
  <c r="J259" i="1"/>
  <c r="H259" i="1"/>
  <c r="H459" i="1"/>
  <c r="J459" i="1"/>
  <c r="H39" i="1"/>
  <c r="I39" i="1"/>
  <c r="H427" i="1"/>
  <c r="J427" i="1"/>
  <c r="J19" i="1"/>
  <c r="J88" i="1"/>
  <c r="G115" i="1"/>
  <c r="G152" i="1"/>
  <c r="I19" i="1"/>
  <c r="J431" i="1"/>
  <c r="I77" i="1"/>
  <c r="G491" i="1"/>
  <c r="I464" i="1"/>
  <c r="G464" i="1"/>
  <c r="J96" i="1"/>
  <c r="I96" i="1"/>
  <c r="G96" i="1"/>
  <c r="H317" i="1"/>
  <c r="J317" i="1"/>
  <c r="G317" i="1"/>
  <c r="I317" i="1"/>
  <c r="G131" i="1"/>
  <c r="I131" i="1"/>
  <c r="I370" i="1"/>
  <c r="G370" i="1"/>
  <c r="H152" i="1"/>
  <c r="J437" i="1"/>
  <c r="H437" i="1"/>
  <c r="J269" i="1"/>
  <c r="J426" i="1"/>
  <c r="H426" i="1"/>
  <c r="I152" i="1"/>
  <c r="J77" i="1"/>
  <c r="H269" i="1"/>
  <c r="J26" i="1"/>
  <c r="J404" i="1"/>
  <c r="H404" i="1"/>
  <c r="J324" i="1"/>
  <c r="H324" i="1"/>
  <c r="J369" i="1"/>
  <c r="H369" i="1"/>
  <c r="H168" i="1"/>
  <c r="J168" i="1"/>
  <c r="J94" i="1"/>
  <c r="H94" i="1"/>
  <c r="J266" i="1"/>
  <c r="G266" i="1"/>
  <c r="I266" i="1"/>
  <c r="G388" i="1"/>
  <c r="I388" i="1"/>
  <c r="I431" i="1"/>
  <c r="G431" i="1"/>
  <c r="G48" i="1"/>
  <c r="I48" i="1"/>
  <c r="G429" i="1"/>
  <c r="G42" i="1"/>
  <c r="I42" i="1"/>
  <c r="H428" i="1"/>
  <c r="I428" i="1"/>
  <c r="G441" i="1"/>
  <c r="I441" i="1"/>
  <c r="G392" i="1"/>
  <c r="I392" i="1"/>
  <c r="H434" i="1"/>
  <c r="G434" i="1"/>
  <c r="G51" i="1"/>
  <c r="I51" i="1"/>
  <c r="G245" i="1"/>
  <c r="I245" i="1"/>
  <c r="H71" i="1"/>
  <c r="G310" i="1"/>
  <c r="I310" i="1"/>
  <c r="G22" i="1"/>
  <c r="I22" i="1"/>
  <c r="H22" i="1"/>
  <c r="I2" i="1"/>
  <c r="G2" i="1"/>
  <c r="I71" i="1"/>
  <c r="H237" i="1"/>
  <c r="G463" i="1"/>
  <c r="J434" i="1"/>
  <c r="J75" i="1"/>
  <c r="J71" i="1"/>
  <c r="J85" i="1"/>
  <c r="I133" i="1"/>
  <c r="H93" i="1"/>
  <c r="J174" i="1"/>
  <c r="I281" i="1"/>
  <c r="G281" i="1"/>
  <c r="H281" i="1"/>
  <c r="I424" i="1"/>
  <c r="G424" i="1"/>
  <c r="J424" i="1"/>
  <c r="J481" i="1"/>
  <c r="H233" i="1"/>
  <c r="H483" i="1"/>
  <c r="J483" i="1"/>
  <c r="H84" i="1"/>
  <c r="J84" i="1"/>
  <c r="G237" i="1"/>
  <c r="I237" i="1"/>
  <c r="J303" i="1"/>
  <c r="H303" i="1"/>
  <c r="H366" i="1"/>
  <c r="J366" i="1"/>
  <c r="I495" i="1"/>
  <c r="G495" i="1"/>
  <c r="I257" i="1"/>
  <c r="G257" i="1"/>
  <c r="I256" i="1"/>
  <c r="G256" i="1"/>
  <c r="G41" i="1"/>
  <c r="I41" i="1"/>
  <c r="H328" i="1"/>
  <c r="J328" i="1"/>
  <c r="G278" i="1"/>
  <c r="I278" i="1"/>
  <c r="G219" i="1"/>
  <c r="I219" i="1"/>
  <c r="J314" i="1"/>
  <c r="H314" i="1"/>
  <c r="G261" i="1"/>
  <c r="H261" i="1"/>
  <c r="J261" i="1"/>
  <c r="I261" i="1"/>
  <c r="J313" i="1"/>
  <c r="H313" i="1"/>
  <c r="G419" i="1"/>
  <c r="H419" i="1"/>
  <c r="I419" i="1"/>
  <c r="J419" i="1"/>
  <c r="G28" i="1"/>
  <c r="J28" i="1"/>
  <c r="H28" i="1"/>
  <c r="I28" i="1"/>
  <c r="H454" i="1"/>
  <c r="G454" i="1"/>
  <c r="J454" i="1"/>
  <c r="I454" i="1"/>
  <c r="G166" i="1"/>
  <c r="I33" i="1"/>
  <c r="I62" i="1"/>
  <c r="I93" i="1"/>
  <c r="H458" i="1"/>
  <c r="I75" i="1"/>
  <c r="G481" i="1"/>
  <c r="J428" i="1"/>
  <c r="J219" i="1"/>
  <c r="I463" i="1"/>
  <c r="I434" i="1"/>
  <c r="J233" i="1"/>
  <c r="J291" i="1"/>
  <c r="H481" i="1"/>
  <c r="H266" i="1"/>
  <c r="J355" i="1"/>
  <c r="H355" i="1"/>
  <c r="J45" i="1"/>
  <c r="J307" i="1"/>
  <c r="H307" i="1"/>
  <c r="H293" i="1"/>
  <c r="J293" i="1"/>
  <c r="J200" i="1"/>
  <c r="H200" i="1"/>
  <c r="J17" i="1"/>
  <c r="H17" i="1"/>
  <c r="G216" i="1"/>
  <c r="I216" i="1"/>
  <c r="I259" i="1"/>
  <c r="G428" i="1"/>
  <c r="J489" i="1"/>
  <c r="H480" i="1"/>
  <c r="I291" i="1"/>
  <c r="H429" i="1"/>
  <c r="G255" i="1"/>
  <c r="J40" i="1"/>
  <c r="I429" i="1"/>
  <c r="I255" i="1"/>
  <c r="J296" i="1"/>
  <c r="G239" i="1"/>
  <c r="I468" i="1"/>
  <c r="J24" i="1"/>
  <c r="H24" i="1"/>
  <c r="J305" i="1"/>
  <c r="J95" i="1"/>
  <c r="H95" i="1"/>
  <c r="I267" i="1"/>
  <c r="G267" i="1"/>
  <c r="H166" i="1"/>
  <c r="J166" i="1"/>
  <c r="I496" i="1"/>
  <c r="G496" i="1"/>
  <c r="H496" i="1"/>
  <c r="J429" i="1"/>
  <c r="J237" i="1"/>
  <c r="G66" i="1"/>
  <c r="I66" i="1"/>
  <c r="G488" i="1"/>
  <c r="I488" i="1"/>
  <c r="H488" i="1"/>
  <c r="I126" i="1"/>
  <c r="J486" i="1"/>
  <c r="G486" i="1"/>
  <c r="I486" i="1"/>
  <c r="I485" i="1"/>
  <c r="H485" i="1"/>
  <c r="G485" i="1"/>
  <c r="G313" i="1"/>
  <c r="I313" i="1"/>
  <c r="G124" i="1"/>
  <c r="H124" i="1"/>
  <c r="J124" i="1"/>
  <c r="I124" i="1"/>
  <c r="H157" i="1"/>
  <c r="G157" i="1"/>
  <c r="J39" i="1"/>
  <c r="G449" i="1"/>
  <c r="I449" i="1"/>
  <c r="H74" i="1"/>
  <c r="I492" i="1"/>
  <c r="G492" i="1"/>
  <c r="H73" i="1"/>
  <c r="J73" i="1"/>
  <c r="G476" i="1"/>
  <c r="G358" i="1"/>
  <c r="I81" i="1"/>
  <c r="G81" i="1"/>
  <c r="G68" i="1"/>
  <c r="H68" i="1"/>
  <c r="G451" i="1"/>
  <c r="I307" i="1"/>
  <c r="G307" i="1"/>
  <c r="G17" i="1"/>
  <c r="I17" i="1"/>
  <c r="H296" i="1"/>
  <c r="H358" i="1"/>
  <c r="G314" i="1"/>
  <c r="G498" i="1"/>
  <c r="G326" i="1"/>
  <c r="I476" i="1"/>
  <c r="I134" i="1"/>
  <c r="H492" i="1"/>
  <c r="H214" i="1"/>
  <c r="J281" i="1"/>
  <c r="H224" i="1"/>
  <c r="I224" i="1"/>
  <c r="J496" i="1"/>
  <c r="J173" i="1"/>
  <c r="J164" i="1"/>
  <c r="H331" i="1"/>
  <c r="J127" i="1"/>
  <c r="J48" i="1"/>
  <c r="H81" i="1"/>
  <c r="H486" i="1"/>
  <c r="H96" i="1"/>
  <c r="J22" i="1"/>
  <c r="H373" i="1"/>
  <c r="H196" i="1"/>
  <c r="H265" i="1"/>
  <c r="G224" i="1"/>
  <c r="G396" i="1"/>
  <c r="J150" i="1"/>
  <c r="H5" i="1"/>
  <c r="H258" i="1"/>
  <c r="J473" i="1"/>
  <c r="H364" i="1"/>
  <c r="H76" i="1"/>
  <c r="H171" i="1"/>
  <c r="H27" i="1"/>
  <c r="H206" i="1"/>
  <c r="H61" i="1"/>
  <c r="H402" i="1"/>
  <c r="J272" i="1"/>
  <c r="J285" i="1"/>
  <c r="H86" i="1"/>
  <c r="J457" i="1"/>
  <c r="J333" i="1"/>
  <c r="J111" i="1"/>
  <c r="H433" i="1"/>
  <c r="J145" i="1"/>
  <c r="J175" i="1"/>
  <c r="J260" i="1"/>
  <c r="J500" i="1"/>
  <c r="H315" i="1"/>
  <c r="J32" i="1"/>
  <c r="H187" i="1"/>
  <c r="J255" i="1"/>
  <c r="J42" i="1"/>
  <c r="J318" i="1"/>
  <c r="J113" i="1"/>
  <c r="J213" i="1"/>
  <c r="J385" i="1"/>
  <c r="H292" i="1"/>
  <c r="J7" i="1"/>
  <c r="J134" i="1"/>
  <c r="H218" i="1"/>
  <c r="H179" i="1"/>
  <c r="H418" i="1"/>
  <c r="J492" i="1"/>
  <c r="H467" i="1"/>
  <c r="J467" i="1"/>
  <c r="I467" i="1"/>
  <c r="H455" i="1"/>
  <c r="J455" i="1"/>
  <c r="G455" i="1"/>
  <c r="I455" i="1"/>
  <c r="I453" i="1"/>
  <c r="G453" i="1"/>
  <c r="J397" i="1"/>
  <c r="I397" i="1"/>
  <c r="G397" i="1"/>
  <c r="H371" i="1"/>
  <c r="J371" i="1"/>
  <c r="G293" i="1"/>
  <c r="I293" i="1"/>
  <c r="J479" i="1"/>
  <c r="H479" i="1"/>
  <c r="I280" i="1"/>
  <c r="G280" i="1"/>
  <c r="H443" i="1"/>
  <c r="J443" i="1"/>
  <c r="J468" i="1"/>
  <c r="H468" i="1"/>
  <c r="I177" i="1"/>
  <c r="G177" i="1"/>
  <c r="H140" i="1"/>
  <c r="J140" i="1"/>
  <c r="G410" i="1"/>
  <c r="I410" i="1"/>
  <c r="J417" i="1"/>
  <c r="H417" i="1"/>
  <c r="J476" i="1"/>
  <c r="H476" i="1"/>
  <c r="H287" i="1"/>
  <c r="J287" i="1"/>
  <c r="J79" i="1"/>
  <c r="H79" i="1"/>
  <c r="G209" i="1"/>
  <c r="I438" i="1"/>
  <c r="G438" i="1"/>
  <c r="J438" i="1"/>
  <c r="H438" i="1"/>
  <c r="J221" i="1"/>
  <c r="H221" i="1"/>
  <c r="H432" i="1"/>
  <c r="G432" i="1"/>
  <c r="I432" i="1"/>
  <c r="J49" i="1"/>
  <c r="H49" i="1"/>
  <c r="I49" i="1"/>
  <c r="G301" i="1"/>
  <c r="J301" i="1"/>
  <c r="H301" i="1"/>
  <c r="J109" i="1"/>
  <c r="H109" i="1"/>
  <c r="I472" i="1"/>
  <c r="G472" i="1"/>
  <c r="J472" i="1"/>
  <c r="H472" i="1"/>
  <c r="J108" i="1"/>
  <c r="H108" i="1"/>
  <c r="J471" i="1"/>
  <c r="I471" i="1"/>
  <c r="G471" i="1"/>
  <c r="G299" i="1"/>
  <c r="I102" i="1"/>
  <c r="G102" i="1"/>
  <c r="H484" i="1"/>
  <c r="J484" i="1"/>
  <c r="J123" i="1"/>
  <c r="I123" i="1"/>
  <c r="H123" i="1"/>
  <c r="J220" i="1"/>
  <c r="H220" i="1"/>
  <c r="I321" i="1"/>
  <c r="G321" i="1"/>
  <c r="H136" i="1"/>
  <c r="I136" i="1"/>
  <c r="G136" i="1"/>
  <c r="I435" i="1"/>
  <c r="G435" i="1"/>
  <c r="G263" i="1"/>
  <c r="I263" i="1"/>
  <c r="G52" i="1"/>
  <c r="H52" i="1"/>
  <c r="J350" i="1"/>
  <c r="H350" i="1"/>
  <c r="I112" i="1"/>
  <c r="J112" i="1"/>
  <c r="H112" i="1"/>
  <c r="J205" i="1"/>
  <c r="H205" i="1"/>
  <c r="I461" i="1"/>
  <c r="G461" i="1"/>
  <c r="I289" i="1"/>
  <c r="G289" i="1"/>
  <c r="G89" i="1"/>
  <c r="H89" i="1"/>
  <c r="G107" i="1"/>
  <c r="I107" i="1"/>
  <c r="I490" i="1"/>
  <c r="G490" i="1"/>
  <c r="I346" i="1"/>
  <c r="H346" i="1"/>
  <c r="I202" i="1"/>
  <c r="G202" i="1"/>
  <c r="H202" i="1"/>
  <c r="I58" i="1"/>
  <c r="G58" i="1"/>
  <c r="J56" i="1"/>
  <c r="G56" i="1"/>
  <c r="I56" i="1"/>
  <c r="G439" i="1"/>
  <c r="H439" i="1"/>
  <c r="I439" i="1"/>
  <c r="J295" i="1"/>
  <c r="H295" i="1"/>
  <c r="I151" i="1"/>
  <c r="H151" i="1"/>
  <c r="J18" i="1"/>
  <c r="I18" i="1"/>
  <c r="J246" i="1"/>
  <c r="H246" i="1"/>
  <c r="H154" i="1"/>
  <c r="J154" i="1"/>
  <c r="I425" i="1"/>
  <c r="H126" i="1"/>
  <c r="J126" i="1"/>
  <c r="H453" i="1"/>
  <c r="J453" i="1"/>
  <c r="J99" i="1"/>
  <c r="I99" i="1"/>
  <c r="H99" i="1"/>
  <c r="G138" i="1"/>
  <c r="J138" i="1"/>
  <c r="I138" i="1"/>
  <c r="H129" i="1"/>
  <c r="J129" i="1"/>
  <c r="G380" i="1"/>
  <c r="J380" i="1"/>
  <c r="H380" i="1"/>
  <c r="I380" i="1"/>
  <c r="H360" i="1"/>
  <c r="G360" i="1"/>
  <c r="I360" i="1"/>
  <c r="J229" i="1"/>
  <c r="H229" i="1"/>
  <c r="G400" i="1"/>
  <c r="H400" i="1"/>
  <c r="H228" i="1"/>
  <c r="G228" i="1"/>
  <c r="G399" i="1"/>
  <c r="G227" i="1"/>
  <c r="H227" i="1"/>
  <c r="I227" i="1"/>
  <c r="J240" i="1"/>
  <c r="G240" i="1"/>
  <c r="G16" i="1"/>
  <c r="H160" i="1"/>
  <c r="J160" i="1"/>
  <c r="H16" i="1"/>
  <c r="G422" i="1"/>
  <c r="J422" i="1"/>
  <c r="J36" i="1"/>
  <c r="I363" i="1"/>
  <c r="J363" i="1"/>
  <c r="H363" i="1"/>
  <c r="G188" i="1"/>
  <c r="H188" i="1"/>
  <c r="I188" i="1"/>
  <c r="J290" i="1"/>
  <c r="H290" i="1"/>
  <c r="J146" i="1"/>
  <c r="H146" i="1"/>
  <c r="J2" i="1"/>
  <c r="H2" i="1"/>
  <c r="J405" i="1"/>
  <c r="G405" i="1"/>
  <c r="I232" i="1"/>
  <c r="H232" i="1"/>
  <c r="I4" i="1"/>
  <c r="G4" i="1"/>
  <c r="J289" i="1"/>
  <c r="I389" i="1"/>
  <c r="G389" i="1"/>
  <c r="J217" i="1"/>
  <c r="I217" i="1"/>
  <c r="H217" i="1"/>
  <c r="G191" i="1"/>
  <c r="J47" i="1"/>
  <c r="I47" i="1"/>
  <c r="G47" i="1"/>
  <c r="G430" i="1"/>
  <c r="I430" i="1"/>
  <c r="H430" i="1"/>
  <c r="G286" i="1"/>
  <c r="J286" i="1"/>
  <c r="H286" i="1"/>
  <c r="I286" i="1"/>
  <c r="I142" i="1"/>
  <c r="H142" i="1"/>
  <c r="J142" i="1"/>
  <c r="G153" i="1"/>
  <c r="I153" i="1"/>
  <c r="G140" i="1"/>
  <c r="I140" i="1"/>
  <c r="G379" i="1"/>
  <c r="H379" i="1"/>
  <c r="J11" i="1"/>
  <c r="G11" i="1"/>
  <c r="I11" i="1"/>
  <c r="H11" i="1"/>
  <c r="J210" i="1"/>
  <c r="H210" i="1"/>
  <c r="J209" i="1"/>
  <c r="H209" i="1"/>
  <c r="H119" i="1"/>
  <c r="J119" i="1"/>
  <c r="H422" i="1"/>
  <c r="G218" i="1"/>
  <c r="I60" i="1"/>
  <c r="H337" i="1"/>
  <c r="G418" i="1"/>
  <c r="I218" i="1"/>
  <c r="I337" i="1"/>
  <c r="J187" i="1"/>
  <c r="J252" i="1"/>
  <c r="H309" i="1"/>
  <c r="J102" i="1"/>
  <c r="H446" i="1"/>
  <c r="H107" i="1"/>
  <c r="H312" i="1"/>
  <c r="J177" i="1"/>
  <c r="H4" i="1"/>
  <c r="H47" i="1"/>
  <c r="H91" i="1"/>
  <c r="J251" i="1"/>
  <c r="J228" i="1"/>
  <c r="J430" i="1"/>
  <c r="J280" i="1"/>
  <c r="J247" i="1"/>
  <c r="J179" i="1"/>
  <c r="H45" i="1"/>
  <c r="J352" i="1"/>
  <c r="H9" i="1"/>
  <c r="J308" i="1"/>
  <c r="I12" i="1"/>
  <c r="G169" i="1"/>
  <c r="I179" i="1"/>
  <c r="H398" i="1"/>
  <c r="G375" i="1"/>
  <c r="H321" i="1"/>
  <c r="I222" i="1"/>
  <c r="G285" i="1"/>
  <c r="J192" i="1"/>
  <c r="H57" i="1"/>
  <c r="H256" i="1"/>
  <c r="H308" i="1"/>
  <c r="H12" i="1"/>
  <c r="H169" i="1"/>
  <c r="G398" i="1"/>
  <c r="H222" i="1"/>
  <c r="H435" i="1"/>
  <c r="H285" i="1"/>
  <c r="J21" i="1"/>
  <c r="G12" i="1"/>
  <c r="J4" i="1"/>
  <c r="J169" i="1"/>
  <c r="H177" i="1"/>
  <c r="J9" i="1"/>
  <c r="G352" i="1"/>
  <c r="J104" i="1"/>
  <c r="I365" i="1"/>
  <c r="G365" i="1"/>
  <c r="J392" i="1"/>
  <c r="H392" i="1"/>
  <c r="G99" i="1"/>
  <c r="J336" i="1"/>
  <c r="H336" i="1"/>
  <c r="J132" i="1"/>
  <c r="H132" i="1"/>
  <c r="H271" i="1"/>
  <c r="J271" i="1"/>
  <c r="G184" i="1"/>
  <c r="I184" i="1"/>
  <c r="I229" i="1"/>
  <c r="G229" i="1"/>
  <c r="J304" i="1"/>
  <c r="H304" i="1"/>
  <c r="I422" i="1"/>
  <c r="I249" i="1"/>
  <c r="G249" i="1"/>
  <c r="I234" i="1"/>
  <c r="H234" i="1"/>
  <c r="G234" i="1"/>
  <c r="J349" i="1"/>
  <c r="H349" i="1"/>
  <c r="H278" i="1"/>
  <c r="J278" i="1"/>
  <c r="J390" i="1"/>
  <c r="H390" i="1"/>
  <c r="I390" i="1"/>
  <c r="G390" i="1"/>
  <c r="J218" i="1"/>
  <c r="J421" i="1"/>
  <c r="H421" i="1"/>
  <c r="J375" i="1"/>
  <c r="H375" i="1"/>
  <c r="I201" i="1"/>
  <c r="G201" i="1"/>
  <c r="J130" i="1"/>
  <c r="I130" i="1"/>
  <c r="G130" i="1"/>
  <c r="J141" i="1"/>
  <c r="I141" i="1"/>
  <c r="G9" i="1"/>
  <c r="I9" i="1"/>
  <c r="I309" i="1"/>
  <c r="J309" i="1"/>
  <c r="G309" i="1"/>
  <c r="H451" i="1"/>
  <c r="J451" i="1"/>
  <c r="G368" i="1"/>
  <c r="I368" i="1"/>
  <c r="J331" i="1"/>
  <c r="J12" i="1"/>
  <c r="H30" i="1"/>
  <c r="G345" i="1"/>
  <c r="H447" i="1"/>
  <c r="J398" i="1"/>
  <c r="I228" i="1"/>
  <c r="H500" i="1"/>
  <c r="H357" i="1"/>
  <c r="H48" i="1"/>
  <c r="G401" i="1"/>
  <c r="H365" i="1"/>
  <c r="J137" i="1"/>
  <c r="H137" i="1"/>
  <c r="J227" i="1"/>
  <c r="I311" i="1"/>
  <c r="H311" i="1"/>
  <c r="J193" i="1"/>
  <c r="H306" i="1"/>
  <c r="J306" i="1"/>
  <c r="H368" i="1"/>
  <c r="J368" i="1"/>
  <c r="I497" i="1"/>
  <c r="G497" i="1"/>
  <c r="G265" i="1"/>
  <c r="I265" i="1"/>
  <c r="I149" i="1"/>
  <c r="G149" i="1"/>
  <c r="I372" i="1"/>
  <c r="G372" i="1"/>
  <c r="G384" i="1"/>
  <c r="I384" i="1"/>
  <c r="J231" i="1"/>
  <c r="H231" i="1"/>
  <c r="I156" i="1"/>
  <c r="G156" i="1"/>
  <c r="H410" i="1"/>
  <c r="J410" i="1"/>
  <c r="J122" i="1"/>
  <c r="H122" i="1"/>
  <c r="J204" i="1"/>
  <c r="I204" i="1"/>
  <c r="H185" i="1"/>
  <c r="G262" i="1"/>
  <c r="G118" i="1"/>
  <c r="I118" i="1"/>
  <c r="H276" i="1"/>
  <c r="J276" i="1"/>
  <c r="H383" i="1"/>
  <c r="J383" i="1"/>
  <c r="I323" i="1"/>
  <c r="J387" i="1"/>
  <c r="H387" i="1"/>
  <c r="G387" i="1"/>
  <c r="J386" i="1"/>
  <c r="G215" i="1"/>
  <c r="G395" i="1"/>
  <c r="G386" i="1"/>
  <c r="H399" i="1"/>
  <c r="H377" i="1"/>
  <c r="H255" i="1"/>
  <c r="I345" i="1"/>
  <c r="I398" i="1"/>
  <c r="J153" i="1"/>
  <c r="J461" i="1"/>
  <c r="G311" i="1"/>
  <c r="H141" i="1"/>
  <c r="J82" i="1"/>
  <c r="H82" i="1"/>
  <c r="I252" i="1"/>
  <c r="H252" i="1"/>
  <c r="J212" i="1"/>
  <c r="G212" i="1"/>
  <c r="H212" i="1"/>
  <c r="H215" i="1"/>
  <c r="I395" i="1"/>
  <c r="H386" i="1"/>
  <c r="J106" i="1"/>
  <c r="H318" i="1"/>
  <c r="J399" i="1"/>
  <c r="H164" i="1"/>
  <c r="H345" i="1"/>
  <c r="H260" i="1"/>
  <c r="H225" i="1"/>
  <c r="I387" i="1"/>
  <c r="H32" i="1"/>
  <c r="J401" i="1"/>
  <c r="G385" i="1"/>
  <c r="J456" i="1"/>
  <c r="H456" i="1"/>
  <c r="I120" i="1"/>
  <c r="G120" i="1"/>
  <c r="I353" i="1"/>
  <c r="I383" i="1"/>
  <c r="G383" i="1"/>
  <c r="I137" i="1"/>
  <c r="G137" i="1"/>
  <c r="I474" i="1"/>
  <c r="G474" i="1"/>
  <c r="H474" i="1"/>
  <c r="J302" i="1"/>
  <c r="G302" i="1"/>
  <c r="H302" i="1"/>
  <c r="J344" i="1"/>
  <c r="I344" i="1"/>
  <c r="H344" i="1"/>
  <c r="J162" i="1"/>
  <c r="I162" i="1"/>
  <c r="H162" i="1"/>
  <c r="G162" i="1"/>
  <c r="J400" i="1"/>
  <c r="J372" i="1"/>
  <c r="H275" i="1"/>
  <c r="J275" i="1"/>
  <c r="H323" i="1"/>
  <c r="J323" i="1"/>
  <c r="I215" i="1"/>
  <c r="H395" i="1"/>
  <c r="I399" i="1"/>
  <c r="J249" i="1"/>
  <c r="H116" i="1"/>
  <c r="J345" i="1"/>
  <c r="H42" i="1"/>
  <c r="H412" i="1"/>
  <c r="H134" i="1"/>
  <c r="G193" i="1"/>
  <c r="I225" i="1"/>
  <c r="J91" i="1"/>
  <c r="G213" i="1"/>
  <c r="H333" i="1"/>
  <c r="H385" i="1"/>
  <c r="H280" i="1"/>
  <c r="G425" i="1"/>
  <c r="J353" i="1"/>
  <c r="J311" i="1"/>
  <c r="J215" i="1"/>
  <c r="H173" i="1"/>
  <c r="J395" i="1"/>
  <c r="H249" i="1"/>
  <c r="H191" i="1"/>
  <c r="H330" i="1"/>
  <c r="G412" i="1"/>
  <c r="I212" i="1"/>
  <c r="H193" i="1"/>
  <c r="H127" i="1"/>
  <c r="G225" i="1"/>
  <c r="H213" i="1"/>
  <c r="H425" i="1"/>
  <c r="J234" i="1"/>
  <c r="H138" i="1"/>
  <c r="J315" i="1"/>
  <c r="J211" i="1"/>
  <c r="I240" i="1"/>
  <c r="I193" i="1"/>
  <c r="G323" i="1"/>
  <c r="I213" i="1"/>
  <c r="I385" i="1"/>
  <c r="J425" i="1"/>
  <c r="H499" i="1"/>
  <c r="J312" i="1"/>
  <c r="H101" i="1"/>
  <c r="H240" i="1"/>
  <c r="I412" i="1"/>
  <c r="J107" i="1"/>
  <c r="G349" i="1"/>
  <c r="G251" i="1"/>
  <c r="J81" i="1"/>
  <c r="H31" i="1"/>
  <c r="J31" i="1"/>
  <c r="H155" i="1"/>
  <c r="J155" i="1"/>
  <c r="J477" i="1"/>
  <c r="H477" i="1"/>
  <c r="I493" i="1"/>
  <c r="I155" i="1"/>
  <c r="G155" i="1"/>
  <c r="G104" i="1"/>
  <c r="I104" i="1"/>
  <c r="G122" i="1"/>
  <c r="I122" i="1"/>
  <c r="I82" i="1"/>
  <c r="G82" i="1"/>
  <c r="I31" i="1"/>
  <c r="G31" i="1"/>
  <c r="H102" i="1"/>
  <c r="J235" i="1"/>
  <c r="H235" i="1"/>
  <c r="J156" i="1"/>
  <c r="H156" i="1"/>
  <c r="I446" i="1"/>
  <c r="G446" i="1"/>
  <c r="G336" i="1"/>
  <c r="I336" i="1"/>
  <c r="J338" i="1"/>
  <c r="H450" i="1"/>
  <c r="J450" i="1"/>
  <c r="J69" i="1"/>
  <c r="H69" i="1"/>
  <c r="H351" i="1"/>
  <c r="I494" i="1"/>
  <c r="G494" i="1"/>
  <c r="J494" i="1"/>
  <c r="H494" i="1"/>
  <c r="G477" i="1"/>
  <c r="I477" i="1"/>
  <c r="I304" i="1"/>
  <c r="G304" i="1"/>
  <c r="J493" i="1"/>
  <c r="H493" i="1"/>
  <c r="I69" i="1"/>
  <c r="G69" i="1"/>
  <c r="G39" i="1"/>
  <c r="G236" i="1"/>
  <c r="I236" i="1"/>
  <c r="H236" i="1"/>
  <c r="J236" i="1"/>
  <c r="J120" i="1"/>
  <c r="H120" i="1"/>
  <c r="H201" i="1"/>
  <c r="J201" i="1"/>
  <c r="H352" i="1"/>
  <c r="I421" i="1"/>
  <c r="G421" i="1"/>
  <c r="I275" i="1"/>
  <c r="G275" i="1"/>
  <c r="J256" i="1"/>
  <c r="J384" i="1"/>
  <c r="H384" i="1"/>
  <c r="I276" i="1"/>
  <c r="G276" i="1"/>
  <c r="G351" i="1"/>
  <c r="H403" i="1"/>
  <c r="J403" i="1"/>
  <c r="H372" i="1"/>
  <c r="J184" i="1"/>
  <c r="H184" i="1"/>
  <c r="G450" i="1"/>
  <c r="I450" i="1"/>
  <c r="I403" i="1"/>
  <c r="G403" i="1"/>
  <c r="J420" i="1"/>
  <c r="H420" i="1"/>
  <c r="J149" i="1"/>
  <c r="H149" i="1"/>
  <c r="J446" i="1"/>
  <c r="I420" i="1"/>
  <c r="G420" i="1"/>
  <c r="I21" i="1"/>
  <c r="G21" i="1"/>
  <c r="I235" i="1"/>
  <c r="D367" i="8"/>
  <c r="D408" i="8"/>
  <c r="D353" i="8"/>
  <c r="D399" i="8"/>
  <c r="D380" i="8"/>
  <c r="D485" i="8"/>
  <c r="D329" i="8"/>
  <c r="D395" i="8"/>
  <c r="D382" i="8"/>
  <c r="D366" i="8"/>
  <c r="D376" i="8"/>
  <c r="D494" i="8"/>
  <c r="D350" i="8"/>
  <c r="D375" i="8"/>
  <c r="D435" i="8"/>
  <c r="D351" i="8"/>
  <c r="D428" i="8"/>
  <c r="D356" i="8"/>
  <c r="D461" i="8"/>
  <c r="D441" i="8"/>
  <c r="D300" i="8"/>
  <c r="D404" i="8"/>
  <c r="D391" i="8"/>
  <c r="D469" i="8"/>
  <c r="D359" i="8"/>
  <c r="D490" i="8"/>
  <c r="D346" i="8"/>
  <c r="D474" i="8"/>
  <c r="D484" i="8"/>
  <c r="D340" i="8"/>
  <c r="D489" i="8"/>
  <c r="D315" i="8"/>
  <c r="D420" i="8"/>
  <c r="D401" i="8"/>
  <c r="D363" i="8"/>
  <c r="D103" i="8"/>
  <c r="D383" i="8"/>
  <c r="D370" i="8"/>
  <c r="D498" i="8"/>
  <c r="D354" i="8"/>
  <c r="D66" i="8"/>
  <c r="D220" i="8"/>
  <c r="D76" i="8"/>
  <c r="D482" i="8"/>
  <c r="D338" i="8"/>
  <c r="D476" i="8"/>
  <c r="D413" i="8"/>
  <c r="D475" i="8"/>
  <c r="D336" i="8"/>
  <c r="D440" i="8"/>
  <c r="D200" i="8"/>
  <c r="D421" i="8"/>
  <c r="D384" i="8"/>
  <c r="D369" i="8"/>
  <c r="D371" i="8"/>
  <c r="D358" i="8"/>
  <c r="D486" i="8"/>
  <c r="D496" i="8"/>
  <c r="D352" i="8"/>
  <c r="D470" i="8"/>
  <c r="D326" i="8"/>
  <c r="D182" i="8"/>
  <c r="D451" i="8"/>
  <c r="D456" i="8"/>
  <c r="D433" i="8"/>
  <c r="D459" i="8"/>
  <c r="D69" i="8"/>
  <c r="D447" i="8"/>
  <c r="D297" i="8"/>
  <c r="D403" i="8"/>
  <c r="D344" i="8"/>
  <c r="D284" i="8"/>
  <c r="D493" i="8"/>
  <c r="D125" i="8"/>
  <c r="D372" i="8"/>
  <c r="D443" i="8"/>
  <c r="D299" i="8"/>
  <c r="D430" i="8"/>
  <c r="D414" i="8"/>
  <c r="D126" i="8"/>
  <c r="D424" i="8"/>
  <c r="D398" i="8"/>
  <c r="D333" i="8"/>
  <c r="D396" i="8"/>
  <c r="D108" i="8"/>
  <c r="D355" i="8"/>
  <c r="D327" i="8"/>
  <c r="D481" i="8"/>
  <c r="D444" i="8"/>
  <c r="D240" i="8"/>
  <c r="D243" i="8"/>
  <c r="D432" i="8"/>
  <c r="D335" i="8"/>
  <c r="D418" i="8"/>
  <c r="D462" i="8"/>
  <c r="D328" i="8"/>
  <c r="D124" i="8"/>
  <c r="D446" i="8"/>
  <c r="D331" i="8"/>
  <c r="D393" i="8"/>
  <c r="D377" i="8"/>
  <c r="D277" i="8"/>
  <c r="D464" i="8"/>
  <c r="D452" i="8"/>
  <c r="D323" i="8"/>
  <c r="D406" i="8"/>
  <c r="D154" i="8"/>
  <c r="D450" i="8"/>
  <c r="D234" i="8"/>
  <c r="D316" i="8"/>
  <c r="D434" i="8"/>
  <c r="D386" i="8"/>
  <c r="D348" i="8"/>
  <c r="D325" i="8"/>
  <c r="D455" i="8"/>
  <c r="D448" i="8"/>
  <c r="D373" i="8"/>
  <c r="D379" i="8"/>
  <c r="D236" i="8"/>
  <c r="D423" i="8"/>
  <c r="D313" i="8"/>
  <c r="D497" i="8"/>
  <c r="D332" i="8"/>
  <c r="D397" i="8"/>
  <c r="D319" i="8"/>
  <c r="D301" i="8"/>
  <c r="D473" i="8"/>
  <c r="D311" i="8"/>
  <c r="D394" i="8"/>
  <c r="D130" i="8"/>
  <c r="D438" i="8"/>
  <c r="D174" i="8"/>
  <c r="D422" i="8"/>
  <c r="D491" i="8"/>
  <c r="D480" i="8"/>
  <c r="D463" i="8"/>
  <c r="D197" i="8"/>
  <c r="D445" i="8"/>
  <c r="D385" i="8"/>
  <c r="D472" i="8"/>
  <c r="D33" i="8"/>
  <c r="D405" i="8"/>
  <c r="D416" i="8"/>
  <c r="D378" i="8"/>
  <c r="D460" i="8"/>
  <c r="D362" i="8"/>
  <c r="D320" i="8"/>
  <c r="D449" i="8"/>
  <c r="D411" i="8"/>
  <c r="D347" i="8"/>
  <c r="D6" i="8"/>
  <c r="D388" i="8"/>
  <c r="D387" i="8"/>
  <c r="D307" i="8"/>
  <c r="D417" i="8"/>
  <c r="D321" i="8"/>
  <c r="D261" i="8"/>
  <c r="D289" i="8"/>
  <c r="D334" i="8"/>
  <c r="D118" i="8"/>
  <c r="D426" i="8"/>
  <c r="D410" i="8"/>
  <c r="D170" i="8"/>
  <c r="D176" i="8"/>
  <c r="D309" i="8"/>
  <c r="D457" i="8"/>
  <c r="D471" i="8"/>
  <c r="D263" i="8"/>
  <c r="D390" i="8"/>
  <c r="D409" i="8"/>
  <c r="D500" i="8"/>
  <c r="D465" i="8"/>
  <c r="D467" i="8"/>
  <c r="D114" i="8"/>
  <c r="D244" i="8"/>
  <c r="D134" i="8"/>
  <c r="D487" i="8"/>
  <c r="D102" i="8"/>
  <c r="D488" i="8"/>
  <c r="D442" i="8"/>
  <c r="D121" i="8"/>
  <c r="D439" i="8"/>
  <c r="D360" i="8"/>
  <c r="D425" i="8"/>
  <c r="D303" i="8"/>
  <c r="D106" i="8"/>
  <c r="D402" i="8"/>
  <c r="D477" i="8"/>
  <c r="D479" i="8"/>
  <c r="D374" i="8"/>
  <c r="D483" i="8"/>
  <c r="D298" i="8"/>
  <c r="D16" i="8"/>
  <c r="D147" i="8"/>
  <c r="D151" i="8"/>
  <c r="D283" i="8"/>
  <c r="D468" i="8"/>
  <c r="D308" i="8"/>
  <c r="D400" i="8"/>
  <c r="D178" i="8"/>
  <c r="D148" i="8"/>
  <c r="D437" i="8"/>
  <c r="D499" i="8"/>
  <c r="D492" i="8"/>
  <c r="D271" i="8"/>
  <c r="D296" i="8"/>
  <c r="D324" i="8"/>
  <c r="D341" i="8"/>
  <c r="D75" i="8"/>
  <c r="D267" i="8"/>
  <c r="D431" i="8"/>
  <c r="D478" i="8"/>
  <c r="D306" i="8"/>
  <c r="D436" i="8"/>
  <c r="D98" i="8"/>
  <c r="D312" i="8"/>
  <c r="D389" i="8"/>
  <c r="D453" i="8"/>
  <c r="D495" i="8"/>
  <c r="D429" i="8"/>
  <c r="D337" i="8"/>
  <c r="D365" i="8"/>
  <c r="D361" i="8"/>
  <c r="D177" i="8"/>
  <c r="D169" i="8"/>
  <c r="D415" i="8"/>
  <c r="D419" i="8"/>
  <c r="D466" i="8"/>
  <c r="D250" i="8"/>
  <c r="D294" i="8"/>
  <c r="D412" i="8"/>
  <c r="D211" i="8"/>
  <c r="D392" i="8"/>
  <c r="D233" i="8"/>
  <c r="D36" i="8"/>
  <c r="D357" i="8"/>
  <c r="D427" i="8"/>
  <c r="D381" i="8"/>
  <c r="D368" i="8"/>
  <c r="D407" i="8"/>
  <c r="D454" i="8"/>
  <c r="D278" i="8"/>
  <c r="D458" i="8"/>
  <c r="H1" i="1" l="1"/>
  <c r="J1" i="1"/>
  <c r="G1" i="1"/>
  <c r="D94" i="8"/>
  <c r="D152" i="8"/>
  <c r="D39" i="8"/>
  <c r="D345" i="8"/>
  <c r="D38" i="8"/>
  <c r="D364" i="8"/>
  <c r="D68" i="8"/>
  <c r="D139" i="8"/>
  <c r="D91" i="8"/>
  <c r="D276" i="8"/>
  <c r="D281" i="8"/>
  <c r="D193" i="8"/>
  <c r="D305" i="8"/>
  <c r="D302" i="8"/>
  <c r="D339" i="8"/>
  <c r="D304" i="8"/>
  <c r="D322" i="8"/>
  <c r="D142" i="8"/>
  <c r="D317" i="8"/>
  <c r="D342" i="8"/>
  <c r="D349" i="8"/>
  <c r="D83" i="8"/>
  <c r="D295" i="8"/>
  <c r="D157" i="8"/>
  <c r="D222" i="8"/>
  <c r="D58" i="8"/>
  <c r="D67" i="8"/>
  <c r="D184" i="8"/>
  <c r="D201" i="8"/>
  <c r="D310" i="8"/>
  <c r="D61" i="8"/>
  <c r="D314" i="8"/>
  <c r="D115" i="8"/>
  <c r="D318" i="8"/>
  <c r="D5" i="8"/>
  <c r="D270" i="8"/>
  <c r="D113" i="8"/>
  <c r="D223" i="8"/>
  <c r="D34" i="8"/>
  <c r="D164" i="8"/>
  <c r="D225" i="8"/>
  <c r="D212" i="8"/>
  <c r="D24" i="8"/>
  <c r="D30" i="8"/>
  <c r="D43" i="8"/>
  <c r="D131" i="8"/>
  <c r="D256" i="8"/>
  <c r="D266" i="8"/>
  <c r="D56" i="8"/>
  <c r="D93" i="8"/>
  <c r="D247" i="8"/>
  <c r="D248" i="8"/>
  <c r="D202" i="8"/>
  <c r="D84" i="8"/>
  <c r="D196" i="8"/>
  <c r="D40" i="8"/>
  <c r="D104" i="8"/>
  <c r="D117" i="8"/>
  <c r="D57" i="8"/>
  <c r="D133" i="8"/>
  <c r="D92" i="8"/>
  <c r="D23" i="8"/>
  <c r="D77" i="8"/>
  <c r="D52" i="8"/>
  <c r="D163" i="8"/>
  <c r="D49" i="8"/>
  <c r="D101" i="8"/>
  <c r="D291" i="8"/>
  <c r="D203" i="8"/>
  <c r="D205" i="8"/>
  <c r="D292" i="8"/>
  <c r="D255" i="8"/>
  <c r="D74" i="8"/>
  <c r="D116" i="8"/>
  <c r="D285" i="8"/>
  <c r="D195" i="8"/>
  <c r="D265" i="8"/>
  <c r="D90" i="8"/>
  <c r="D135" i="8"/>
  <c r="D31" i="8"/>
  <c r="D73" i="8"/>
  <c r="D286" i="8"/>
  <c r="D48" i="8"/>
  <c r="D143" i="8"/>
  <c r="D158" i="8"/>
  <c r="D183" i="8"/>
  <c r="D59" i="8"/>
  <c r="D257" i="8"/>
  <c r="D260" i="8"/>
  <c r="D123" i="8"/>
  <c r="D207" i="8"/>
  <c r="D44" i="8"/>
  <c r="D10" i="8"/>
  <c r="D65" i="8"/>
  <c r="D27" i="8"/>
  <c r="D162" i="8"/>
  <c r="D181" i="8"/>
  <c r="D253" i="8"/>
  <c r="D129" i="8"/>
  <c r="D150" i="8"/>
  <c r="D160" i="8"/>
  <c r="D264" i="8"/>
  <c r="D166" i="8"/>
  <c r="D254" i="8"/>
  <c r="D11" i="8"/>
  <c r="D13" i="8"/>
  <c r="D224" i="8"/>
  <c r="D149" i="8"/>
  <c r="D259" i="8"/>
  <c r="D140" i="8"/>
  <c r="D206" i="8"/>
  <c r="D60" i="8"/>
  <c r="D246" i="8"/>
  <c r="D208" i="8"/>
  <c r="D210" i="8"/>
  <c r="D71" i="8"/>
  <c r="D167" i="8"/>
  <c r="D192" i="8"/>
  <c r="D18" i="8"/>
  <c r="D188" i="8"/>
  <c r="D9" i="8"/>
  <c r="D8" i="8"/>
  <c r="D47" i="8"/>
  <c r="D189" i="8"/>
  <c r="D110" i="8"/>
  <c r="D62" i="8"/>
  <c r="D231" i="8"/>
  <c r="D262" i="8"/>
  <c r="D171" i="8"/>
  <c r="D122" i="8"/>
  <c r="D4" i="8"/>
  <c r="D217" i="8"/>
  <c r="D79" i="8"/>
  <c r="D111" i="8"/>
  <c r="D272" i="8"/>
  <c r="D19" i="8"/>
  <c r="D282" i="8"/>
  <c r="D85" i="8"/>
  <c r="D29" i="8"/>
  <c r="D155" i="8"/>
  <c r="D245" i="8"/>
  <c r="D54" i="8"/>
  <c r="D137" i="8"/>
  <c r="D80" i="8"/>
  <c r="D82" i="8"/>
  <c r="D12" i="8"/>
  <c r="D269" i="8"/>
  <c r="D241" i="8"/>
  <c r="D146" i="8"/>
  <c r="D229" i="8"/>
  <c r="D187" i="8"/>
  <c r="D26" i="8"/>
  <c r="D161" i="8"/>
  <c r="D293" i="8"/>
  <c r="D165" i="8"/>
  <c r="D119" i="8"/>
  <c r="D273" i="8"/>
  <c r="D3" i="8"/>
  <c r="D156" i="8"/>
  <c r="D127" i="8"/>
  <c r="D279" i="8"/>
  <c r="D226" i="8"/>
  <c r="D21" i="8"/>
  <c r="D96" i="8"/>
  <c r="D199" i="8"/>
  <c r="D86" i="8"/>
  <c r="D63" i="8"/>
  <c r="D179" i="8"/>
  <c r="D45" i="8"/>
  <c r="D22" i="8"/>
  <c r="D132" i="8"/>
  <c r="D191" i="8"/>
  <c r="D268" i="8"/>
  <c r="D2" i="8"/>
  <c r="D218" i="8"/>
  <c r="D258" i="8"/>
  <c r="D230" i="8"/>
  <c r="D190" i="8"/>
  <c r="D136" i="8"/>
  <c r="D32" i="8"/>
  <c r="D50" i="8"/>
  <c r="D153" i="8"/>
  <c r="D42" i="8"/>
  <c r="D213" i="8"/>
  <c r="D232" i="8"/>
  <c r="D290" i="8"/>
  <c r="D288" i="8"/>
  <c r="D185" i="8"/>
  <c r="D275" i="8"/>
  <c r="D35" i="8"/>
  <c r="D138" i="8"/>
  <c r="D41" i="8"/>
  <c r="D20" i="8"/>
  <c r="D14" i="8"/>
  <c r="D249" i="8"/>
  <c r="D204" i="8"/>
  <c r="D280" i="8"/>
  <c r="D168" i="8"/>
  <c r="D51" i="8"/>
  <c r="D128" i="8"/>
  <c r="D70" i="8"/>
  <c r="D95" i="8"/>
  <c r="D37" i="8"/>
  <c r="D186" i="8"/>
  <c r="D144" i="8"/>
  <c r="D237" i="8"/>
  <c r="D216" i="8"/>
  <c r="D172" i="8"/>
  <c r="D99" i="8"/>
  <c r="D252" i="8"/>
  <c r="D55" i="8"/>
  <c r="D235" i="8"/>
  <c r="D7" i="8"/>
  <c r="D72" i="8"/>
  <c r="D28" i="8"/>
  <c r="D287" i="8"/>
  <c r="D46" i="8"/>
  <c r="D100" i="8"/>
  <c r="D221" i="8"/>
  <c r="D219" i="8"/>
  <c r="D274" i="8"/>
  <c r="D112" i="8"/>
  <c r="D180" i="8"/>
  <c r="D242" i="8"/>
  <c r="D145" i="8"/>
  <c r="D214" i="8"/>
  <c r="D175" i="8"/>
  <c r="D239" i="8"/>
  <c r="D159" i="8"/>
  <c r="D17" i="8"/>
  <c r="D109" i="8"/>
  <c r="D78" i="8"/>
  <c r="D97" i="8"/>
  <c r="D198" i="8"/>
  <c r="D15" i="8"/>
  <c r="D89" i="8"/>
  <c r="D228" i="8"/>
  <c r="D173" i="8"/>
  <c r="D330" i="8"/>
  <c r="D81" i="8"/>
  <c r="D105" i="8"/>
  <c r="D141" i="8"/>
  <c r="D64" i="8"/>
  <c r="D227" i="8"/>
  <c r="D120" i="8"/>
  <c r="D194" i="8"/>
  <c r="D209" i="8"/>
  <c r="D215" i="8"/>
  <c r="D53" i="8"/>
  <c r="D238" i="8"/>
  <c r="D251" i="8"/>
  <c r="D1" i="8"/>
  <c r="D107" i="8"/>
  <c r="D25" i="8"/>
  <c r="D88" i="8"/>
  <c r="D87" i="8"/>
  <c r="G7" i="3"/>
  <c r="H7" i="3"/>
  <c r="I7" i="3" s="1"/>
  <c r="D1" i="3" l="1"/>
  <c r="G8" i="3"/>
  <c r="H8" i="3"/>
  <c r="I8" i="3" s="1"/>
  <c r="E313" i="3"/>
  <c r="F313" i="3" s="1"/>
  <c r="K313" i="3" s="1"/>
  <c r="E107" i="3"/>
  <c r="F107" i="3" s="1"/>
  <c r="K107" i="3" s="1"/>
  <c r="D328" i="3"/>
  <c r="J328" i="3" s="1"/>
  <c r="R328" i="3" s="1"/>
  <c r="D244" i="3"/>
  <c r="J244" i="3" s="1"/>
  <c r="R244" i="3" s="1"/>
  <c r="D260" i="3"/>
  <c r="J260" i="3" s="1"/>
  <c r="R260" i="3" s="1"/>
  <c r="E338" i="3"/>
  <c r="F338" i="3" s="1"/>
  <c r="K338" i="3" s="1"/>
  <c r="D412" i="3"/>
  <c r="J412" i="3" s="1"/>
  <c r="R412" i="3" s="1"/>
  <c r="D467" i="3"/>
  <c r="J467" i="3" s="1"/>
  <c r="R467" i="3" s="1"/>
  <c r="E308" i="3"/>
  <c r="F308" i="3" s="1"/>
  <c r="K308" i="3" s="1"/>
  <c r="D395" i="3"/>
  <c r="J395" i="3" s="1"/>
  <c r="R395" i="3" s="1"/>
  <c r="E251" i="3"/>
  <c r="F251" i="3" s="1"/>
  <c r="K251" i="3" s="1"/>
  <c r="E117" i="3"/>
  <c r="F117" i="3" s="1"/>
  <c r="K117" i="3" s="1"/>
  <c r="N117" i="3" s="1"/>
  <c r="E289" i="3"/>
  <c r="F289" i="3" s="1"/>
  <c r="K289" i="3" s="1"/>
  <c r="D34" i="3"/>
  <c r="J34" i="3" s="1"/>
  <c r="R34" i="3" s="1"/>
  <c r="E11" i="3"/>
  <c r="F11" i="3" s="1"/>
  <c r="K11" i="3" s="1"/>
  <c r="E292" i="3"/>
  <c r="F292" i="3" s="1"/>
  <c r="K292" i="3" s="1"/>
  <c r="L292" i="3" s="1"/>
  <c r="D118" i="3"/>
  <c r="J118" i="3" s="1"/>
  <c r="R118" i="3" s="1"/>
  <c r="E412" i="3"/>
  <c r="F412" i="3" s="1"/>
  <c r="K412" i="3" s="1"/>
  <c r="N412" i="3" s="1"/>
  <c r="D53" i="3"/>
  <c r="J53" i="3" s="1"/>
  <c r="R53" i="3" s="1"/>
  <c r="D57" i="3"/>
  <c r="J57" i="3" s="1"/>
  <c r="R57" i="3" s="1"/>
  <c r="D215" i="3"/>
  <c r="J215" i="3" s="1"/>
  <c r="R215" i="3" s="1"/>
  <c r="E195" i="3"/>
  <c r="F195" i="3" s="1"/>
  <c r="K195" i="3" s="1"/>
  <c r="L195" i="3" s="1"/>
  <c r="D372" i="3"/>
  <c r="J372" i="3" s="1"/>
  <c r="R372" i="3" s="1"/>
  <c r="D363" i="3"/>
  <c r="J363" i="3" s="1"/>
  <c r="R363" i="3" s="1"/>
  <c r="E49" i="3"/>
  <c r="F49" i="3" s="1"/>
  <c r="K49" i="3" s="1"/>
  <c r="N49" i="3" s="1"/>
  <c r="D84" i="3"/>
  <c r="J84" i="3" s="1"/>
  <c r="R84" i="3" s="1"/>
  <c r="E467" i="3"/>
  <c r="F467" i="3" s="1"/>
  <c r="K467" i="3" s="1"/>
  <c r="D117" i="3"/>
  <c r="J117" i="3" s="1"/>
  <c r="R117" i="3" s="1"/>
  <c r="E436" i="3"/>
  <c r="F436" i="3" s="1"/>
  <c r="K436" i="3" s="1"/>
  <c r="D185" i="3"/>
  <c r="J185" i="3" s="1"/>
  <c r="R185" i="3" s="1"/>
  <c r="D246" i="3"/>
  <c r="J246" i="3" s="1"/>
  <c r="R246" i="3" s="1"/>
  <c r="D18" i="3"/>
  <c r="J18" i="3" s="1"/>
  <c r="R18" i="3" s="1"/>
  <c r="D401" i="3"/>
  <c r="J401" i="3" s="1"/>
  <c r="R401" i="3" s="1"/>
  <c r="E353" i="3"/>
  <c r="F353" i="3" s="1"/>
  <c r="K353" i="3" s="1"/>
  <c r="D439" i="3"/>
  <c r="J439" i="3" s="1"/>
  <c r="R439" i="3" s="1"/>
  <c r="E229" i="3"/>
  <c r="F229" i="3" s="1"/>
  <c r="K229" i="3" s="1"/>
  <c r="E369" i="3"/>
  <c r="F369" i="3" s="1"/>
  <c r="K369" i="3" s="1"/>
  <c r="D210" i="3"/>
  <c r="J210" i="3" s="1"/>
  <c r="R210" i="3" s="1"/>
  <c r="D48" i="3"/>
  <c r="J48" i="3" s="1"/>
  <c r="R48" i="3" s="1"/>
  <c r="E172" i="3"/>
  <c r="F172" i="3" s="1"/>
  <c r="K172" i="3" s="1"/>
  <c r="E83" i="3"/>
  <c r="F83" i="3" s="1"/>
  <c r="K83" i="3" s="1"/>
  <c r="E394" i="3"/>
  <c r="F394" i="3" s="1"/>
  <c r="K394" i="3" s="1"/>
  <c r="D20" i="3"/>
  <c r="J20" i="3" s="1"/>
  <c r="R20" i="3" s="1"/>
  <c r="D274" i="3"/>
  <c r="J274" i="3" s="1"/>
  <c r="R274" i="3" s="1"/>
  <c r="D460" i="3"/>
  <c r="J460" i="3" s="1"/>
  <c r="R460" i="3" s="1"/>
  <c r="E470" i="3"/>
  <c r="F470" i="3" s="1"/>
  <c r="K470" i="3" s="1"/>
  <c r="N470" i="3" s="1"/>
  <c r="D32" i="3"/>
  <c r="J32" i="3" s="1"/>
  <c r="R32" i="3" s="1"/>
  <c r="D329" i="3"/>
  <c r="J329" i="3" s="1"/>
  <c r="R329" i="3" s="1"/>
  <c r="D233" i="3"/>
  <c r="J233" i="3" s="1"/>
  <c r="R233" i="3" s="1"/>
  <c r="D425" i="3"/>
  <c r="J425" i="3" s="1"/>
  <c r="R425" i="3" s="1"/>
  <c r="E459" i="3"/>
  <c r="F459" i="3" s="1"/>
  <c r="K459" i="3" s="1"/>
  <c r="N459" i="3" s="1"/>
  <c r="D8" i="3"/>
  <c r="D89" i="3"/>
  <c r="J89" i="3" s="1"/>
  <c r="R89" i="3" s="1"/>
  <c r="E21" i="3"/>
  <c r="F21" i="3" s="1"/>
  <c r="K21" i="3" s="1"/>
  <c r="E212" i="3"/>
  <c r="F212" i="3" s="1"/>
  <c r="K212" i="3" s="1"/>
  <c r="N212" i="3" s="1"/>
  <c r="E478" i="3"/>
  <c r="F478" i="3" s="1"/>
  <c r="K478" i="3" s="1"/>
  <c r="N478" i="3" s="1"/>
  <c r="E82" i="3"/>
  <c r="F82" i="3" s="1"/>
  <c r="K82" i="3" s="1"/>
  <c r="L82" i="3" s="1"/>
  <c r="E214" i="3"/>
  <c r="F214" i="3" s="1"/>
  <c r="K214" i="3" s="1"/>
  <c r="L214" i="3" s="1"/>
  <c r="D164" i="3"/>
  <c r="J164" i="3" s="1"/>
  <c r="R164" i="3" s="1"/>
  <c r="D427" i="3"/>
  <c r="J427" i="3" s="1"/>
  <c r="R427" i="3" s="1"/>
  <c r="E197" i="3"/>
  <c r="F197" i="3" s="1"/>
  <c r="K197" i="3" s="1"/>
  <c r="N197" i="3" s="1"/>
  <c r="D159" i="3"/>
  <c r="J159" i="3" s="1"/>
  <c r="R159" i="3" s="1"/>
  <c r="D142" i="3"/>
  <c r="J142" i="3" s="1"/>
  <c r="R142" i="3" s="1"/>
  <c r="E5" i="3"/>
  <c r="F5" i="3" s="1"/>
  <c r="K5" i="3" s="1"/>
  <c r="E98" i="3"/>
  <c r="F98" i="3" s="1"/>
  <c r="K98" i="3" s="1"/>
  <c r="D191" i="3"/>
  <c r="J191" i="3" s="1"/>
  <c r="R191" i="3" s="1"/>
  <c r="E161" i="3"/>
  <c r="F161" i="3" s="1"/>
  <c r="K161" i="3" s="1"/>
  <c r="E194" i="3"/>
  <c r="F194" i="3" s="1"/>
  <c r="K194" i="3" s="1"/>
  <c r="E7" i="3"/>
  <c r="F7" i="3" s="1"/>
  <c r="K7" i="3" s="1"/>
  <c r="E276" i="3"/>
  <c r="F276" i="3" s="1"/>
  <c r="K276" i="3" s="1"/>
  <c r="E415" i="3"/>
  <c r="F415" i="3" s="1"/>
  <c r="K415" i="3" s="1"/>
  <c r="N415" i="3" s="1"/>
  <c r="E255" i="3"/>
  <c r="F255" i="3" s="1"/>
  <c r="K255" i="3" s="1"/>
  <c r="D129" i="3"/>
  <c r="J129" i="3" s="1"/>
  <c r="R129" i="3" s="1"/>
  <c r="D195" i="3"/>
  <c r="J195" i="3" s="1"/>
  <c r="R195" i="3" s="1"/>
  <c r="E447" i="3"/>
  <c r="F447" i="3" s="1"/>
  <c r="K447" i="3" s="1"/>
  <c r="E300" i="3"/>
  <c r="F300" i="3" s="1"/>
  <c r="K300" i="3" s="1"/>
  <c r="N300" i="3" s="1"/>
  <c r="E226" i="3"/>
  <c r="F226" i="3" s="1"/>
  <c r="K226" i="3" s="1"/>
  <c r="N226" i="3" s="1"/>
  <c r="E316" i="3"/>
  <c r="F316" i="3" s="1"/>
  <c r="K316" i="3" s="1"/>
  <c r="D21" i="3"/>
  <c r="J21" i="3" s="1"/>
  <c r="R21" i="3" s="1"/>
  <c r="D74" i="3"/>
  <c r="J74" i="3" s="1"/>
  <c r="R74" i="3" s="1"/>
  <c r="D286" i="3"/>
  <c r="J286" i="3" s="1"/>
  <c r="R286" i="3" s="1"/>
  <c r="E354" i="3"/>
  <c r="F354" i="3" s="1"/>
  <c r="K354" i="3" s="1"/>
  <c r="L354" i="3" s="1"/>
  <c r="D339" i="3"/>
  <c r="J339" i="3" s="1"/>
  <c r="R339" i="3" s="1"/>
  <c r="D131" i="3"/>
  <c r="J131" i="3" s="1"/>
  <c r="R131" i="3" s="1"/>
  <c r="D320" i="3"/>
  <c r="J320" i="3" s="1"/>
  <c r="R320" i="3" s="1"/>
  <c r="D10" i="3"/>
  <c r="J10" i="3" s="1"/>
  <c r="R10" i="3" s="1"/>
  <c r="D356" i="3"/>
  <c r="J356" i="3" s="1"/>
  <c r="R356" i="3" s="1"/>
  <c r="E319" i="3"/>
  <c r="F319" i="3" s="1"/>
  <c r="K319" i="3" s="1"/>
  <c r="L319" i="3" s="1"/>
  <c r="D441" i="3"/>
  <c r="J441" i="3" s="1"/>
  <c r="R441" i="3" s="1"/>
  <c r="E177" i="3"/>
  <c r="F177" i="3" s="1"/>
  <c r="K177" i="3" s="1"/>
  <c r="D211" i="3"/>
  <c r="J211" i="3" s="1"/>
  <c r="R211" i="3" s="1"/>
  <c r="E296" i="3"/>
  <c r="F296" i="3" s="1"/>
  <c r="K296" i="3" s="1"/>
  <c r="E231" i="3"/>
  <c r="F231" i="3" s="1"/>
  <c r="K231" i="3" s="1"/>
  <c r="L231" i="3" s="1"/>
  <c r="E249" i="3"/>
  <c r="F249" i="3" s="1"/>
  <c r="K249" i="3" s="1"/>
  <c r="D188" i="3"/>
  <c r="J188" i="3" s="1"/>
  <c r="R188" i="3" s="1"/>
  <c r="E487" i="3"/>
  <c r="F487" i="3" s="1"/>
  <c r="K487" i="3" s="1"/>
  <c r="L487" i="3" s="1"/>
  <c r="D331" i="3"/>
  <c r="J331" i="3" s="1"/>
  <c r="R331" i="3" s="1"/>
  <c r="D484" i="3"/>
  <c r="J484" i="3" s="1"/>
  <c r="R484" i="3" s="1"/>
  <c r="D452" i="3"/>
  <c r="J452" i="3" s="1"/>
  <c r="R452" i="3" s="1"/>
  <c r="D240" i="3"/>
  <c r="J240" i="3" s="1"/>
  <c r="R240" i="3" s="1"/>
  <c r="E247" i="3"/>
  <c r="F247" i="3" s="1"/>
  <c r="K247" i="3" s="1"/>
  <c r="D75" i="3"/>
  <c r="J75" i="3" s="1"/>
  <c r="R75" i="3" s="1"/>
  <c r="D98" i="3"/>
  <c r="J98" i="3" s="1"/>
  <c r="R98" i="3" s="1"/>
  <c r="D66" i="3"/>
  <c r="J66" i="3" s="1"/>
  <c r="R66" i="3" s="1"/>
  <c r="E160" i="3"/>
  <c r="F160" i="3" s="1"/>
  <c r="K160" i="3" s="1"/>
  <c r="E416" i="3"/>
  <c r="F416" i="3" s="1"/>
  <c r="K416" i="3" s="1"/>
  <c r="E34" i="3"/>
  <c r="F34" i="3" s="1"/>
  <c r="K34" i="3" s="1"/>
  <c r="N34" i="3" s="1"/>
  <c r="D308" i="3"/>
  <c r="J308" i="3" s="1"/>
  <c r="R308" i="3" s="1"/>
  <c r="D3" i="3"/>
  <c r="J3" i="3" s="1"/>
  <c r="R3" i="3" s="1"/>
  <c r="E455" i="3"/>
  <c r="F455" i="3" s="1"/>
  <c r="K455" i="3" s="1"/>
  <c r="N455" i="3" s="1"/>
  <c r="E252" i="3"/>
  <c r="F252" i="3" s="1"/>
  <c r="K252" i="3" s="1"/>
  <c r="D495" i="3"/>
  <c r="J495" i="3" s="1"/>
  <c r="R495" i="3" s="1"/>
  <c r="E220" i="3"/>
  <c r="F220" i="3" s="1"/>
  <c r="K220" i="3" s="1"/>
  <c r="D189" i="3"/>
  <c r="J189" i="3" s="1"/>
  <c r="R189" i="3" s="1"/>
  <c r="E408" i="3"/>
  <c r="F408" i="3" s="1"/>
  <c r="K408" i="3" s="1"/>
  <c r="L408" i="3" s="1"/>
  <c r="D338" i="3"/>
  <c r="J338" i="3" s="1"/>
  <c r="R338" i="3" s="1"/>
  <c r="E119" i="3"/>
  <c r="F119" i="3" s="1"/>
  <c r="K119" i="3" s="1"/>
  <c r="D161" i="3"/>
  <c r="J161" i="3" s="1"/>
  <c r="R161" i="3" s="1"/>
  <c r="D303" i="3"/>
  <c r="J303" i="3" s="1"/>
  <c r="R303" i="3" s="1"/>
  <c r="E491" i="3"/>
  <c r="F491" i="3" s="1"/>
  <c r="K491" i="3" s="1"/>
  <c r="N491" i="3" s="1"/>
  <c r="E406" i="3"/>
  <c r="F406" i="3" s="1"/>
  <c r="K406" i="3" s="1"/>
  <c r="E110" i="3"/>
  <c r="F110" i="3" s="1"/>
  <c r="K110" i="3" s="1"/>
  <c r="D351" i="3"/>
  <c r="J351" i="3" s="1"/>
  <c r="R351" i="3" s="1"/>
  <c r="D325" i="3"/>
  <c r="J325" i="3" s="1"/>
  <c r="R325" i="3" s="1"/>
  <c r="D391" i="3"/>
  <c r="J391" i="3" s="1"/>
  <c r="R391" i="3" s="1"/>
  <c r="D287" i="3"/>
  <c r="J287" i="3" s="1"/>
  <c r="R287" i="3" s="1"/>
  <c r="E234" i="3"/>
  <c r="F234" i="3" s="1"/>
  <c r="K234" i="3" s="1"/>
  <c r="N234" i="3" s="1"/>
  <c r="E46" i="3"/>
  <c r="F46" i="3" s="1"/>
  <c r="K46" i="3" s="1"/>
  <c r="D176" i="3"/>
  <c r="J176" i="3" s="1"/>
  <c r="R176" i="3" s="1"/>
  <c r="E379" i="3"/>
  <c r="F379" i="3" s="1"/>
  <c r="K379" i="3" s="1"/>
  <c r="D474" i="3"/>
  <c r="J474" i="3" s="1"/>
  <c r="R474" i="3" s="1"/>
  <c r="E211" i="3"/>
  <c r="F211" i="3" s="1"/>
  <c r="K211" i="3" s="1"/>
  <c r="E473" i="3"/>
  <c r="F473" i="3" s="1"/>
  <c r="K473" i="3" s="1"/>
  <c r="E146" i="3"/>
  <c r="F146" i="3" s="1"/>
  <c r="K146" i="3" s="1"/>
  <c r="D99" i="3"/>
  <c r="J99" i="3" s="1"/>
  <c r="R99" i="3" s="1"/>
  <c r="E452" i="3"/>
  <c r="F452" i="3" s="1"/>
  <c r="K452" i="3" s="1"/>
  <c r="E435" i="3"/>
  <c r="F435" i="3" s="1"/>
  <c r="K435" i="3" s="1"/>
  <c r="E218" i="3"/>
  <c r="F218" i="3" s="1"/>
  <c r="K218" i="3" s="1"/>
  <c r="E17" i="3"/>
  <c r="F17" i="3" s="1"/>
  <c r="K17" i="3" s="1"/>
  <c r="D496" i="3"/>
  <c r="J496" i="3" s="1"/>
  <c r="R496" i="3" s="1"/>
  <c r="E113" i="3"/>
  <c r="F113" i="3" s="1"/>
  <c r="K113" i="3" s="1"/>
  <c r="E238" i="3"/>
  <c r="F238" i="3" s="1"/>
  <c r="K238" i="3" s="1"/>
  <c r="L238" i="3" s="1"/>
  <c r="E430" i="3"/>
  <c r="F430" i="3" s="1"/>
  <c r="K430" i="3" s="1"/>
  <c r="D293" i="3"/>
  <c r="J293" i="3" s="1"/>
  <c r="R293" i="3" s="1"/>
  <c r="E282" i="3"/>
  <c r="F282" i="3" s="1"/>
  <c r="K282" i="3" s="1"/>
  <c r="L282" i="3" s="1"/>
  <c r="E124" i="3"/>
  <c r="F124" i="3" s="1"/>
  <c r="K124" i="3" s="1"/>
  <c r="D365" i="3"/>
  <c r="J365" i="3" s="1"/>
  <c r="R365" i="3" s="1"/>
  <c r="E131" i="3"/>
  <c r="F131" i="3" s="1"/>
  <c r="K131" i="3" s="1"/>
  <c r="D77" i="3"/>
  <c r="J77" i="3" s="1"/>
  <c r="R77" i="3" s="1"/>
  <c r="D63" i="3"/>
  <c r="J63" i="3" s="1"/>
  <c r="R63" i="3" s="1"/>
  <c r="E150" i="3"/>
  <c r="F150" i="3" s="1"/>
  <c r="K150" i="3" s="1"/>
  <c r="D374" i="3"/>
  <c r="J374" i="3" s="1"/>
  <c r="R374" i="3" s="1"/>
  <c r="E371" i="3"/>
  <c r="F371" i="3" s="1"/>
  <c r="K371" i="3" s="1"/>
  <c r="N371" i="3" s="1"/>
  <c r="E318" i="3"/>
  <c r="F318" i="3" s="1"/>
  <c r="K318" i="3" s="1"/>
  <c r="D205" i="3"/>
  <c r="J205" i="3" s="1"/>
  <c r="R205" i="3" s="1"/>
  <c r="E301" i="3"/>
  <c r="F301" i="3" s="1"/>
  <c r="K301" i="3" s="1"/>
  <c r="D312" i="3"/>
  <c r="J312" i="3" s="1"/>
  <c r="R312" i="3" s="1"/>
  <c r="D319" i="3"/>
  <c r="J319" i="3" s="1"/>
  <c r="R319" i="3" s="1"/>
  <c r="D165" i="3"/>
  <c r="J165" i="3" s="1"/>
  <c r="R165" i="3" s="1"/>
  <c r="D311" i="3"/>
  <c r="J311" i="3" s="1"/>
  <c r="R311" i="3" s="1"/>
  <c r="D134" i="3"/>
  <c r="J134" i="3" s="1"/>
  <c r="R134" i="3" s="1"/>
  <c r="E475" i="3"/>
  <c r="F475" i="3" s="1"/>
  <c r="K475" i="3" s="1"/>
  <c r="E426" i="3"/>
  <c r="F426" i="3" s="1"/>
  <c r="K426" i="3" s="1"/>
  <c r="E28" i="3"/>
  <c r="F28" i="3" s="1"/>
  <c r="K28" i="3" s="1"/>
  <c r="D373" i="3"/>
  <c r="J373" i="3" s="1"/>
  <c r="R373" i="3" s="1"/>
  <c r="D430" i="3"/>
  <c r="J430" i="3" s="1"/>
  <c r="R430" i="3" s="1"/>
  <c r="E274" i="3"/>
  <c r="F274" i="3" s="1"/>
  <c r="K274" i="3" s="1"/>
  <c r="D280" i="3"/>
  <c r="J280" i="3" s="1"/>
  <c r="R280" i="3" s="1"/>
  <c r="E130" i="3"/>
  <c r="F130" i="3" s="1"/>
  <c r="K130" i="3" s="1"/>
  <c r="L130" i="3" s="1"/>
  <c r="D450" i="3"/>
  <c r="J450" i="3" s="1"/>
  <c r="R450" i="3" s="1"/>
  <c r="D482" i="3"/>
  <c r="J482" i="3" s="1"/>
  <c r="R482" i="3" s="1"/>
  <c r="E109" i="3"/>
  <c r="F109" i="3" s="1"/>
  <c r="K109" i="3" s="1"/>
  <c r="N109" i="3" s="1"/>
  <c r="E87" i="3"/>
  <c r="F87" i="3" s="1"/>
  <c r="K87" i="3" s="1"/>
  <c r="N87" i="3" s="1"/>
  <c r="E263" i="3"/>
  <c r="F263" i="3" s="1"/>
  <c r="K263" i="3" s="1"/>
  <c r="E317" i="3"/>
  <c r="F317" i="3" s="1"/>
  <c r="K317" i="3" s="1"/>
  <c r="E297" i="3"/>
  <c r="F297" i="3" s="1"/>
  <c r="K297" i="3" s="1"/>
  <c r="L297" i="3" s="1"/>
  <c r="D58" i="3"/>
  <c r="J58" i="3" s="1"/>
  <c r="R58" i="3" s="1"/>
  <c r="D453" i="3"/>
  <c r="J453" i="3" s="1"/>
  <c r="R453" i="3" s="1"/>
  <c r="D73" i="3"/>
  <c r="J73" i="3" s="1"/>
  <c r="R73" i="3" s="1"/>
  <c r="D487" i="3"/>
  <c r="J487" i="3" s="1"/>
  <c r="R487" i="3" s="1"/>
  <c r="D101" i="3"/>
  <c r="J101" i="3" s="1"/>
  <c r="R101" i="3" s="1"/>
  <c r="E77" i="3"/>
  <c r="F77" i="3" s="1"/>
  <c r="K77" i="3" s="1"/>
  <c r="N77" i="3" s="1"/>
  <c r="D276" i="3"/>
  <c r="J276" i="3" s="1"/>
  <c r="R276" i="3" s="1"/>
  <c r="D360" i="3"/>
  <c r="J360" i="3" s="1"/>
  <c r="R360" i="3" s="1"/>
  <c r="E59" i="3"/>
  <c r="F59" i="3" s="1"/>
  <c r="K59" i="3" s="1"/>
  <c r="D67" i="3"/>
  <c r="J67" i="3" s="1"/>
  <c r="R67" i="3" s="1"/>
  <c r="E37" i="3"/>
  <c r="F37" i="3" s="1"/>
  <c r="K37" i="3" s="1"/>
  <c r="L37" i="3" s="1"/>
  <c r="E469" i="3"/>
  <c r="F469" i="3" s="1"/>
  <c r="K469" i="3" s="1"/>
  <c r="E440" i="3"/>
  <c r="F440" i="3" s="1"/>
  <c r="K440" i="3" s="1"/>
  <c r="E356" i="3"/>
  <c r="F356" i="3" s="1"/>
  <c r="K356" i="3" s="1"/>
  <c r="E136" i="3"/>
  <c r="F136" i="3" s="1"/>
  <c r="K136" i="3" s="1"/>
  <c r="E45" i="3"/>
  <c r="F45" i="3" s="1"/>
  <c r="K45" i="3" s="1"/>
  <c r="N45" i="3" s="1"/>
  <c r="E303" i="3"/>
  <c r="F303" i="3" s="1"/>
  <c r="K303" i="3" s="1"/>
  <c r="E383" i="3"/>
  <c r="F383" i="3" s="1"/>
  <c r="K383" i="3" s="1"/>
  <c r="D182" i="3"/>
  <c r="J182" i="3" s="1"/>
  <c r="R182" i="3" s="1"/>
  <c r="E154" i="3"/>
  <c r="F154" i="3" s="1"/>
  <c r="K154" i="3" s="1"/>
  <c r="D43" i="3"/>
  <c r="J43" i="3" s="1"/>
  <c r="R43" i="3" s="1"/>
  <c r="E389" i="3"/>
  <c r="F389" i="3" s="1"/>
  <c r="K389" i="3" s="1"/>
  <c r="D49" i="3"/>
  <c r="J49" i="3" s="1"/>
  <c r="R49" i="3" s="1"/>
  <c r="D396" i="3"/>
  <c r="J396" i="3" s="1"/>
  <c r="R396" i="3" s="1"/>
  <c r="E69" i="3"/>
  <c r="F69" i="3" s="1"/>
  <c r="K69" i="3" s="1"/>
  <c r="E134" i="3"/>
  <c r="F134" i="3" s="1"/>
  <c r="K134" i="3" s="1"/>
  <c r="D115" i="3"/>
  <c r="J115" i="3" s="1"/>
  <c r="R115" i="3" s="1"/>
  <c r="E203" i="3"/>
  <c r="F203" i="3" s="1"/>
  <c r="K203" i="3" s="1"/>
  <c r="D193" i="3"/>
  <c r="J193" i="3" s="1"/>
  <c r="R193" i="3" s="1"/>
  <c r="D384" i="3"/>
  <c r="J384" i="3" s="1"/>
  <c r="R384" i="3" s="1"/>
  <c r="E291" i="3"/>
  <c r="F291" i="3" s="1"/>
  <c r="K291" i="3" s="1"/>
  <c r="E365" i="3"/>
  <c r="F365" i="3" s="1"/>
  <c r="K365" i="3" s="1"/>
  <c r="E386" i="3"/>
  <c r="F386" i="3" s="1"/>
  <c r="K386" i="3" s="1"/>
  <c r="D402" i="3"/>
  <c r="J402" i="3" s="1"/>
  <c r="R402" i="3" s="1"/>
  <c r="E102" i="3"/>
  <c r="F102" i="3" s="1"/>
  <c r="K102" i="3" s="1"/>
  <c r="L102" i="3" s="1"/>
  <c r="D206" i="3"/>
  <c r="J206" i="3" s="1"/>
  <c r="R206" i="3" s="1"/>
  <c r="D236" i="3"/>
  <c r="J236" i="3" s="1"/>
  <c r="R236" i="3" s="1"/>
  <c r="D152" i="3"/>
  <c r="J152" i="3" s="1"/>
  <c r="R152" i="3" s="1"/>
  <c r="E129" i="3"/>
  <c r="F129" i="3" s="1"/>
  <c r="K129" i="3" s="1"/>
  <c r="E105" i="3"/>
  <c r="F105" i="3" s="1"/>
  <c r="K105" i="3" s="1"/>
  <c r="N105" i="3" s="1"/>
  <c r="E337" i="3"/>
  <c r="F337" i="3" s="1"/>
  <c r="K337" i="3" s="1"/>
  <c r="D87" i="3"/>
  <c r="J87" i="3" s="1"/>
  <c r="R87" i="3" s="1"/>
  <c r="D486" i="3"/>
  <c r="J486" i="3" s="1"/>
  <c r="R486" i="3" s="1"/>
  <c r="D27" i="3"/>
  <c r="J27" i="3" s="1"/>
  <c r="R27" i="3" s="1"/>
  <c r="D25" i="3"/>
  <c r="J25" i="3" s="1"/>
  <c r="R25" i="3" s="1"/>
  <c r="E64" i="3"/>
  <c r="F64" i="3" s="1"/>
  <c r="K64" i="3" s="1"/>
  <c r="E407" i="3"/>
  <c r="F407" i="3" s="1"/>
  <c r="K407" i="3" s="1"/>
  <c r="L407" i="3" s="1"/>
  <c r="E14" i="3"/>
  <c r="F14" i="3" s="1"/>
  <c r="K14" i="3" s="1"/>
  <c r="L14" i="3" s="1"/>
  <c r="D254" i="3"/>
  <c r="J254" i="3" s="1"/>
  <c r="R254" i="3" s="1"/>
  <c r="E328" i="3"/>
  <c r="F328" i="3" s="1"/>
  <c r="K328" i="3" s="1"/>
  <c r="L328" i="3" s="1"/>
  <c r="D249" i="3"/>
  <c r="J249" i="3" s="1"/>
  <c r="R249" i="3" s="1"/>
  <c r="E320" i="3"/>
  <c r="F320" i="3" s="1"/>
  <c r="K320" i="3" s="1"/>
  <c r="L320" i="3" s="1"/>
  <c r="E56" i="3"/>
  <c r="F56" i="3" s="1"/>
  <c r="K56" i="3" s="1"/>
  <c r="E264" i="3"/>
  <c r="F264" i="3" s="1"/>
  <c r="K264" i="3" s="1"/>
  <c r="E4" i="3"/>
  <c r="F4" i="3" s="1"/>
  <c r="K4" i="3" s="1"/>
  <c r="L4" i="3" s="1"/>
  <c r="E449" i="3"/>
  <c r="F449" i="3" s="1"/>
  <c r="K449" i="3" s="1"/>
  <c r="N449" i="3" s="1"/>
  <c r="D81" i="3"/>
  <c r="J81" i="3" s="1"/>
  <c r="R81" i="3" s="1"/>
  <c r="E302" i="3"/>
  <c r="F302" i="3" s="1"/>
  <c r="K302" i="3" s="1"/>
  <c r="N302" i="3" s="1"/>
  <c r="D93" i="3"/>
  <c r="J93" i="3" s="1"/>
  <c r="R93" i="3" s="1"/>
  <c r="E400" i="3"/>
  <c r="F400" i="3" s="1"/>
  <c r="K400" i="3" s="1"/>
  <c r="D263" i="3"/>
  <c r="J263" i="3" s="1"/>
  <c r="R263" i="3" s="1"/>
  <c r="E410" i="3"/>
  <c r="F410" i="3" s="1"/>
  <c r="K410" i="3" s="1"/>
  <c r="E490" i="3"/>
  <c r="F490" i="3" s="1"/>
  <c r="K490" i="3" s="1"/>
  <c r="E50" i="3"/>
  <c r="F50" i="3" s="1"/>
  <c r="K50" i="3" s="1"/>
  <c r="D455" i="3"/>
  <c r="J455" i="3" s="1"/>
  <c r="R455" i="3" s="1"/>
  <c r="E329" i="3"/>
  <c r="F329" i="3" s="1"/>
  <c r="K329" i="3" s="1"/>
  <c r="D393" i="3"/>
  <c r="J393" i="3" s="1"/>
  <c r="R393" i="3" s="1"/>
  <c r="E139" i="3"/>
  <c r="F139" i="3" s="1"/>
  <c r="K139" i="3" s="1"/>
  <c r="E253" i="3"/>
  <c r="F253" i="3" s="1"/>
  <c r="K253" i="3" s="1"/>
  <c r="L253" i="3" s="1"/>
  <c r="D17" i="3"/>
  <c r="J17" i="3" s="1"/>
  <c r="R17" i="3" s="1"/>
  <c r="D199" i="3"/>
  <c r="J199" i="3" s="1"/>
  <c r="R199" i="3" s="1"/>
  <c r="D378" i="3"/>
  <c r="J378" i="3" s="1"/>
  <c r="R378" i="3" s="1"/>
  <c r="E142" i="3"/>
  <c r="F142" i="3" s="1"/>
  <c r="K142" i="3" s="1"/>
  <c r="N142" i="3" s="1"/>
  <c r="E8" i="3"/>
  <c r="F8" i="3" s="1"/>
  <c r="E405" i="3"/>
  <c r="F405" i="3" s="1"/>
  <c r="K405" i="3" s="1"/>
  <c r="D262" i="3"/>
  <c r="J262" i="3" s="1"/>
  <c r="R262" i="3" s="1"/>
  <c r="E399" i="3"/>
  <c r="F399" i="3" s="1"/>
  <c r="K399" i="3" s="1"/>
  <c r="D350" i="3"/>
  <c r="J350" i="3" s="1"/>
  <c r="R350" i="3" s="1"/>
  <c r="D432" i="3"/>
  <c r="J432" i="3" s="1"/>
  <c r="R432" i="3" s="1"/>
  <c r="E310" i="3"/>
  <c r="F310" i="3" s="1"/>
  <c r="K310" i="3" s="1"/>
  <c r="D440" i="3"/>
  <c r="J440" i="3" s="1"/>
  <c r="R440" i="3" s="1"/>
  <c r="D403" i="3"/>
  <c r="J403" i="3" s="1"/>
  <c r="R403" i="3" s="1"/>
  <c r="E40" i="3"/>
  <c r="F40" i="3" s="1"/>
  <c r="K40" i="3" s="1"/>
  <c r="D389" i="3"/>
  <c r="J389" i="3" s="1"/>
  <c r="R389" i="3" s="1"/>
  <c r="E434" i="3"/>
  <c r="F434" i="3" s="1"/>
  <c r="K434" i="3" s="1"/>
  <c r="D197" i="3"/>
  <c r="J197" i="3" s="1"/>
  <c r="R197" i="3" s="1"/>
  <c r="E357" i="3"/>
  <c r="F357" i="3" s="1"/>
  <c r="K357" i="3" s="1"/>
  <c r="D39" i="3"/>
  <c r="J39" i="3" s="1"/>
  <c r="R39" i="3" s="1"/>
  <c r="D259" i="3"/>
  <c r="J259" i="3" s="1"/>
  <c r="R259" i="3" s="1"/>
  <c r="E90" i="3"/>
  <c r="F90" i="3" s="1"/>
  <c r="K90" i="3" s="1"/>
  <c r="D435" i="3"/>
  <c r="J435" i="3" s="1"/>
  <c r="R435" i="3" s="1"/>
  <c r="D198" i="3"/>
  <c r="J198" i="3" s="1"/>
  <c r="R198" i="3" s="1"/>
  <c r="E2" i="3"/>
  <c r="F2" i="3" s="1"/>
  <c r="K2" i="3" s="1"/>
  <c r="N2" i="3" s="1"/>
  <c r="D424" i="3"/>
  <c r="J424" i="3" s="1"/>
  <c r="R424" i="3" s="1"/>
  <c r="E271" i="3"/>
  <c r="F271" i="3" s="1"/>
  <c r="K271" i="3" s="1"/>
  <c r="L271" i="3" s="1"/>
  <c r="D470" i="3"/>
  <c r="J470" i="3" s="1"/>
  <c r="R470" i="3" s="1"/>
  <c r="E372" i="3"/>
  <c r="F372" i="3" s="1"/>
  <c r="K372" i="3" s="1"/>
  <c r="N372" i="3" s="1"/>
  <c r="D33" i="3"/>
  <c r="J33" i="3" s="1"/>
  <c r="R33" i="3" s="1"/>
  <c r="E67" i="3"/>
  <c r="F67" i="3" s="1"/>
  <c r="K67" i="3" s="1"/>
  <c r="N67" i="3" s="1"/>
  <c r="E411" i="3"/>
  <c r="F411" i="3" s="1"/>
  <c r="K411" i="3" s="1"/>
  <c r="D108" i="3"/>
  <c r="J108" i="3" s="1"/>
  <c r="R108" i="3" s="1"/>
  <c r="E12" i="3"/>
  <c r="F12" i="3" s="1"/>
  <c r="K12" i="3" s="1"/>
  <c r="D243" i="3"/>
  <c r="J243" i="3" s="1"/>
  <c r="R243" i="3" s="1"/>
  <c r="E192" i="3"/>
  <c r="F192" i="3" s="1"/>
  <c r="K192" i="3" s="1"/>
  <c r="L192" i="3" s="1"/>
  <c r="D313" i="3"/>
  <c r="J313" i="3" s="1"/>
  <c r="R313" i="3" s="1"/>
  <c r="D289" i="3"/>
  <c r="J289" i="3" s="1"/>
  <c r="R289" i="3" s="1"/>
  <c r="D228" i="3"/>
  <c r="J228" i="3" s="1"/>
  <c r="R228" i="3" s="1"/>
  <c r="E349" i="3"/>
  <c r="F349" i="3" s="1"/>
  <c r="K349" i="3" s="1"/>
  <c r="E147" i="3"/>
  <c r="F147" i="3" s="1"/>
  <c r="K147" i="3" s="1"/>
  <c r="E275" i="3"/>
  <c r="F275" i="3" s="1"/>
  <c r="K275" i="3" s="1"/>
  <c r="E325" i="3"/>
  <c r="F325" i="3" s="1"/>
  <c r="K325" i="3" s="1"/>
  <c r="N325" i="3" s="1"/>
  <c r="E144" i="3"/>
  <c r="F144" i="3" s="1"/>
  <c r="K144" i="3" s="1"/>
  <c r="D231" i="3"/>
  <c r="J231" i="3" s="1"/>
  <c r="R231" i="3" s="1"/>
  <c r="E85" i="3"/>
  <c r="F85" i="3" s="1"/>
  <c r="K85" i="3" s="1"/>
  <c r="E401" i="3"/>
  <c r="F401" i="3" s="1"/>
  <c r="K401" i="3" s="1"/>
  <c r="N401" i="3" s="1"/>
  <c r="D291" i="3"/>
  <c r="J291" i="3" s="1"/>
  <c r="R291" i="3" s="1"/>
  <c r="E385" i="3"/>
  <c r="F385" i="3" s="1"/>
  <c r="K385" i="3" s="1"/>
  <c r="E439" i="3"/>
  <c r="F439" i="3" s="1"/>
  <c r="K439" i="3" s="1"/>
  <c r="E25" i="3"/>
  <c r="F25" i="3" s="1"/>
  <c r="K25" i="3" s="1"/>
  <c r="D451" i="3"/>
  <c r="J451" i="3" s="1"/>
  <c r="R451" i="3" s="1"/>
  <c r="E454" i="3"/>
  <c r="F454" i="3" s="1"/>
  <c r="K454" i="3" s="1"/>
  <c r="D229" i="3"/>
  <c r="J229" i="3" s="1"/>
  <c r="R229" i="3" s="1"/>
  <c r="D282" i="3"/>
  <c r="J282" i="3" s="1"/>
  <c r="R282" i="3" s="1"/>
  <c r="D83" i="3"/>
  <c r="J83" i="3" s="1"/>
  <c r="R83" i="3" s="1"/>
  <c r="D232" i="3"/>
  <c r="J232" i="3" s="1"/>
  <c r="R232" i="3" s="1"/>
  <c r="E193" i="3"/>
  <c r="F193" i="3" s="1"/>
  <c r="K193" i="3" s="1"/>
  <c r="E38" i="3"/>
  <c r="F38" i="3" s="1"/>
  <c r="K38" i="3" s="1"/>
  <c r="D497" i="3"/>
  <c r="J497" i="3" s="1"/>
  <c r="R497" i="3" s="1"/>
  <c r="E44" i="3"/>
  <c r="F44" i="3" s="1"/>
  <c r="K44" i="3" s="1"/>
  <c r="N44" i="3" s="1"/>
  <c r="D416" i="3"/>
  <c r="J416" i="3" s="1"/>
  <c r="R416" i="3" s="1"/>
  <c r="D23" i="3"/>
  <c r="J23" i="3" s="1"/>
  <c r="R23" i="3" s="1"/>
  <c r="E344" i="3"/>
  <c r="F344" i="3" s="1"/>
  <c r="K344" i="3" s="1"/>
  <c r="E103" i="3"/>
  <c r="F103" i="3" s="1"/>
  <c r="K103" i="3" s="1"/>
  <c r="L103" i="3" s="1"/>
  <c r="E457" i="3"/>
  <c r="F457" i="3" s="1"/>
  <c r="K457" i="3" s="1"/>
  <c r="N457" i="3" s="1"/>
  <c r="E295" i="3"/>
  <c r="F295" i="3" s="1"/>
  <c r="K295" i="3" s="1"/>
  <c r="N295" i="3" s="1"/>
  <c r="D78" i="3"/>
  <c r="J78" i="3" s="1"/>
  <c r="R78" i="3" s="1"/>
  <c r="E236" i="3"/>
  <c r="F236" i="3" s="1"/>
  <c r="K236" i="3" s="1"/>
  <c r="N236" i="3" s="1"/>
  <c r="D417" i="3"/>
  <c r="J417" i="3" s="1"/>
  <c r="R417" i="3" s="1"/>
  <c r="D310" i="3"/>
  <c r="J310" i="3" s="1"/>
  <c r="R310" i="3" s="1"/>
  <c r="E339" i="3"/>
  <c r="F339" i="3" s="1"/>
  <c r="K339" i="3" s="1"/>
  <c r="D16" i="3"/>
  <c r="J16" i="3" s="1"/>
  <c r="R16" i="3" s="1"/>
  <c r="D323" i="3"/>
  <c r="J323" i="3" s="1"/>
  <c r="R323" i="3" s="1"/>
  <c r="E159" i="3"/>
  <c r="F159" i="3" s="1"/>
  <c r="K159" i="3" s="1"/>
  <c r="E398" i="3"/>
  <c r="F398" i="3" s="1"/>
  <c r="K398" i="3" s="1"/>
  <c r="L398" i="3" s="1"/>
  <c r="D266" i="3"/>
  <c r="J266" i="3" s="1"/>
  <c r="R266" i="3" s="1"/>
  <c r="D364" i="3"/>
  <c r="J364" i="3" s="1"/>
  <c r="R364" i="3" s="1"/>
  <c r="E343" i="3"/>
  <c r="F343" i="3" s="1"/>
  <c r="K343" i="3" s="1"/>
  <c r="D261" i="3"/>
  <c r="J261" i="3" s="1"/>
  <c r="R261" i="3" s="1"/>
  <c r="D400" i="3"/>
  <c r="J400" i="3" s="1"/>
  <c r="R400" i="3" s="1"/>
  <c r="E311" i="3"/>
  <c r="F311" i="3" s="1"/>
  <c r="K311" i="3" s="1"/>
  <c r="N311" i="3" s="1"/>
  <c r="E444" i="3"/>
  <c r="F444" i="3" s="1"/>
  <c r="K444" i="3" s="1"/>
  <c r="E240" i="3"/>
  <c r="F240" i="3" s="1"/>
  <c r="K240" i="3" s="1"/>
  <c r="L240" i="3" s="1"/>
  <c r="E348" i="3"/>
  <c r="F348" i="3" s="1"/>
  <c r="K348" i="3" s="1"/>
  <c r="L348" i="3" s="1"/>
  <c r="E181" i="3"/>
  <c r="F181" i="3" s="1"/>
  <c r="K181" i="3" s="1"/>
  <c r="D300" i="3"/>
  <c r="J300" i="3" s="1"/>
  <c r="R300" i="3" s="1"/>
  <c r="E309" i="3"/>
  <c r="F309" i="3" s="1"/>
  <c r="K309" i="3" s="1"/>
  <c r="L309" i="3" s="1"/>
  <c r="E307" i="3"/>
  <c r="F307" i="3" s="1"/>
  <c r="K307" i="3" s="1"/>
  <c r="E335" i="3"/>
  <c r="F335" i="3" s="1"/>
  <c r="K335" i="3" s="1"/>
  <c r="D166" i="3"/>
  <c r="J166" i="3" s="1"/>
  <c r="R166" i="3" s="1"/>
  <c r="D321" i="3"/>
  <c r="J321" i="3" s="1"/>
  <c r="R321" i="3" s="1"/>
  <c r="D445" i="3"/>
  <c r="J445" i="3" s="1"/>
  <c r="R445" i="3" s="1"/>
  <c r="E500" i="3"/>
  <c r="F500" i="3" s="1"/>
  <c r="K500" i="3" s="1"/>
  <c r="N500" i="3" s="1"/>
  <c r="D494" i="3"/>
  <c r="J494" i="3" s="1"/>
  <c r="R494" i="3" s="1"/>
  <c r="D224" i="3"/>
  <c r="J224" i="3" s="1"/>
  <c r="R224" i="3" s="1"/>
  <c r="D248" i="3"/>
  <c r="J248" i="3" s="1"/>
  <c r="R248" i="3" s="1"/>
  <c r="D214" i="3"/>
  <c r="J214" i="3" s="1"/>
  <c r="R214" i="3" s="1"/>
  <c r="E204" i="3"/>
  <c r="F204" i="3" s="1"/>
  <c r="K204" i="3" s="1"/>
  <c r="E358" i="3"/>
  <c r="F358" i="3" s="1"/>
  <c r="K358" i="3" s="1"/>
  <c r="L358" i="3" s="1"/>
  <c r="E158" i="3"/>
  <c r="F158" i="3" s="1"/>
  <c r="K158" i="3" s="1"/>
  <c r="E202" i="3"/>
  <c r="F202" i="3" s="1"/>
  <c r="K202" i="3" s="1"/>
  <c r="D190" i="3"/>
  <c r="J190" i="3" s="1"/>
  <c r="R190" i="3" s="1"/>
  <c r="D109" i="3"/>
  <c r="J109" i="3" s="1"/>
  <c r="R109" i="3" s="1"/>
  <c r="D35" i="3"/>
  <c r="J35" i="3" s="1"/>
  <c r="R35" i="3" s="1"/>
  <c r="D318" i="3"/>
  <c r="J318" i="3" s="1"/>
  <c r="R318" i="3" s="1"/>
  <c r="D428" i="3"/>
  <c r="J428" i="3" s="1"/>
  <c r="R428" i="3" s="1"/>
  <c r="D203" i="3"/>
  <c r="J203" i="3" s="1"/>
  <c r="R203" i="3" s="1"/>
  <c r="E75" i="3"/>
  <c r="F75" i="3" s="1"/>
  <c r="K75" i="3" s="1"/>
  <c r="N75" i="3" s="1"/>
  <c r="D241" i="3"/>
  <c r="J241" i="3" s="1"/>
  <c r="R241" i="3" s="1"/>
  <c r="E241" i="3"/>
  <c r="F241" i="3" s="1"/>
  <c r="K241" i="3" s="1"/>
  <c r="N241" i="3" s="1"/>
  <c r="D278" i="3"/>
  <c r="J278" i="3" s="1"/>
  <c r="R278" i="3" s="1"/>
  <c r="D121" i="3"/>
  <c r="J121" i="3" s="1"/>
  <c r="R121" i="3" s="1"/>
  <c r="E151" i="3"/>
  <c r="F151" i="3" s="1"/>
  <c r="K151" i="3" s="1"/>
  <c r="E425" i="3"/>
  <c r="F425" i="3" s="1"/>
  <c r="K425" i="3" s="1"/>
  <c r="D136" i="3"/>
  <c r="J136" i="3" s="1"/>
  <c r="R136" i="3" s="1"/>
  <c r="E420" i="3"/>
  <c r="F420" i="3" s="1"/>
  <c r="K420" i="3" s="1"/>
  <c r="E163" i="3"/>
  <c r="F163" i="3" s="1"/>
  <c r="K163" i="3" s="1"/>
  <c r="D119" i="3"/>
  <c r="J119" i="3" s="1"/>
  <c r="R119" i="3" s="1"/>
  <c r="E397" i="3"/>
  <c r="F397" i="3" s="1"/>
  <c r="K397" i="3" s="1"/>
  <c r="E288" i="3"/>
  <c r="F288" i="3" s="1"/>
  <c r="K288" i="3" s="1"/>
  <c r="D143" i="3"/>
  <c r="J143" i="3" s="1"/>
  <c r="R143" i="3" s="1"/>
  <c r="D411" i="3"/>
  <c r="J411" i="3" s="1"/>
  <c r="R411" i="3" s="1"/>
  <c r="D218" i="3"/>
  <c r="J218" i="3" s="1"/>
  <c r="R218" i="3" s="1"/>
  <c r="E200" i="3"/>
  <c r="F200" i="3" s="1"/>
  <c r="K200" i="3" s="1"/>
  <c r="L200" i="3" s="1"/>
  <c r="E431" i="3"/>
  <c r="F431" i="3" s="1"/>
  <c r="K431" i="3" s="1"/>
  <c r="L431" i="3" s="1"/>
  <c r="E112" i="3"/>
  <c r="F112" i="3" s="1"/>
  <c r="K112" i="3" s="1"/>
  <c r="E244" i="3"/>
  <c r="F244" i="3" s="1"/>
  <c r="K244" i="3" s="1"/>
  <c r="D7" i="3"/>
  <c r="J7" i="3" s="1"/>
  <c r="R7" i="3" s="1"/>
  <c r="D62" i="3"/>
  <c r="J62" i="3" s="1"/>
  <c r="R62" i="3" s="1"/>
  <c r="E441" i="3"/>
  <c r="F441" i="3" s="1"/>
  <c r="K441" i="3" s="1"/>
  <c r="D138" i="3"/>
  <c r="J138" i="3" s="1"/>
  <c r="R138" i="3" s="1"/>
  <c r="E164" i="3"/>
  <c r="F164" i="3" s="1"/>
  <c r="K164" i="3" s="1"/>
  <c r="L164" i="3" s="1"/>
  <c r="D399" i="3"/>
  <c r="J399" i="3" s="1"/>
  <c r="R399" i="3" s="1"/>
  <c r="D157" i="3"/>
  <c r="J157" i="3" s="1"/>
  <c r="R157" i="3" s="1"/>
  <c r="D390" i="3"/>
  <c r="J390" i="3" s="1"/>
  <c r="R390" i="3" s="1"/>
  <c r="E168" i="3"/>
  <c r="F168" i="3" s="1"/>
  <c r="K168" i="3" s="1"/>
  <c r="D163" i="3"/>
  <c r="J163" i="3" s="1"/>
  <c r="R163" i="3" s="1"/>
  <c r="D45" i="3"/>
  <c r="J45" i="3" s="1"/>
  <c r="R45" i="3" s="1"/>
  <c r="E26" i="3"/>
  <c r="F26" i="3" s="1"/>
  <c r="K26" i="3" s="1"/>
  <c r="N26" i="3" s="1"/>
  <c r="D212" i="3"/>
  <c r="J212" i="3" s="1"/>
  <c r="R212" i="3" s="1"/>
  <c r="E61" i="3"/>
  <c r="F61" i="3" s="1"/>
  <c r="K61" i="3" s="1"/>
  <c r="E428" i="3"/>
  <c r="F428" i="3" s="1"/>
  <c r="K428" i="3" s="1"/>
  <c r="L428" i="3" s="1"/>
  <c r="E402" i="3"/>
  <c r="F402" i="3" s="1"/>
  <c r="K402" i="3" s="1"/>
  <c r="L402" i="3" s="1"/>
  <c r="E184" i="3"/>
  <c r="F184" i="3" s="1"/>
  <c r="K184" i="3" s="1"/>
  <c r="L184" i="3" s="1"/>
  <c r="D346" i="3"/>
  <c r="J346" i="3" s="1"/>
  <c r="R346" i="3" s="1"/>
  <c r="D394" i="3"/>
  <c r="J394" i="3" s="1"/>
  <c r="R394" i="3" s="1"/>
  <c r="E223" i="3"/>
  <c r="F223" i="3" s="1"/>
  <c r="K223" i="3" s="1"/>
  <c r="E76" i="3"/>
  <c r="F76" i="3" s="1"/>
  <c r="K76" i="3" s="1"/>
  <c r="L76" i="3" s="1"/>
  <c r="D226" i="3"/>
  <c r="J226" i="3" s="1"/>
  <c r="R226" i="3" s="1"/>
  <c r="E126" i="3"/>
  <c r="F126" i="3" s="1"/>
  <c r="K126" i="3" s="1"/>
  <c r="D170" i="3"/>
  <c r="J170" i="3" s="1"/>
  <c r="R170" i="3" s="1"/>
  <c r="D38" i="3"/>
  <c r="J38" i="3" s="1"/>
  <c r="R38" i="3" s="1"/>
  <c r="D162" i="3"/>
  <c r="J162" i="3" s="1"/>
  <c r="R162" i="3" s="1"/>
  <c r="E156" i="3"/>
  <c r="F156" i="3" s="1"/>
  <c r="K156" i="3" s="1"/>
  <c r="E370" i="3"/>
  <c r="F370" i="3" s="1"/>
  <c r="K370" i="3" s="1"/>
  <c r="E63" i="3"/>
  <c r="F63" i="3" s="1"/>
  <c r="K63" i="3" s="1"/>
  <c r="D173" i="3"/>
  <c r="J173" i="3" s="1"/>
  <c r="R173" i="3" s="1"/>
  <c r="D407" i="3"/>
  <c r="J407" i="3" s="1"/>
  <c r="E81" i="3"/>
  <c r="F81" i="3" s="1"/>
  <c r="K81" i="3" s="1"/>
  <c r="D145" i="3"/>
  <c r="J145" i="3" s="1"/>
  <c r="R145" i="3" s="1"/>
  <c r="D447" i="3"/>
  <c r="J447" i="3" s="1"/>
  <c r="R447" i="3" s="1"/>
  <c r="E216" i="3"/>
  <c r="F216" i="3" s="1"/>
  <c r="K216" i="3" s="1"/>
  <c r="L216" i="3" s="1"/>
  <c r="D150" i="3"/>
  <c r="J150" i="3" s="1"/>
  <c r="R150" i="3" s="1"/>
  <c r="E133" i="3"/>
  <c r="F133" i="3" s="1"/>
  <c r="K133" i="3" s="1"/>
  <c r="D65" i="3"/>
  <c r="J65" i="3" s="1"/>
  <c r="R65" i="3" s="1"/>
  <c r="E72" i="3"/>
  <c r="F72" i="3" s="1"/>
  <c r="K72" i="3" s="1"/>
  <c r="E20" i="3"/>
  <c r="F20" i="3" s="1"/>
  <c r="K20" i="3" s="1"/>
  <c r="E157" i="3"/>
  <c r="F157" i="3" s="1"/>
  <c r="K157" i="3" s="1"/>
  <c r="D86" i="3"/>
  <c r="J86" i="3" s="1"/>
  <c r="R86" i="3" s="1"/>
  <c r="D409" i="3"/>
  <c r="J409" i="3" s="1"/>
  <c r="R409" i="3" s="1"/>
  <c r="D219" i="3"/>
  <c r="J219" i="3" s="1"/>
  <c r="R219" i="3" s="1"/>
  <c r="D277" i="3"/>
  <c r="J277" i="3" s="1"/>
  <c r="R277" i="3" s="1"/>
  <c r="D124" i="3"/>
  <c r="J124" i="3" s="1"/>
  <c r="R124" i="3" s="1"/>
  <c r="E239" i="3"/>
  <c r="F239" i="3" s="1"/>
  <c r="K239" i="3" s="1"/>
  <c r="E39" i="3"/>
  <c r="F39" i="3" s="1"/>
  <c r="K39" i="3" s="1"/>
  <c r="D208" i="3"/>
  <c r="J208" i="3" s="1"/>
  <c r="R208" i="3" s="1"/>
  <c r="D355" i="3"/>
  <c r="J355" i="3" s="1"/>
  <c r="R355" i="3" s="1"/>
  <c r="D466" i="3"/>
  <c r="J466" i="3" s="1"/>
  <c r="R466" i="3" s="1"/>
  <c r="E445" i="3"/>
  <c r="F445" i="3" s="1"/>
  <c r="K445" i="3" s="1"/>
  <c r="E414" i="3"/>
  <c r="F414" i="3" s="1"/>
  <c r="K414" i="3" s="1"/>
  <c r="D42" i="3"/>
  <c r="J42" i="3" s="1"/>
  <c r="R42" i="3" s="1"/>
  <c r="D225" i="3"/>
  <c r="J225" i="3" s="1"/>
  <c r="R225" i="3" s="1"/>
  <c r="E472" i="3"/>
  <c r="F472" i="3" s="1"/>
  <c r="K472" i="3" s="1"/>
  <c r="D492" i="3"/>
  <c r="J492" i="3" s="1"/>
  <c r="R492" i="3" s="1"/>
  <c r="D242" i="3"/>
  <c r="J242" i="3" s="1"/>
  <c r="R242" i="3" s="1"/>
  <c r="E47" i="3"/>
  <c r="F47" i="3" s="1"/>
  <c r="K47" i="3" s="1"/>
  <c r="E122" i="3"/>
  <c r="F122" i="3" s="1"/>
  <c r="K122" i="3" s="1"/>
  <c r="E118" i="3"/>
  <c r="F118" i="3" s="1"/>
  <c r="K118" i="3" s="1"/>
  <c r="N118" i="3" s="1"/>
  <c r="E362" i="3"/>
  <c r="F362" i="3" s="1"/>
  <c r="K362" i="3" s="1"/>
  <c r="D147" i="3"/>
  <c r="J147" i="3" s="1"/>
  <c r="R147" i="3" s="1"/>
  <c r="D366" i="3"/>
  <c r="J366" i="3" s="1"/>
  <c r="R366" i="3" s="1"/>
  <c r="E485" i="3"/>
  <c r="F485" i="3" s="1"/>
  <c r="K485" i="3" s="1"/>
  <c r="D238" i="3"/>
  <c r="J238" i="3" s="1"/>
  <c r="R238" i="3" s="1"/>
  <c r="E433" i="3"/>
  <c r="F433" i="3" s="1"/>
  <c r="K433" i="3" s="1"/>
  <c r="L433" i="3" s="1"/>
  <c r="E429" i="3"/>
  <c r="F429" i="3" s="1"/>
  <c r="K429" i="3" s="1"/>
  <c r="E215" i="3"/>
  <c r="F215" i="3" s="1"/>
  <c r="K215" i="3" s="1"/>
  <c r="E178" i="3"/>
  <c r="F178" i="3" s="1"/>
  <c r="K178" i="3" s="1"/>
  <c r="E162" i="3"/>
  <c r="F162" i="3" s="1"/>
  <c r="K162" i="3" s="1"/>
  <c r="N162" i="3" s="1"/>
  <c r="E29" i="3"/>
  <c r="F29" i="3" s="1"/>
  <c r="K29" i="3" s="1"/>
  <c r="L29" i="3" s="1"/>
  <c r="E245" i="3"/>
  <c r="F245" i="3" s="1"/>
  <c r="K245" i="3" s="1"/>
  <c r="E298" i="3"/>
  <c r="F298" i="3" s="1"/>
  <c r="K298" i="3" s="1"/>
  <c r="E418" i="3"/>
  <c r="F418" i="3" s="1"/>
  <c r="K418" i="3" s="1"/>
  <c r="N418" i="3" s="1"/>
  <c r="D270" i="3"/>
  <c r="J270" i="3" s="1"/>
  <c r="R270" i="3" s="1"/>
  <c r="E474" i="3"/>
  <c r="F474" i="3" s="1"/>
  <c r="K474" i="3" s="1"/>
  <c r="E125" i="3"/>
  <c r="F125" i="3" s="1"/>
  <c r="K125" i="3" s="1"/>
  <c r="D301" i="3"/>
  <c r="J301" i="3" s="1"/>
  <c r="R301" i="3" s="1"/>
  <c r="D94" i="3"/>
  <c r="J94" i="3" s="1"/>
  <c r="R94" i="3" s="1"/>
  <c r="E499" i="3"/>
  <c r="F499" i="3" s="1"/>
  <c r="K499" i="3" s="1"/>
  <c r="N499" i="3" s="1"/>
  <c r="D196" i="3"/>
  <c r="J196" i="3" s="1"/>
  <c r="R196" i="3" s="1"/>
  <c r="E188" i="3"/>
  <c r="F188" i="3" s="1"/>
  <c r="K188" i="3" s="1"/>
  <c r="L188" i="3" s="1"/>
  <c r="D154" i="3"/>
  <c r="J154" i="3" s="1"/>
  <c r="R154" i="3" s="1"/>
  <c r="D353" i="3"/>
  <c r="J353" i="3" s="1"/>
  <c r="R353" i="3" s="1"/>
  <c r="D367" i="3"/>
  <c r="J367" i="3" s="1"/>
  <c r="R367" i="3" s="1"/>
  <c r="E93" i="3"/>
  <c r="F93" i="3" s="1"/>
  <c r="K93" i="3" s="1"/>
  <c r="D245" i="3"/>
  <c r="J245" i="3" s="1"/>
  <c r="R245" i="3" s="1"/>
  <c r="E458" i="3"/>
  <c r="F458" i="3" s="1"/>
  <c r="K458" i="3" s="1"/>
  <c r="N458" i="3" s="1"/>
  <c r="E43" i="3"/>
  <c r="F43" i="3" s="1"/>
  <c r="K43" i="3" s="1"/>
  <c r="E80" i="3"/>
  <c r="F80" i="3" s="1"/>
  <c r="K80" i="3" s="1"/>
  <c r="L80" i="3" s="1"/>
  <c r="D184" i="3"/>
  <c r="J184" i="3" s="1"/>
  <c r="R184" i="3" s="1"/>
  <c r="D105" i="3"/>
  <c r="J105" i="3" s="1"/>
  <c r="R105" i="3" s="1"/>
  <c r="D472" i="3"/>
  <c r="J472" i="3" s="1"/>
  <c r="R472" i="3" s="1"/>
  <c r="E266" i="3"/>
  <c r="F266" i="3" s="1"/>
  <c r="K266" i="3" s="1"/>
  <c r="N266" i="3" s="1"/>
  <c r="E96" i="3"/>
  <c r="F96" i="3" s="1"/>
  <c r="K96" i="3" s="1"/>
  <c r="E477" i="3"/>
  <c r="F477" i="3" s="1"/>
  <c r="K477" i="3" s="1"/>
  <c r="E101" i="3"/>
  <c r="F101" i="3" s="1"/>
  <c r="K101" i="3" s="1"/>
  <c r="N101" i="3" s="1"/>
  <c r="E332" i="3"/>
  <c r="F332" i="3" s="1"/>
  <c r="K332" i="3" s="1"/>
  <c r="N332" i="3" s="1"/>
  <c r="D342" i="3"/>
  <c r="J342" i="3" s="1"/>
  <c r="R342" i="3" s="1"/>
  <c r="D448" i="3"/>
  <c r="J448" i="3" s="1"/>
  <c r="R448" i="3" s="1"/>
  <c r="E361" i="3"/>
  <c r="F361" i="3" s="1"/>
  <c r="K361" i="3" s="1"/>
  <c r="N361" i="3" s="1"/>
  <c r="D476" i="3"/>
  <c r="J476" i="3" s="1"/>
  <c r="R476" i="3" s="1"/>
  <c r="E52" i="3"/>
  <c r="F52" i="3" s="1"/>
  <c r="K52" i="3" s="1"/>
  <c r="L52" i="3" s="1"/>
  <c r="D56" i="3"/>
  <c r="J56" i="3" s="1"/>
  <c r="R56" i="3" s="1"/>
  <c r="E58" i="3"/>
  <c r="F58" i="3" s="1"/>
  <c r="K58" i="3" s="1"/>
  <c r="E123" i="3"/>
  <c r="F123" i="3" s="1"/>
  <c r="K123" i="3" s="1"/>
  <c r="D361" i="3"/>
  <c r="J361" i="3" s="1"/>
  <c r="R361" i="3" s="1"/>
  <c r="D235" i="3"/>
  <c r="J235" i="3" s="1"/>
  <c r="R235" i="3" s="1"/>
  <c r="D488" i="3"/>
  <c r="J488" i="3" s="1"/>
  <c r="R488" i="3" s="1"/>
  <c r="E336" i="3"/>
  <c r="F336" i="3" s="1"/>
  <c r="K336" i="3" s="1"/>
  <c r="D268" i="3"/>
  <c r="J268" i="3" s="1"/>
  <c r="R268" i="3" s="1"/>
  <c r="E111" i="3"/>
  <c r="F111" i="3" s="1"/>
  <c r="K111" i="3" s="1"/>
  <c r="N111" i="3" s="1"/>
  <c r="D349" i="3"/>
  <c r="J349" i="3" s="1"/>
  <c r="R349" i="3" s="1"/>
  <c r="D202" i="3"/>
  <c r="J202" i="3" s="1"/>
  <c r="R202" i="3" s="1"/>
  <c r="E272" i="3"/>
  <c r="F272" i="3" s="1"/>
  <c r="K272" i="3" s="1"/>
  <c r="D132" i="3"/>
  <c r="J132" i="3" s="1"/>
  <c r="R132" i="3" s="1"/>
  <c r="E148" i="3"/>
  <c r="F148" i="3" s="1"/>
  <c r="K148" i="3" s="1"/>
  <c r="N148" i="3" s="1"/>
  <c r="E99" i="3"/>
  <c r="F99" i="3" s="1"/>
  <c r="K99" i="3" s="1"/>
  <c r="D381" i="3"/>
  <c r="J381" i="3" s="1"/>
  <c r="R381" i="3" s="1"/>
  <c r="E189" i="3"/>
  <c r="F189" i="3" s="1"/>
  <c r="K189" i="3" s="1"/>
  <c r="E182" i="3"/>
  <c r="F182" i="3" s="1"/>
  <c r="K182" i="3" s="1"/>
  <c r="N182" i="3" s="1"/>
  <c r="E176" i="3"/>
  <c r="F176" i="3" s="1"/>
  <c r="K176" i="3" s="1"/>
  <c r="E437" i="3"/>
  <c r="F437" i="3" s="1"/>
  <c r="K437" i="3" s="1"/>
  <c r="E391" i="3"/>
  <c r="F391" i="3" s="1"/>
  <c r="K391" i="3" s="1"/>
  <c r="E153" i="3"/>
  <c r="F153" i="3" s="1"/>
  <c r="K153" i="3" s="1"/>
  <c r="D256" i="3"/>
  <c r="J256" i="3" s="1"/>
  <c r="R256" i="3" s="1"/>
  <c r="D14" i="3"/>
  <c r="J14" i="3" s="1"/>
  <c r="R14" i="3" s="1"/>
  <c r="E18" i="3"/>
  <c r="F18" i="3" s="1"/>
  <c r="K18" i="3" s="1"/>
  <c r="D127" i="3"/>
  <c r="J127" i="3" s="1"/>
  <c r="R127" i="3" s="1"/>
  <c r="D414" i="3"/>
  <c r="J414" i="3" s="1"/>
  <c r="R414" i="3" s="1"/>
  <c r="E15" i="3"/>
  <c r="F15" i="3" s="1"/>
  <c r="K15" i="3" s="1"/>
  <c r="D60" i="3"/>
  <c r="J60" i="3" s="1"/>
  <c r="R60" i="3" s="1"/>
  <c r="E66" i="3"/>
  <c r="F66" i="3" s="1"/>
  <c r="K66" i="3" s="1"/>
  <c r="L66" i="3" s="1"/>
  <c r="D133" i="3"/>
  <c r="J133" i="3" s="1"/>
  <c r="R133" i="3" s="1"/>
  <c r="E33" i="3"/>
  <c r="F33" i="3" s="1"/>
  <c r="K33" i="3" s="1"/>
  <c r="D304" i="3"/>
  <c r="J304" i="3" s="1"/>
  <c r="R304" i="3" s="1"/>
  <c r="D431" i="3"/>
  <c r="J431" i="3" s="1"/>
  <c r="R431" i="3" s="1"/>
  <c r="D183" i="3"/>
  <c r="J183" i="3" s="1"/>
  <c r="R183" i="3" s="1"/>
  <c r="D297" i="3"/>
  <c r="J297" i="3" s="1"/>
  <c r="R297" i="3" s="1"/>
  <c r="E267" i="3"/>
  <c r="F267" i="3" s="1"/>
  <c r="K267" i="3" s="1"/>
  <c r="L267" i="3" s="1"/>
  <c r="E128" i="3"/>
  <c r="F128" i="3" s="1"/>
  <c r="K128" i="3" s="1"/>
  <c r="D265" i="3"/>
  <c r="J265" i="3" s="1"/>
  <c r="R265" i="3" s="1"/>
  <c r="E219" i="3"/>
  <c r="F219" i="3" s="1"/>
  <c r="K219" i="3" s="1"/>
  <c r="D251" i="3"/>
  <c r="J251" i="3" s="1"/>
  <c r="R251" i="3" s="1"/>
  <c r="E149" i="3"/>
  <c r="F149" i="3" s="1"/>
  <c r="K149" i="3" s="1"/>
  <c r="N149" i="3" s="1"/>
  <c r="D468" i="3"/>
  <c r="J468" i="3" s="1"/>
  <c r="R468" i="3" s="1"/>
  <c r="E95" i="3"/>
  <c r="F95" i="3" s="1"/>
  <c r="K95" i="3" s="1"/>
  <c r="N95" i="3" s="1"/>
  <c r="D347" i="3"/>
  <c r="J347" i="3" s="1"/>
  <c r="R347" i="3" s="1"/>
  <c r="D171" i="3"/>
  <c r="J171" i="3" s="1"/>
  <c r="R171" i="3" s="1"/>
  <c r="D337" i="3"/>
  <c r="J337" i="3" s="1"/>
  <c r="R337" i="3" s="1"/>
  <c r="E213" i="3"/>
  <c r="F213" i="3" s="1"/>
  <c r="K213" i="3" s="1"/>
  <c r="L213" i="3" s="1"/>
  <c r="E419" i="3"/>
  <c r="F419" i="3" s="1"/>
  <c r="K419" i="3" s="1"/>
  <c r="N419" i="3" s="1"/>
  <c r="E262" i="3"/>
  <c r="F262" i="3" s="1"/>
  <c r="K262" i="3" s="1"/>
  <c r="L262" i="3" s="1"/>
  <c r="D388" i="3"/>
  <c r="J388" i="3" s="1"/>
  <c r="R388" i="3" s="1"/>
  <c r="E51" i="3"/>
  <c r="F51" i="3" s="1"/>
  <c r="K51" i="3" s="1"/>
  <c r="E285" i="3"/>
  <c r="F285" i="3" s="1"/>
  <c r="K285" i="3" s="1"/>
  <c r="E496" i="3"/>
  <c r="F496" i="3" s="1"/>
  <c r="K496" i="3" s="1"/>
  <c r="N496" i="3" s="1"/>
  <c r="D255" i="3"/>
  <c r="J255" i="3" s="1"/>
  <c r="R255" i="3" s="1"/>
  <c r="D316" i="3"/>
  <c r="J316" i="3" s="1"/>
  <c r="R316" i="3" s="1"/>
  <c r="D397" i="3"/>
  <c r="J397" i="3" s="1"/>
  <c r="R397" i="3" s="1"/>
  <c r="D426" i="3"/>
  <c r="J426" i="3" s="1"/>
  <c r="R426" i="3" s="1"/>
  <c r="E404" i="3"/>
  <c r="F404" i="3" s="1"/>
  <c r="K404" i="3" s="1"/>
  <c r="E366" i="3"/>
  <c r="F366" i="3" s="1"/>
  <c r="K366" i="3" s="1"/>
  <c r="E106" i="3"/>
  <c r="F106" i="3" s="1"/>
  <c r="K106" i="3" s="1"/>
  <c r="L106" i="3" s="1"/>
  <c r="D234" i="3"/>
  <c r="J234" i="3" s="1"/>
  <c r="R234" i="3" s="1"/>
  <c r="D404" i="3"/>
  <c r="J404" i="3" s="1"/>
  <c r="R404" i="3" s="1"/>
  <c r="D383" i="3"/>
  <c r="J383" i="3" s="1"/>
  <c r="R383" i="3" s="1"/>
  <c r="E432" i="3"/>
  <c r="F432" i="3" s="1"/>
  <c r="K432" i="3" s="1"/>
  <c r="D382" i="3"/>
  <c r="J382" i="3" s="1"/>
  <c r="R382" i="3" s="1"/>
  <c r="E423" i="3"/>
  <c r="F423" i="3" s="1"/>
  <c r="K423" i="3" s="1"/>
  <c r="D498" i="3"/>
  <c r="J498" i="3" s="1"/>
  <c r="R498" i="3" s="1"/>
  <c r="E91" i="3"/>
  <c r="F91" i="3" s="1"/>
  <c r="K91" i="3" s="1"/>
  <c r="N91" i="3" s="1"/>
  <c r="E256" i="3"/>
  <c r="F256" i="3" s="1"/>
  <c r="K256" i="3" s="1"/>
  <c r="E74" i="3"/>
  <c r="F74" i="3" s="1"/>
  <c r="K74" i="3" s="1"/>
  <c r="D421" i="3"/>
  <c r="J421" i="3" s="1"/>
  <c r="R421" i="3" s="1"/>
  <c r="E462" i="3"/>
  <c r="F462" i="3" s="1"/>
  <c r="K462" i="3" s="1"/>
  <c r="D392" i="3"/>
  <c r="J392" i="3" s="1"/>
  <c r="R392" i="3" s="1"/>
  <c r="E19" i="3"/>
  <c r="F19" i="3" s="1"/>
  <c r="K19" i="3" s="1"/>
  <c r="D307" i="3"/>
  <c r="J307" i="3" s="1"/>
  <c r="R307" i="3" s="1"/>
  <c r="D59" i="3"/>
  <c r="J59" i="3" s="1"/>
  <c r="R59" i="3" s="1"/>
  <c r="E10" i="3"/>
  <c r="F10" i="3" s="1"/>
  <c r="K10" i="3" s="1"/>
  <c r="N10" i="3" s="1"/>
  <c r="E13" i="3"/>
  <c r="F13" i="3" s="1"/>
  <c r="K13" i="3" s="1"/>
  <c r="N13" i="3" s="1"/>
  <c r="E242" i="3"/>
  <c r="F242" i="3" s="1"/>
  <c r="K242" i="3" s="1"/>
  <c r="D128" i="3"/>
  <c r="J128" i="3" s="1"/>
  <c r="R128" i="3" s="1"/>
  <c r="E355" i="3"/>
  <c r="F355" i="3" s="1"/>
  <c r="K355" i="3" s="1"/>
  <c r="D155" i="3"/>
  <c r="J155" i="3" s="1"/>
  <c r="R155" i="3" s="1"/>
  <c r="E235" i="3"/>
  <c r="F235" i="3" s="1"/>
  <c r="K235" i="3" s="1"/>
  <c r="N235" i="3" s="1"/>
  <c r="E476" i="3"/>
  <c r="F476" i="3" s="1"/>
  <c r="K476" i="3" s="1"/>
  <c r="N476" i="3" s="1"/>
  <c r="D345" i="3"/>
  <c r="J345" i="3" s="1"/>
  <c r="R345" i="3" s="1"/>
  <c r="E254" i="3"/>
  <c r="F254" i="3" s="1"/>
  <c r="K254" i="3" s="1"/>
  <c r="D44" i="3"/>
  <c r="J44" i="3" s="1"/>
  <c r="R44" i="3" s="1"/>
  <c r="E486" i="3"/>
  <c r="F486" i="3" s="1"/>
  <c r="K486" i="3" s="1"/>
  <c r="E257" i="3"/>
  <c r="F257" i="3" s="1"/>
  <c r="K257" i="3" s="1"/>
  <c r="E186" i="3"/>
  <c r="F186" i="3" s="1"/>
  <c r="K186" i="3" s="1"/>
  <c r="E321" i="3"/>
  <c r="F321" i="3" s="1"/>
  <c r="K321" i="3" s="1"/>
  <c r="L321" i="3" s="1"/>
  <c r="D194" i="3"/>
  <c r="J194" i="3" s="1"/>
  <c r="R194" i="3" s="1"/>
  <c r="D26" i="3"/>
  <c r="J26" i="3" s="1"/>
  <c r="R26" i="3" s="1"/>
  <c r="E342" i="3"/>
  <c r="F342" i="3" s="1"/>
  <c r="K342" i="3" s="1"/>
  <c r="L342" i="3" s="1"/>
  <c r="E270" i="3"/>
  <c r="F270" i="3" s="1"/>
  <c r="K270" i="3" s="1"/>
  <c r="L270" i="3" s="1"/>
  <c r="E482" i="3"/>
  <c r="F482" i="3" s="1"/>
  <c r="K482" i="3" s="1"/>
  <c r="E450" i="3"/>
  <c r="F450" i="3" s="1"/>
  <c r="K450" i="3" s="1"/>
  <c r="E376" i="3"/>
  <c r="F376" i="3" s="1"/>
  <c r="K376" i="3" s="1"/>
  <c r="N376" i="3" s="1"/>
  <c r="E41" i="3"/>
  <c r="F41" i="3" s="1"/>
  <c r="K41" i="3" s="1"/>
  <c r="E221" i="3"/>
  <c r="F221" i="3" s="1"/>
  <c r="K221" i="3" s="1"/>
  <c r="E393" i="3"/>
  <c r="F393" i="3" s="1"/>
  <c r="K393" i="3" s="1"/>
  <c r="N393" i="3" s="1"/>
  <c r="D398" i="3"/>
  <c r="J398" i="3" s="1"/>
  <c r="R398" i="3" s="1"/>
  <c r="E73" i="3"/>
  <c r="F73" i="3" s="1"/>
  <c r="K73" i="3" s="1"/>
  <c r="L73" i="3" s="1"/>
  <c r="E367" i="3"/>
  <c r="F367" i="3" s="1"/>
  <c r="K367" i="3" s="1"/>
  <c r="E230" i="3"/>
  <c r="F230" i="3" s="1"/>
  <c r="K230" i="3" s="1"/>
  <c r="D272" i="3"/>
  <c r="J272" i="3" s="1"/>
  <c r="R272" i="3" s="1"/>
  <c r="D480" i="3"/>
  <c r="J480" i="3" s="1"/>
  <c r="R480" i="3" s="1"/>
  <c r="D186" i="3"/>
  <c r="J186" i="3" s="1"/>
  <c r="R186" i="3" s="1"/>
  <c r="D146" i="3"/>
  <c r="J146" i="3" s="1"/>
  <c r="R146" i="3" s="1"/>
  <c r="E442" i="3"/>
  <c r="F442" i="3" s="1"/>
  <c r="K442" i="3" s="1"/>
  <c r="E205" i="3"/>
  <c r="F205" i="3" s="1"/>
  <c r="K205" i="3" s="1"/>
  <c r="E378" i="3"/>
  <c r="F378" i="3" s="1"/>
  <c r="K378" i="3" s="1"/>
  <c r="E171" i="3"/>
  <c r="F171" i="3" s="1"/>
  <c r="K171" i="3" s="1"/>
  <c r="D167" i="3"/>
  <c r="J167" i="3" s="1"/>
  <c r="R167" i="3" s="1"/>
  <c r="E30" i="3"/>
  <c r="F30" i="3" s="1"/>
  <c r="K30" i="3" s="1"/>
  <c r="L30" i="3" s="1"/>
  <c r="D376" i="3"/>
  <c r="J376" i="3" s="1"/>
  <c r="R376" i="3" s="1"/>
  <c r="E217" i="3"/>
  <c r="F217" i="3" s="1"/>
  <c r="K217" i="3" s="1"/>
  <c r="D72" i="3"/>
  <c r="J72" i="3" s="1"/>
  <c r="R72" i="3" s="1"/>
  <c r="D100" i="3"/>
  <c r="J100" i="3" s="1"/>
  <c r="R100" i="3" s="1"/>
  <c r="D315" i="3"/>
  <c r="J315" i="3" s="1"/>
  <c r="R315" i="3" s="1"/>
  <c r="E465" i="3"/>
  <c r="F465" i="3" s="1"/>
  <c r="K465" i="3" s="1"/>
  <c r="N465" i="3" s="1"/>
  <c r="E206" i="3"/>
  <c r="F206" i="3" s="1"/>
  <c r="K206" i="3" s="1"/>
  <c r="L206" i="3" s="1"/>
  <c r="D15" i="3"/>
  <c r="J15" i="3" s="1"/>
  <c r="R15" i="3" s="1"/>
  <c r="D299" i="3"/>
  <c r="J299" i="3" s="1"/>
  <c r="R299" i="3" s="1"/>
  <c r="E368" i="3"/>
  <c r="F368" i="3" s="1"/>
  <c r="K368" i="3" s="1"/>
  <c r="D446" i="3"/>
  <c r="J446" i="3" s="1"/>
  <c r="R446" i="3" s="1"/>
  <c r="D156" i="3"/>
  <c r="J156" i="3" s="1"/>
  <c r="R156" i="3" s="1"/>
  <c r="E381" i="3"/>
  <c r="F381" i="3" s="1"/>
  <c r="K381" i="3" s="1"/>
  <c r="N381" i="3" s="1"/>
  <c r="D104" i="3"/>
  <c r="J104" i="3" s="1"/>
  <c r="R104" i="3" s="1"/>
  <c r="D37" i="3"/>
  <c r="J37" i="3" s="1"/>
  <c r="R37" i="3" s="1"/>
  <c r="D71" i="3"/>
  <c r="J71" i="3" s="1"/>
  <c r="R71" i="3" s="1"/>
  <c r="E84" i="3"/>
  <c r="F84" i="3" s="1"/>
  <c r="K84" i="3" s="1"/>
  <c r="D295" i="3"/>
  <c r="J295" i="3" s="1"/>
  <c r="R295" i="3" s="1"/>
  <c r="D357" i="3"/>
  <c r="J357" i="3" s="1"/>
  <c r="R357" i="3" s="1"/>
  <c r="D419" i="3"/>
  <c r="J419" i="3" s="1"/>
  <c r="R419" i="3" s="1"/>
  <c r="E191" i="3"/>
  <c r="F191" i="3" s="1"/>
  <c r="K191" i="3" s="1"/>
  <c r="D294" i="3"/>
  <c r="J294" i="3" s="1"/>
  <c r="R294" i="3" s="1"/>
  <c r="E471" i="3"/>
  <c r="F471" i="3" s="1"/>
  <c r="K471" i="3" s="1"/>
  <c r="N471" i="3" s="1"/>
  <c r="D436" i="3"/>
  <c r="J436" i="3" s="1"/>
  <c r="R436" i="3" s="1"/>
  <c r="D491" i="3"/>
  <c r="J491" i="3" s="1"/>
  <c r="R491" i="3" s="1"/>
  <c r="E100" i="3"/>
  <c r="F100" i="3" s="1"/>
  <c r="K100" i="3" s="1"/>
  <c r="L100" i="3" s="1"/>
  <c r="E497" i="3"/>
  <c r="F497" i="3" s="1"/>
  <c r="K497" i="3" s="1"/>
  <c r="E413" i="3"/>
  <c r="F413" i="3" s="1"/>
  <c r="K413" i="3" s="1"/>
  <c r="D41" i="3"/>
  <c r="J41" i="3" s="1"/>
  <c r="R41" i="3" s="1"/>
  <c r="E409" i="3"/>
  <c r="F409" i="3" s="1"/>
  <c r="K409" i="3" s="1"/>
  <c r="D88" i="3"/>
  <c r="J88" i="3" s="1"/>
  <c r="R88" i="3" s="1"/>
  <c r="D126" i="3"/>
  <c r="J126" i="3" s="1"/>
  <c r="R126" i="3" s="1"/>
  <c r="D28" i="3"/>
  <c r="J28" i="3" s="1"/>
  <c r="R28" i="3" s="1"/>
  <c r="E35" i="3"/>
  <c r="F35" i="3" s="1"/>
  <c r="K35" i="3" s="1"/>
  <c r="E299" i="3"/>
  <c r="F299" i="3" s="1"/>
  <c r="K299" i="3" s="1"/>
  <c r="L299" i="3" s="1"/>
  <c r="E88" i="3"/>
  <c r="F88" i="3" s="1"/>
  <c r="K88" i="3" s="1"/>
  <c r="L88" i="3" s="1"/>
  <c r="E259" i="3"/>
  <c r="F259" i="3" s="1"/>
  <c r="K259" i="3" s="1"/>
  <c r="D96" i="3"/>
  <c r="J96" i="3" s="1"/>
  <c r="R96" i="3" s="1"/>
  <c r="D148" i="3"/>
  <c r="J148" i="3" s="1"/>
  <c r="R148" i="3" s="1"/>
  <c r="D247" i="3"/>
  <c r="J247" i="3" s="1"/>
  <c r="R247" i="3" s="1"/>
  <c r="E382" i="3"/>
  <c r="F382" i="3" s="1"/>
  <c r="K382" i="3" s="1"/>
  <c r="E468" i="3"/>
  <c r="F468" i="3" s="1"/>
  <c r="K468" i="3" s="1"/>
  <c r="N468" i="3" s="1"/>
  <c r="E479" i="3"/>
  <c r="F479" i="3" s="1"/>
  <c r="K479" i="3" s="1"/>
  <c r="D5" i="3"/>
  <c r="J5" i="3" s="1"/>
  <c r="R5" i="3" s="1"/>
  <c r="E165" i="3"/>
  <c r="F165" i="3" s="1"/>
  <c r="K165" i="3" s="1"/>
  <c r="D85" i="3"/>
  <c r="J85" i="3" s="1"/>
  <c r="R85" i="3" s="1"/>
  <c r="E281" i="3"/>
  <c r="F281" i="3" s="1"/>
  <c r="K281" i="3" s="1"/>
  <c r="N281" i="3" s="1"/>
  <c r="D387" i="3"/>
  <c r="J387" i="3" s="1"/>
  <c r="R387" i="3" s="1"/>
  <c r="E427" i="3"/>
  <c r="F427" i="3" s="1"/>
  <c r="K427" i="3" s="1"/>
  <c r="D216" i="3"/>
  <c r="J216" i="3" s="1"/>
  <c r="R216" i="3" s="1"/>
  <c r="D279" i="3"/>
  <c r="J279" i="3" s="1"/>
  <c r="R279" i="3" s="1"/>
  <c r="E489" i="3"/>
  <c r="F489" i="3" s="1"/>
  <c r="K489" i="3" s="1"/>
  <c r="E422" i="3"/>
  <c r="F422" i="3" s="1"/>
  <c r="K422" i="3" s="1"/>
  <c r="N422" i="3" s="1"/>
  <c r="D413" i="3"/>
  <c r="J413" i="3" s="1"/>
  <c r="R413" i="3" s="1"/>
  <c r="D24" i="3"/>
  <c r="J24" i="3" s="1"/>
  <c r="R24" i="3" s="1"/>
  <c r="D95" i="3"/>
  <c r="J95" i="3" s="1"/>
  <c r="R95" i="3" s="1"/>
  <c r="E104" i="3"/>
  <c r="F104" i="3" s="1"/>
  <c r="K104" i="3" s="1"/>
  <c r="D51" i="3"/>
  <c r="J51" i="3" s="1"/>
  <c r="R51" i="3" s="1"/>
  <c r="E269" i="3"/>
  <c r="F269" i="3" s="1"/>
  <c r="K269" i="3" s="1"/>
  <c r="L269" i="3" s="1"/>
  <c r="D434" i="3"/>
  <c r="J434" i="3" s="1"/>
  <c r="R434" i="3" s="1"/>
  <c r="D6" i="3"/>
  <c r="J6" i="3" s="1"/>
  <c r="R6" i="3" s="1"/>
  <c r="E306" i="3"/>
  <c r="F306" i="3" s="1"/>
  <c r="K306" i="3" s="1"/>
  <c r="E16" i="3"/>
  <c r="F16" i="3" s="1"/>
  <c r="K16" i="3" s="1"/>
  <c r="E284" i="3"/>
  <c r="F284" i="3" s="1"/>
  <c r="K284" i="3" s="1"/>
  <c r="N284" i="3" s="1"/>
  <c r="E495" i="3"/>
  <c r="F495" i="3" s="1"/>
  <c r="K495" i="3" s="1"/>
  <c r="D459" i="3"/>
  <c r="J459" i="3" s="1"/>
  <c r="R459" i="3" s="1"/>
  <c r="D130" i="3"/>
  <c r="J130" i="3" s="1"/>
  <c r="R130" i="3" s="1"/>
  <c r="D433" i="3"/>
  <c r="J433" i="3" s="1"/>
  <c r="R433" i="3" s="1"/>
  <c r="E375" i="3"/>
  <c r="F375" i="3" s="1"/>
  <c r="K375" i="3" s="1"/>
  <c r="E175" i="3"/>
  <c r="F175" i="3" s="1"/>
  <c r="K175" i="3" s="1"/>
  <c r="E23" i="3"/>
  <c r="F23" i="3" s="1"/>
  <c r="K23" i="3" s="1"/>
  <c r="N23" i="3" s="1"/>
  <c r="E287" i="3"/>
  <c r="F287" i="3" s="1"/>
  <c r="K287" i="3" s="1"/>
  <c r="D40" i="3"/>
  <c r="J40" i="3" s="1"/>
  <c r="R40" i="3" s="1"/>
  <c r="D500" i="3"/>
  <c r="J500" i="3" s="1"/>
  <c r="R500" i="3" s="1"/>
  <c r="D408" i="3"/>
  <c r="J408" i="3" s="1"/>
  <c r="R408" i="3" s="1"/>
  <c r="D13" i="3"/>
  <c r="J13" i="3" s="1"/>
  <c r="R13" i="3" s="1"/>
  <c r="D422" i="3"/>
  <c r="J422" i="3" s="1"/>
  <c r="R422" i="3" s="1"/>
  <c r="D92" i="3"/>
  <c r="J92" i="3" s="1"/>
  <c r="R92" i="3" s="1"/>
  <c r="E108" i="3"/>
  <c r="F108" i="3" s="1"/>
  <c r="K108" i="3" s="1"/>
  <c r="E237" i="3"/>
  <c r="F237" i="3" s="1"/>
  <c r="K237" i="3" s="1"/>
  <c r="N237" i="3" s="1"/>
  <c r="E78" i="3"/>
  <c r="F78" i="3" s="1"/>
  <c r="K78" i="3" s="1"/>
  <c r="E180" i="3"/>
  <c r="F180" i="3" s="1"/>
  <c r="K180" i="3" s="1"/>
  <c r="L180" i="3" s="1"/>
  <c r="D158" i="3"/>
  <c r="J158" i="3" s="1"/>
  <c r="R158" i="3" s="1"/>
  <c r="D444" i="3"/>
  <c r="J444" i="3" s="1"/>
  <c r="R444" i="3" s="1"/>
  <c r="E116" i="3"/>
  <c r="F116" i="3" s="1"/>
  <c r="K116" i="3" s="1"/>
  <c r="E453" i="3"/>
  <c r="F453" i="3" s="1"/>
  <c r="K453" i="3" s="1"/>
  <c r="E174" i="3"/>
  <c r="F174" i="3" s="1"/>
  <c r="K174" i="3" s="1"/>
  <c r="E374" i="3"/>
  <c r="F374" i="3" s="1"/>
  <c r="K374" i="3" s="1"/>
  <c r="L374" i="3" s="1"/>
  <c r="D267" i="3"/>
  <c r="J267" i="3" s="1"/>
  <c r="R267" i="3" s="1"/>
  <c r="E1" i="3"/>
  <c r="E27" i="3"/>
  <c r="F27" i="3" s="1"/>
  <c r="K27" i="3" s="1"/>
  <c r="L27" i="3" s="1"/>
  <c r="E360" i="3"/>
  <c r="F360" i="3" s="1"/>
  <c r="K360" i="3" s="1"/>
  <c r="L360" i="3" s="1"/>
  <c r="E261" i="3"/>
  <c r="F261" i="3" s="1"/>
  <c r="K261" i="3" s="1"/>
  <c r="E312" i="3"/>
  <c r="F312" i="3" s="1"/>
  <c r="K312" i="3" s="1"/>
  <c r="D298" i="3"/>
  <c r="J298" i="3" s="1"/>
  <c r="R298" i="3" s="1"/>
  <c r="D169" i="3"/>
  <c r="J169" i="3" s="1"/>
  <c r="R169" i="3" s="1"/>
  <c r="E166" i="3"/>
  <c r="F166" i="3" s="1"/>
  <c r="K166" i="3" s="1"/>
  <c r="D116" i="3"/>
  <c r="J116" i="3" s="1"/>
  <c r="R116" i="3" s="1"/>
  <c r="E167" i="3"/>
  <c r="F167" i="3" s="1"/>
  <c r="K167" i="3" s="1"/>
  <c r="D11" i="3"/>
  <c r="J11" i="3" s="1"/>
  <c r="R11" i="3" s="1"/>
  <c r="E331" i="3"/>
  <c r="F331" i="3" s="1"/>
  <c r="K331" i="3" s="1"/>
  <c r="D324" i="3"/>
  <c r="J324" i="3" s="1"/>
  <c r="R324" i="3" s="1"/>
  <c r="D110" i="3"/>
  <c r="J110" i="3" s="1"/>
  <c r="R110" i="3" s="1"/>
  <c r="E461" i="3"/>
  <c r="F461" i="3" s="1"/>
  <c r="K461" i="3" s="1"/>
  <c r="L461" i="3" s="1"/>
  <c r="E305" i="3"/>
  <c r="F305" i="3" s="1"/>
  <c r="K305" i="3" s="1"/>
  <c r="E71" i="3"/>
  <c r="F71" i="3" s="1"/>
  <c r="K71" i="3" s="1"/>
  <c r="N71" i="3" s="1"/>
  <c r="E315" i="3"/>
  <c r="F315" i="3" s="1"/>
  <c r="K315" i="3" s="1"/>
  <c r="L315" i="3" s="1"/>
  <c r="D220" i="3"/>
  <c r="J220" i="3" s="1"/>
  <c r="R220" i="3" s="1"/>
  <c r="E380" i="3"/>
  <c r="F380" i="3" s="1"/>
  <c r="K380" i="3" s="1"/>
  <c r="L380" i="3" s="1"/>
  <c r="D181" i="3"/>
  <c r="J181" i="3" s="1"/>
  <c r="R181" i="3" s="1"/>
  <c r="E290" i="3"/>
  <c r="F290" i="3" s="1"/>
  <c r="K290" i="3" s="1"/>
  <c r="E388" i="3"/>
  <c r="F388" i="3" s="1"/>
  <c r="K388" i="3" s="1"/>
  <c r="D306" i="3"/>
  <c r="J306" i="3" s="1"/>
  <c r="R306" i="3" s="1"/>
  <c r="D135" i="3"/>
  <c r="J135" i="3" s="1"/>
  <c r="R135" i="3" s="1"/>
  <c r="D179" i="3"/>
  <c r="J179" i="3" s="1"/>
  <c r="R179" i="3" s="1"/>
  <c r="D275" i="3"/>
  <c r="J275" i="3" s="1"/>
  <c r="R275" i="3" s="1"/>
  <c r="D180" i="3"/>
  <c r="J180" i="3" s="1"/>
  <c r="R180" i="3" s="1"/>
  <c r="E137" i="3"/>
  <c r="F137" i="3" s="1"/>
  <c r="K137" i="3" s="1"/>
  <c r="L137" i="3" s="1"/>
  <c r="D209" i="3"/>
  <c r="J209" i="3" s="1"/>
  <c r="R209" i="3" s="1"/>
  <c r="D309" i="3"/>
  <c r="J309" i="3" s="1"/>
  <c r="R309" i="3" s="1"/>
  <c r="E210" i="3"/>
  <c r="F210" i="3" s="1"/>
  <c r="K210" i="3" s="1"/>
  <c r="E278" i="3"/>
  <c r="F278" i="3" s="1"/>
  <c r="K278" i="3" s="1"/>
  <c r="E209" i="3"/>
  <c r="F209" i="3" s="1"/>
  <c r="K209" i="3" s="1"/>
  <c r="D375" i="3"/>
  <c r="J375" i="3" s="1"/>
  <c r="R375" i="3" s="1"/>
  <c r="D410" i="3"/>
  <c r="J410" i="3" s="1"/>
  <c r="R410" i="3" s="1"/>
  <c r="E293" i="3"/>
  <c r="F293" i="3" s="1"/>
  <c r="K293" i="3" s="1"/>
  <c r="D415" i="3"/>
  <c r="J415" i="3" s="1"/>
  <c r="R415" i="3" s="1"/>
  <c r="E377" i="3"/>
  <c r="F377" i="3" s="1"/>
  <c r="K377" i="3" s="1"/>
  <c r="N377" i="3" s="1"/>
  <c r="D68" i="3"/>
  <c r="J68" i="3" s="1"/>
  <c r="R68" i="3" s="1"/>
  <c r="E384" i="3"/>
  <c r="F384" i="3" s="1"/>
  <c r="K384" i="3" s="1"/>
  <c r="D485" i="3"/>
  <c r="J485" i="3" s="1"/>
  <c r="R485" i="3" s="1"/>
  <c r="D332" i="3"/>
  <c r="J332" i="3" s="1"/>
  <c r="R332" i="3" s="1"/>
  <c r="D222" i="3"/>
  <c r="J222" i="3" s="1"/>
  <c r="R222" i="3" s="1"/>
  <c r="E207" i="3"/>
  <c r="F207" i="3" s="1"/>
  <c r="K207" i="3" s="1"/>
  <c r="E32" i="3"/>
  <c r="F32" i="3" s="1"/>
  <c r="K32" i="3" s="1"/>
  <c r="N32" i="3" s="1"/>
  <c r="D438" i="3"/>
  <c r="J438" i="3" s="1"/>
  <c r="R438" i="3" s="1"/>
  <c r="E155" i="3"/>
  <c r="F155" i="3" s="1"/>
  <c r="K155" i="3" s="1"/>
  <c r="N155" i="3" s="1"/>
  <c r="E304" i="3"/>
  <c r="F304" i="3" s="1"/>
  <c r="K304" i="3" s="1"/>
  <c r="D281" i="3"/>
  <c r="J281" i="3" s="1"/>
  <c r="R281" i="3" s="1"/>
  <c r="E466" i="3"/>
  <c r="F466" i="3" s="1"/>
  <c r="K466" i="3" s="1"/>
  <c r="E121" i="3"/>
  <c r="F121" i="3" s="1"/>
  <c r="K121" i="3" s="1"/>
  <c r="D290" i="3"/>
  <c r="J290" i="3" s="1"/>
  <c r="R290" i="3" s="1"/>
  <c r="D120" i="3"/>
  <c r="J120" i="3" s="1"/>
  <c r="R120" i="3" s="1"/>
  <c r="D371" i="3"/>
  <c r="J371" i="3" s="1"/>
  <c r="R371" i="3" s="1"/>
  <c r="D257" i="3"/>
  <c r="J257" i="3" s="1"/>
  <c r="R257" i="3" s="1"/>
  <c r="D107" i="3"/>
  <c r="J107" i="3" s="1"/>
  <c r="R107" i="3" s="1"/>
  <c r="E456" i="3"/>
  <c r="F456" i="3" s="1"/>
  <c r="K456" i="3" s="1"/>
  <c r="L456" i="3" s="1"/>
  <c r="D358" i="3"/>
  <c r="J358" i="3" s="1"/>
  <c r="R358" i="3" s="1"/>
  <c r="D175" i="3"/>
  <c r="J175" i="3" s="1"/>
  <c r="R175" i="3" s="1"/>
  <c r="E395" i="3"/>
  <c r="F395" i="3" s="1"/>
  <c r="K395" i="3" s="1"/>
  <c r="L395" i="3" s="1"/>
  <c r="E446" i="3"/>
  <c r="F446" i="3" s="1"/>
  <c r="K446" i="3" s="1"/>
  <c r="E173" i="3"/>
  <c r="F173" i="3" s="1"/>
  <c r="K173" i="3" s="1"/>
  <c r="D125" i="3"/>
  <c r="J125" i="3" s="1"/>
  <c r="R125" i="3" s="1"/>
  <c r="D111" i="3"/>
  <c r="J111" i="3" s="1"/>
  <c r="R111" i="3" s="1"/>
  <c r="D334" i="3"/>
  <c r="J334" i="3" s="1"/>
  <c r="R334" i="3" s="1"/>
  <c r="E140" i="3"/>
  <c r="F140" i="3" s="1"/>
  <c r="K140" i="3" s="1"/>
  <c r="E463" i="3"/>
  <c r="F463" i="3" s="1"/>
  <c r="K463" i="3" s="1"/>
  <c r="D102" i="3"/>
  <c r="J102" i="3" s="1"/>
  <c r="R102" i="3" s="1"/>
  <c r="D178" i="3"/>
  <c r="J178" i="3" s="1"/>
  <c r="R178" i="3" s="1"/>
  <c r="E403" i="3"/>
  <c r="F403" i="3" s="1"/>
  <c r="K403" i="3" s="1"/>
  <c r="D76" i="3"/>
  <c r="J76" i="3" s="1"/>
  <c r="R76" i="3" s="1"/>
  <c r="E273" i="3"/>
  <c r="F273" i="3" s="1"/>
  <c r="K273" i="3" s="1"/>
  <c r="L273" i="3" s="1"/>
  <c r="D151" i="3"/>
  <c r="J151" i="3" s="1"/>
  <c r="R151" i="3" s="1"/>
  <c r="D149" i="3"/>
  <c r="J149" i="3" s="1"/>
  <c r="R149" i="3" s="1"/>
  <c r="D4" i="3"/>
  <c r="J4" i="3" s="1"/>
  <c r="R4" i="3" s="1"/>
  <c r="D341" i="3"/>
  <c r="J341" i="3" s="1"/>
  <c r="R341" i="3" s="1"/>
  <c r="D213" i="3"/>
  <c r="J213" i="3" s="1"/>
  <c r="R213" i="3" s="1"/>
  <c r="E392" i="3"/>
  <c r="F392" i="3" s="1"/>
  <c r="K392" i="3" s="1"/>
  <c r="N392" i="3" s="1"/>
  <c r="E250" i="3"/>
  <c r="F250" i="3" s="1"/>
  <c r="K250" i="3" s="1"/>
  <c r="L250" i="3" s="1"/>
  <c r="E279" i="3"/>
  <c r="F279" i="3" s="1"/>
  <c r="K279" i="3" s="1"/>
  <c r="L279" i="3" s="1"/>
  <c r="E314" i="3"/>
  <c r="F314" i="3" s="1"/>
  <c r="K314" i="3" s="1"/>
  <c r="D137" i="3"/>
  <c r="J137" i="3" s="1"/>
  <c r="R137" i="3" s="1"/>
  <c r="D481" i="3"/>
  <c r="J481" i="3" s="1"/>
  <c r="R481" i="3" s="1"/>
  <c r="E345" i="3"/>
  <c r="F345" i="3" s="1"/>
  <c r="K345" i="3" s="1"/>
  <c r="E268" i="3"/>
  <c r="F268" i="3" s="1"/>
  <c r="K268" i="3" s="1"/>
  <c r="D237" i="3"/>
  <c r="J237" i="3" s="1"/>
  <c r="R237" i="3" s="1"/>
  <c r="D22" i="3"/>
  <c r="J22" i="3" s="1"/>
  <c r="R22" i="3" s="1"/>
  <c r="E9" i="3"/>
  <c r="F9" i="3" s="1"/>
  <c r="K9" i="3" s="1"/>
  <c r="D140" i="3"/>
  <c r="J140" i="3" s="1"/>
  <c r="R140" i="3" s="1"/>
  <c r="D123" i="3"/>
  <c r="J123" i="3" s="1"/>
  <c r="R123" i="3" s="1"/>
  <c r="D207" i="3"/>
  <c r="J207" i="3" s="1"/>
  <c r="R207" i="3" s="1"/>
  <c r="D221" i="3"/>
  <c r="J221" i="3" s="1"/>
  <c r="R221" i="3" s="1"/>
  <c r="E79" i="3"/>
  <c r="F79" i="3" s="1"/>
  <c r="K79" i="3" s="1"/>
  <c r="N79" i="3" s="1"/>
  <c r="D284" i="3"/>
  <c r="J284" i="3" s="1"/>
  <c r="R284" i="3" s="1"/>
  <c r="D479" i="3"/>
  <c r="J479" i="3" s="1"/>
  <c r="R479" i="3" s="1"/>
  <c r="E183" i="3"/>
  <c r="F183" i="3" s="1"/>
  <c r="K183" i="3" s="1"/>
  <c r="L183" i="3" s="1"/>
  <c r="D457" i="3"/>
  <c r="J457" i="3" s="1"/>
  <c r="R457" i="3" s="1"/>
  <c r="E283" i="3"/>
  <c r="F283" i="3" s="1"/>
  <c r="K283" i="3" s="1"/>
  <c r="D322" i="3"/>
  <c r="J322" i="3" s="1"/>
  <c r="R322" i="3" s="1"/>
  <c r="D192" i="3"/>
  <c r="J192" i="3" s="1"/>
  <c r="R192" i="3" s="1"/>
  <c r="E57" i="3"/>
  <c r="F57" i="3" s="1"/>
  <c r="K57" i="3" s="1"/>
  <c r="E243" i="3"/>
  <c r="F243" i="3" s="1"/>
  <c r="K243" i="3" s="1"/>
  <c r="E86" i="3"/>
  <c r="F86" i="3" s="1"/>
  <c r="K86" i="3" s="1"/>
  <c r="E132" i="3"/>
  <c r="F132" i="3" s="1"/>
  <c r="K132" i="3" s="1"/>
  <c r="N132" i="3" s="1"/>
  <c r="E53" i="3"/>
  <c r="F53" i="3" s="1"/>
  <c r="K53" i="3" s="1"/>
  <c r="D343" i="3"/>
  <c r="J343" i="3" s="1"/>
  <c r="R343" i="3" s="1"/>
  <c r="E179" i="3"/>
  <c r="F179" i="3" s="1"/>
  <c r="K179" i="3" s="1"/>
  <c r="L179" i="3" s="1"/>
  <c r="D359" i="3"/>
  <c r="J359" i="3" s="1"/>
  <c r="R359" i="3" s="1"/>
  <c r="D36" i="3"/>
  <c r="J36" i="3" s="1"/>
  <c r="R36" i="3" s="1"/>
  <c r="E323" i="3"/>
  <c r="F323" i="3" s="1"/>
  <c r="K323" i="3" s="1"/>
  <c r="L323" i="3" s="1"/>
  <c r="D2" i="3"/>
  <c r="D443" i="3"/>
  <c r="J443" i="3" s="1"/>
  <c r="R443" i="3" s="1"/>
  <c r="D478" i="3"/>
  <c r="J478" i="3" s="1"/>
  <c r="R478" i="3" s="1"/>
  <c r="E233" i="3"/>
  <c r="F233" i="3" s="1"/>
  <c r="K233" i="3" s="1"/>
  <c r="L233" i="3" s="1"/>
  <c r="E114" i="3"/>
  <c r="F114" i="3" s="1"/>
  <c r="K114" i="3" s="1"/>
  <c r="D362" i="3"/>
  <c r="J362" i="3" s="1"/>
  <c r="R362" i="3" s="1"/>
  <c r="D352" i="3"/>
  <c r="J352" i="3" s="1"/>
  <c r="R352" i="3" s="1"/>
  <c r="D288" i="3"/>
  <c r="J288" i="3" s="1"/>
  <c r="R288" i="3" s="1"/>
  <c r="D113" i="3"/>
  <c r="J113" i="3" s="1"/>
  <c r="R113" i="3" s="1"/>
  <c r="D200" i="3"/>
  <c r="J200" i="3" s="1"/>
  <c r="R200" i="3" s="1"/>
  <c r="E198" i="3"/>
  <c r="F198" i="3" s="1"/>
  <c r="K198" i="3" s="1"/>
  <c r="L198" i="3" s="1"/>
  <c r="E443" i="3"/>
  <c r="F443" i="3" s="1"/>
  <c r="K443" i="3" s="1"/>
  <c r="D114" i="3"/>
  <c r="J114" i="3" s="1"/>
  <c r="R114" i="3" s="1"/>
  <c r="E54" i="3"/>
  <c r="F54" i="3" s="1"/>
  <c r="K54" i="3" s="1"/>
  <c r="N54" i="3" s="1"/>
  <c r="D160" i="3"/>
  <c r="J160" i="3" s="1"/>
  <c r="R160" i="3" s="1"/>
  <c r="E387" i="3"/>
  <c r="F387" i="3" s="1"/>
  <c r="K387" i="3" s="1"/>
  <c r="E62" i="3"/>
  <c r="F62" i="3" s="1"/>
  <c r="K62" i="3" s="1"/>
  <c r="N62" i="3" s="1"/>
  <c r="E225" i="3"/>
  <c r="F225" i="3" s="1"/>
  <c r="K225" i="3" s="1"/>
  <c r="D177" i="3"/>
  <c r="J177" i="3" s="1"/>
  <c r="R177" i="3" s="1"/>
  <c r="D61" i="3"/>
  <c r="J61" i="3" s="1"/>
  <c r="R61" i="3" s="1"/>
  <c r="D330" i="3"/>
  <c r="J330" i="3" s="1"/>
  <c r="R330" i="3" s="1"/>
  <c r="D490" i="3"/>
  <c r="J490" i="3" s="1"/>
  <c r="R490" i="3" s="1"/>
  <c r="D50" i="3"/>
  <c r="J50" i="3" s="1"/>
  <c r="R50" i="3" s="1"/>
  <c r="E258" i="3"/>
  <c r="F258" i="3" s="1"/>
  <c r="K258" i="3" s="1"/>
  <c r="D420" i="3"/>
  <c r="J420" i="3" s="1"/>
  <c r="R420" i="3" s="1"/>
  <c r="D296" i="3"/>
  <c r="J296" i="3" s="1"/>
  <c r="R296" i="3" s="1"/>
  <c r="E208" i="3"/>
  <c r="F208" i="3" s="1"/>
  <c r="K208" i="3" s="1"/>
  <c r="D489" i="3"/>
  <c r="J489" i="3" s="1"/>
  <c r="R489" i="3" s="1"/>
  <c r="E396" i="3"/>
  <c r="F396" i="3" s="1"/>
  <c r="K396" i="3" s="1"/>
  <c r="L396" i="3" s="1"/>
  <c r="D454" i="3"/>
  <c r="J454" i="3" s="1"/>
  <c r="R454" i="3" s="1"/>
  <c r="E92" i="3"/>
  <c r="F92" i="3" s="1"/>
  <c r="K92" i="3" s="1"/>
  <c r="E36" i="3"/>
  <c r="F36" i="3" s="1"/>
  <c r="K36" i="3" s="1"/>
  <c r="D250" i="3"/>
  <c r="J250" i="3" s="1"/>
  <c r="R250" i="3" s="1"/>
  <c r="E373" i="3"/>
  <c r="F373" i="3" s="1"/>
  <c r="K373" i="3" s="1"/>
  <c r="D385" i="3"/>
  <c r="J385" i="3" s="1"/>
  <c r="R385" i="3" s="1"/>
  <c r="D31" i="3"/>
  <c r="J31" i="3" s="1"/>
  <c r="R31" i="3" s="1"/>
  <c r="E448" i="3"/>
  <c r="F448" i="3" s="1"/>
  <c r="K448" i="3" s="1"/>
  <c r="L448" i="3" s="1"/>
  <c r="D463" i="3"/>
  <c r="J463" i="3" s="1"/>
  <c r="R463" i="3" s="1"/>
  <c r="D464" i="3"/>
  <c r="J464" i="3" s="1"/>
  <c r="R464" i="3" s="1"/>
  <c r="E340" i="3"/>
  <c r="F340" i="3" s="1"/>
  <c r="K340" i="3" s="1"/>
  <c r="E464" i="3"/>
  <c r="F464" i="3" s="1"/>
  <c r="K464" i="3" s="1"/>
  <c r="N464" i="3" s="1"/>
  <c r="E248" i="3"/>
  <c r="F248" i="3" s="1"/>
  <c r="K248" i="3" s="1"/>
  <c r="N248" i="3" s="1"/>
  <c r="E246" i="3"/>
  <c r="F246" i="3" s="1"/>
  <c r="K246" i="3" s="1"/>
  <c r="N246" i="3" s="1"/>
  <c r="E190" i="3"/>
  <c r="F190" i="3" s="1"/>
  <c r="K190" i="3" s="1"/>
  <c r="E127" i="3"/>
  <c r="F127" i="3" s="1"/>
  <c r="K127" i="3" s="1"/>
  <c r="N127" i="3" s="1"/>
  <c r="E322" i="3"/>
  <c r="F322" i="3" s="1"/>
  <c r="K322" i="3" s="1"/>
  <c r="N322" i="3" s="1"/>
  <c r="E488" i="3"/>
  <c r="F488" i="3" s="1"/>
  <c r="K488" i="3" s="1"/>
  <c r="L488" i="3" s="1"/>
  <c r="D29" i="3"/>
  <c r="J29" i="3" s="1"/>
  <c r="E326" i="3"/>
  <c r="F326" i="3" s="1"/>
  <c r="K326" i="3" s="1"/>
  <c r="L326" i="3" s="1"/>
  <c r="E60" i="3"/>
  <c r="F60" i="3" s="1"/>
  <c r="K60" i="3" s="1"/>
  <c r="D174" i="3"/>
  <c r="J174" i="3" s="1"/>
  <c r="R174" i="3" s="1"/>
  <c r="E334" i="3"/>
  <c r="F334" i="3" s="1"/>
  <c r="K334" i="3" s="1"/>
  <c r="E481" i="3"/>
  <c r="F481" i="3" s="1"/>
  <c r="K481" i="3" s="1"/>
  <c r="E170" i="3"/>
  <c r="F170" i="3" s="1"/>
  <c r="K170" i="3" s="1"/>
  <c r="N170" i="3" s="1"/>
  <c r="D354" i="3"/>
  <c r="J354" i="3" s="1"/>
  <c r="R354" i="3" s="1"/>
  <c r="E68" i="3"/>
  <c r="F68" i="3" s="1"/>
  <c r="K68" i="3" s="1"/>
  <c r="L68" i="3" s="1"/>
  <c r="E22" i="3"/>
  <c r="F22" i="3" s="1"/>
  <c r="K22" i="3" s="1"/>
  <c r="L22" i="3" s="1"/>
  <c r="E24" i="3"/>
  <c r="F24" i="3" s="1"/>
  <c r="K24" i="3" s="1"/>
  <c r="D264" i="3"/>
  <c r="J264" i="3" s="1"/>
  <c r="R264" i="3" s="1"/>
  <c r="E138" i="3"/>
  <c r="F138" i="3" s="1"/>
  <c r="K138" i="3" s="1"/>
  <c r="D380" i="3"/>
  <c r="J380" i="3" s="1"/>
  <c r="R380" i="3" s="1"/>
  <c r="E228" i="3"/>
  <c r="F228" i="3" s="1"/>
  <c r="K228" i="3" s="1"/>
  <c r="L228" i="3" s="1"/>
  <c r="E352" i="3"/>
  <c r="F352" i="3" s="1"/>
  <c r="K352" i="3" s="1"/>
  <c r="L352" i="3" s="1"/>
  <c r="D406" i="3"/>
  <c r="J406" i="3" s="1"/>
  <c r="R406" i="3" s="1"/>
  <c r="E201" i="3"/>
  <c r="F201" i="3" s="1"/>
  <c r="K201" i="3" s="1"/>
  <c r="E498" i="3"/>
  <c r="F498" i="3" s="1"/>
  <c r="K498" i="3" s="1"/>
  <c r="D91" i="3"/>
  <c r="J91" i="3" s="1"/>
  <c r="R91" i="3" s="1"/>
  <c r="D405" i="3"/>
  <c r="J405" i="3" s="1"/>
  <c r="R405" i="3" s="1"/>
  <c r="D370" i="3"/>
  <c r="J370" i="3" s="1"/>
  <c r="R370" i="3" s="1"/>
  <c r="D473" i="3"/>
  <c r="J473" i="3" s="1"/>
  <c r="R473" i="3" s="1"/>
  <c r="D79" i="3"/>
  <c r="J79" i="3" s="1"/>
  <c r="R79" i="3" s="1"/>
  <c r="D336" i="3"/>
  <c r="J336" i="3" s="1"/>
  <c r="R336" i="3" s="1"/>
  <c r="E196" i="3"/>
  <c r="F196" i="3" s="1"/>
  <c r="K196" i="3" s="1"/>
  <c r="N196" i="3" s="1"/>
  <c r="E185" i="3"/>
  <c r="F185" i="3" s="1"/>
  <c r="K185" i="3" s="1"/>
  <c r="E199" i="3"/>
  <c r="F199" i="3" s="1"/>
  <c r="K199" i="3" s="1"/>
  <c r="D335" i="3"/>
  <c r="J335" i="3" s="1"/>
  <c r="R335" i="3" s="1"/>
  <c r="E451" i="3"/>
  <c r="F451" i="3" s="1"/>
  <c r="K451" i="3" s="1"/>
  <c r="D302" i="3"/>
  <c r="J302" i="3" s="1"/>
  <c r="R302" i="3" s="1"/>
  <c r="E265" i="3"/>
  <c r="F265" i="3" s="1"/>
  <c r="K265" i="3" s="1"/>
  <c r="E286" i="3"/>
  <c r="F286" i="3" s="1"/>
  <c r="K286" i="3" s="1"/>
  <c r="D112" i="3"/>
  <c r="J112" i="3" s="1"/>
  <c r="R112" i="3" s="1"/>
  <c r="E483" i="3"/>
  <c r="F483" i="3" s="1"/>
  <c r="K483" i="3" s="1"/>
  <c r="E494" i="3"/>
  <c r="F494" i="3" s="1"/>
  <c r="K494" i="3" s="1"/>
  <c r="N494" i="3" s="1"/>
  <c r="E227" i="3"/>
  <c r="F227" i="3" s="1"/>
  <c r="K227" i="3" s="1"/>
  <c r="N227" i="3" s="1"/>
  <c r="D252" i="3"/>
  <c r="J252" i="3" s="1"/>
  <c r="R252" i="3" s="1"/>
  <c r="E115" i="3"/>
  <c r="F115" i="3" s="1"/>
  <c r="K115" i="3" s="1"/>
  <c r="D456" i="3"/>
  <c r="J456" i="3" s="1"/>
  <c r="R456" i="3" s="1"/>
  <c r="D379" i="3"/>
  <c r="J379" i="3" s="1"/>
  <c r="R379" i="3" s="1"/>
  <c r="E260" i="3"/>
  <c r="F260" i="3" s="1"/>
  <c r="K260" i="3" s="1"/>
  <c r="N260" i="3" s="1"/>
  <c r="D103" i="3"/>
  <c r="J103" i="3" s="1"/>
  <c r="R103" i="3" s="1"/>
  <c r="E70" i="3"/>
  <c r="F70" i="3" s="1"/>
  <c r="K70" i="3" s="1"/>
  <c r="D469" i="3"/>
  <c r="J469" i="3" s="1"/>
  <c r="E364" i="3"/>
  <c r="F364" i="3" s="1"/>
  <c r="K364" i="3" s="1"/>
  <c r="E480" i="3"/>
  <c r="F480" i="3" s="1"/>
  <c r="K480" i="3" s="1"/>
  <c r="N480" i="3" s="1"/>
  <c r="D269" i="3"/>
  <c r="J269" i="3" s="1"/>
  <c r="R269" i="3" s="1"/>
  <c r="D227" i="3"/>
  <c r="J227" i="3" s="1"/>
  <c r="R227" i="3" s="1"/>
  <c r="D475" i="3"/>
  <c r="J475" i="3" s="1"/>
  <c r="R475" i="3" s="1"/>
  <c r="E141" i="3"/>
  <c r="F141" i="3" s="1"/>
  <c r="K141" i="3" s="1"/>
  <c r="N141" i="3" s="1"/>
  <c r="D80" i="3"/>
  <c r="J80" i="3" s="1"/>
  <c r="R80" i="3" s="1"/>
  <c r="D52" i="3"/>
  <c r="J52" i="3" s="1"/>
  <c r="R52" i="3" s="1"/>
  <c r="D217" i="3"/>
  <c r="J217" i="3" s="1"/>
  <c r="R217" i="3" s="1"/>
  <c r="E224" i="3"/>
  <c r="F224" i="3" s="1"/>
  <c r="K224" i="3" s="1"/>
  <c r="E363" i="3"/>
  <c r="F363" i="3" s="1"/>
  <c r="K363" i="3" s="1"/>
  <c r="N363" i="3" s="1"/>
  <c r="D271" i="3"/>
  <c r="J271" i="3" s="1"/>
  <c r="R271" i="3" s="1"/>
  <c r="E492" i="3"/>
  <c r="F492" i="3" s="1"/>
  <c r="K492" i="3" s="1"/>
  <c r="D46" i="3"/>
  <c r="J46" i="3" s="1"/>
  <c r="R46" i="3" s="1"/>
  <c r="D223" i="3"/>
  <c r="J223" i="3" s="1"/>
  <c r="R223" i="3" s="1"/>
  <c r="D458" i="3"/>
  <c r="J458" i="3" s="1"/>
  <c r="R458" i="3" s="1"/>
  <c r="E350" i="3"/>
  <c r="F350" i="3" s="1"/>
  <c r="K350" i="3" s="1"/>
  <c r="L350" i="3" s="1"/>
  <c r="D483" i="3"/>
  <c r="J483" i="3" s="1"/>
  <c r="R483" i="3" s="1"/>
  <c r="D64" i="3"/>
  <c r="J64" i="3" s="1"/>
  <c r="R64" i="3" s="1"/>
  <c r="D82" i="3"/>
  <c r="J82" i="3" s="1"/>
  <c r="R82" i="3" s="1"/>
  <c r="E390" i="3"/>
  <c r="F390" i="3" s="1"/>
  <c r="K390" i="3" s="1"/>
  <c r="E135" i="3"/>
  <c r="F135" i="3" s="1"/>
  <c r="K135" i="3" s="1"/>
  <c r="D69" i="3"/>
  <c r="J69" i="3" s="1"/>
  <c r="R69" i="3" s="1"/>
  <c r="D429" i="3"/>
  <c r="J429" i="3" s="1"/>
  <c r="R429" i="3" s="1"/>
  <c r="E280" i="3"/>
  <c r="F280" i="3" s="1"/>
  <c r="K280" i="3" s="1"/>
  <c r="L280" i="3" s="1"/>
  <c r="D19" i="3"/>
  <c r="J19" i="3" s="1"/>
  <c r="R19" i="3" s="1"/>
  <c r="D187" i="3"/>
  <c r="J187" i="3" s="1"/>
  <c r="R187" i="3" s="1"/>
  <c r="E222" i="3"/>
  <c r="F222" i="3" s="1"/>
  <c r="K222" i="3" s="1"/>
  <c r="L222" i="3" s="1"/>
  <c r="E169" i="3"/>
  <c r="F169" i="3" s="1"/>
  <c r="K169" i="3" s="1"/>
  <c r="E232" i="3"/>
  <c r="F232" i="3" s="1"/>
  <c r="K232" i="3" s="1"/>
  <c r="E143" i="3"/>
  <c r="F143" i="3" s="1"/>
  <c r="K143" i="3" s="1"/>
  <c r="N143" i="3" s="1"/>
  <c r="D144" i="3"/>
  <c r="J144" i="3" s="1"/>
  <c r="R144" i="3" s="1"/>
  <c r="E346" i="3"/>
  <c r="F346" i="3" s="1"/>
  <c r="K346" i="3" s="1"/>
  <c r="E294" i="3"/>
  <c r="F294" i="3" s="1"/>
  <c r="K294" i="3" s="1"/>
  <c r="L294" i="3" s="1"/>
  <c r="E493" i="3"/>
  <c r="F493" i="3" s="1"/>
  <c r="K493" i="3" s="1"/>
  <c r="E330" i="3"/>
  <c r="F330" i="3" s="1"/>
  <c r="K330" i="3" s="1"/>
  <c r="D317" i="3"/>
  <c r="J317" i="3" s="1"/>
  <c r="R317" i="3" s="1"/>
  <c r="D122" i="3"/>
  <c r="J122" i="3" s="1"/>
  <c r="R122" i="3" s="1"/>
  <c r="D333" i="3"/>
  <c r="J333" i="3" s="1"/>
  <c r="R333" i="3" s="1"/>
  <c r="E65" i="3"/>
  <c r="F65" i="3" s="1"/>
  <c r="K65" i="3" s="1"/>
  <c r="L65" i="3" s="1"/>
  <c r="D437" i="3"/>
  <c r="J437" i="3" s="1"/>
  <c r="R437" i="3" s="1"/>
  <c r="D204" i="3"/>
  <c r="J204" i="3" s="1"/>
  <c r="R204" i="3" s="1"/>
  <c r="E42" i="3"/>
  <c r="F42" i="3" s="1"/>
  <c r="K42" i="3" s="1"/>
  <c r="L42" i="3" s="1"/>
  <c r="D386" i="3"/>
  <c r="J386" i="3" s="1"/>
  <c r="R386" i="3" s="1"/>
  <c r="E347" i="3"/>
  <c r="F347" i="3" s="1"/>
  <c r="K347" i="3" s="1"/>
  <c r="N347" i="3" s="1"/>
  <c r="E145" i="3"/>
  <c r="F145" i="3" s="1"/>
  <c r="K145" i="3" s="1"/>
  <c r="L145" i="3" s="1"/>
  <c r="E31" i="3"/>
  <c r="F31" i="3" s="1"/>
  <c r="K31" i="3" s="1"/>
  <c r="N31" i="3" s="1"/>
  <c r="D168" i="3"/>
  <c r="J168" i="3" s="1"/>
  <c r="R168" i="3" s="1"/>
  <c r="E327" i="3"/>
  <c r="F327" i="3" s="1"/>
  <c r="K327" i="3" s="1"/>
  <c r="L327" i="3" s="1"/>
  <c r="D30" i="3"/>
  <c r="J30" i="3" s="1"/>
  <c r="R30" i="3" s="1"/>
  <c r="D55" i="3"/>
  <c r="J55" i="3" s="1"/>
  <c r="R55" i="3" s="1"/>
  <c r="D230" i="3"/>
  <c r="J230" i="3" s="1"/>
  <c r="R230" i="3" s="1"/>
  <c r="D327" i="3"/>
  <c r="J327" i="3" s="1"/>
  <c r="R327" i="3" s="1"/>
  <c r="E187" i="3"/>
  <c r="F187" i="3" s="1"/>
  <c r="K187" i="3" s="1"/>
  <c r="L187" i="3" s="1"/>
  <c r="D47" i="3"/>
  <c r="J47" i="3" s="1"/>
  <c r="R47" i="3" s="1"/>
  <c r="E341" i="3"/>
  <c r="F341" i="3" s="1"/>
  <c r="K341" i="3" s="1"/>
  <c r="D283" i="3"/>
  <c r="J283" i="3" s="1"/>
  <c r="R283" i="3" s="1"/>
  <c r="E97" i="3"/>
  <c r="F97" i="3" s="1"/>
  <c r="K97" i="3" s="1"/>
  <c r="N97" i="3" s="1"/>
  <c r="D493" i="3"/>
  <c r="J493" i="3" s="1"/>
  <c r="R493" i="3" s="1"/>
  <c r="D90" i="3"/>
  <c r="J90" i="3" s="1"/>
  <c r="R90" i="3" s="1"/>
  <c r="D106" i="3"/>
  <c r="J106" i="3" s="1"/>
  <c r="R106" i="3" s="1"/>
  <c r="D477" i="3"/>
  <c r="J477" i="3" s="1"/>
  <c r="R477" i="3" s="1"/>
  <c r="D139" i="3"/>
  <c r="J139" i="3" s="1"/>
  <c r="R139" i="3" s="1"/>
  <c r="D340" i="3"/>
  <c r="J340" i="3" s="1"/>
  <c r="R340" i="3" s="1"/>
  <c r="D70" i="3"/>
  <c r="J70" i="3" s="1"/>
  <c r="R70" i="3" s="1"/>
  <c r="D418" i="3"/>
  <c r="J418" i="3" s="1"/>
  <c r="R418" i="3" s="1"/>
  <c r="D326" i="3"/>
  <c r="J326" i="3" s="1"/>
  <c r="R326" i="3" s="1"/>
  <c r="E460" i="3"/>
  <c r="F460" i="3" s="1"/>
  <c r="K460" i="3" s="1"/>
  <c r="L460" i="3" s="1"/>
  <c r="E333" i="3"/>
  <c r="F333" i="3" s="1"/>
  <c r="K333" i="3" s="1"/>
  <c r="L333" i="3" s="1"/>
  <c r="E421" i="3"/>
  <c r="F421" i="3" s="1"/>
  <c r="K421" i="3" s="1"/>
  <c r="D368" i="3"/>
  <c r="J368" i="3" s="1"/>
  <c r="R368" i="3" s="1"/>
  <c r="D423" i="3"/>
  <c r="J423" i="3" s="1"/>
  <c r="R423" i="3" s="1"/>
  <c r="D344" i="3"/>
  <c r="J344" i="3" s="1"/>
  <c r="R344" i="3" s="1"/>
  <c r="E55" i="3"/>
  <c r="F55" i="3" s="1"/>
  <c r="K55" i="3" s="1"/>
  <c r="D499" i="3"/>
  <c r="J499" i="3" s="1"/>
  <c r="R499" i="3" s="1"/>
  <c r="D141" i="3"/>
  <c r="J141" i="3" s="1"/>
  <c r="R141" i="3" s="1"/>
  <c r="D201" i="3"/>
  <c r="J201" i="3" s="1"/>
  <c r="R201" i="3" s="1"/>
  <c r="D369" i="3"/>
  <c r="J369" i="3" s="1"/>
  <c r="R369" i="3" s="1"/>
  <c r="D462" i="3"/>
  <c r="J462" i="3" s="1"/>
  <c r="R462" i="3" s="1"/>
  <c r="D292" i="3"/>
  <c r="J292" i="3" s="1"/>
  <c r="E359" i="3"/>
  <c r="F359" i="3" s="1"/>
  <c r="K359" i="3" s="1"/>
  <c r="N359" i="3" s="1"/>
  <c r="E6" i="3"/>
  <c r="F6" i="3" s="1"/>
  <c r="K6" i="3" s="1"/>
  <c r="D348" i="3"/>
  <c r="J348" i="3" s="1"/>
  <c r="R348" i="3" s="1"/>
  <c r="D273" i="3"/>
  <c r="J273" i="3" s="1"/>
  <c r="R273" i="3" s="1"/>
  <c r="E324" i="3"/>
  <c r="F324" i="3" s="1"/>
  <c r="K324" i="3" s="1"/>
  <c r="N324" i="3" s="1"/>
  <c r="D377" i="3"/>
  <c r="J377" i="3" s="1"/>
  <c r="R377" i="3" s="1"/>
  <c r="D258" i="3"/>
  <c r="J258" i="3" s="1"/>
  <c r="R258" i="3" s="1"/>
  <c r="E89" i="3"/>
  <c r="F89" i="3" s="1"/>
  <c r="K89" i="3" s="1"/>
  <c r="D153" i="3"/>
  <c r="J153" i="3" s="1"/>
  <c r="R153" i="3" s="1"/>
  <c r="E417" i="3"/>
  <c r="F417" i="3" s="1"/>
  <c r="K417" i="3" s="1"/>
  <c r="D461" i="3"/>
  <c r="J461" i="3" s="1"/>
  <c r="R461" i="3" s="1"/>
  <c r="E120" i="3"/>
  <c r="F120" i="3" s="1"/>
  <c r="K120" i="3" s="1"/>
  <c r="E351" i="3"/>
  <c r="F351" i="3" s="1"/>
  <c r="K351" i="3" s="1"/>
  <c r="L351" i="3" s="1"/>
  <c r="E152" i="3"/>
  <c r="F152" i="3" s="1"/>
  <c r="K152" i="3" s="1"/>
  <c r="D172" i="3"/>
  <c r="J172" i="3" s="1"/>
  <c r="R172" i="3" s="1"/>
  <c r="D97" i="3"/>
  <c r="J97" i="3" s="1"/>
  <c r="R97" i="3" s="1"/>
  <c r="E277" i="3"/>
  <c r="F277" i="3" s="1"/>
  <c r="K277" i="3" s="1"/>
  <c r="E94" i="3"/>
  <c r="F94" i="3" s="1"/>
  <c r="K94" i="3" s="1"/>
  <c r="N94" i="3" s="1"/>
  <c r="D285" i="3"/>
  <c r="J285" i="3" s="1"/>
  <c r="R285" i="3" s="1"/>
  <c r="E3" i="3"/>
  <c r="F3" i="3" s="1"/>
  <c r="K3" i="3" s="1"/>
  <c r="L3" i="3" s="1"/>
  <c r="E48" i="3"/>
  <c r="F48" i="3" s="1"/>
  <c r="K48" i="3" s="1"/>
  <c r="D305" i="3"/>
  <c r="J305" i="3" s="1"/>
  <c r="R305" i="3" s="1"/>
  <c r="D253" i="3"/>
  <c r="J253" i="3" s="1"/>
  <c r="R253" i="3" s="1"/>
  <c r="D442" i="3"/>
  <c r="J442" i="3" s="1"/>
  <c r="R442" i="3" s="1"/>
  <c r="D239" i="3"/>
  <c r="J239" i="3" s="1"/>
  <c r="R239" i="3" s="1"/>
  <c r="D465" i="3"/>
  <c r="J465" i="3" s="1"/>
  <c r="R465" i="3" s="1"/>
  <c r="E484" i="3"/>
  <c r="F484" i="3" s="1"/>
  <c r="K484" i="3" s="1"/>
  <c r="N484" i="3" s="1"/>
  <c r="D314" i="3"/>
  <c r="J314" i="3" s="1"/>
  <c r="R314" i="3" s="1"/>
  <c r="E424" i="3"/>
  <c r="F424" i="3" s="1"/>
  <c r="K424" i="3" s="1"/>
  <c r="D12" i="3"/>
  <c r="J12" i="3" s="1"/>
  <c r="R12" i="3" s="1"/>
  <c r="E438" i="3"/>
  <c r="F438" i="3" s="1"/>
  <c r="K438" i="3" s="1"/>
  <c r="D54" i="3"/>
  <c r="J54" i="3" s="1"/>
  <c r="R54" i="3" s="1"/>
  <c r="D9" i="3"/>
  <c r="J9" i="3" s="1"/>
  <c r="R9" i="3" s="1"/>
  <c r="D471" i="3"/>
  <c r="J471" i="3" s="1"/>
  <c r="R471" i="3" s="1"/>
  <c r="D449" i="3"/>
  <c r="J449" i="3" s="1"/>
  <c r="R449" i="3" s="1"/>
  <c r="M469" i="3" l="1"/>
  <c r="R469" i="3"/>
  <c r="O407" i="3"/>
  <c r="R407" i="3"/>
  <c r="M292" i="3"/>
  <c r="R292" i="3"/>
  <c r="M29" i="3"/>
  <c r="R29" i="3"/>
  <c r="L197" i="3"/>
  <c r="J8" i="3"/>
  <c r="R8" i="3" s="1"/>
  <c r="O215" i="3"/>
  <c r="O444" i="3"/>
  <c r="N319" i="3"/>
  <c r="L459" i="3"/>
  <c r="O210" i="3"/>
  <c r="N292" i="3"/>
  <c r="M252" i="3"/>
  <c r="M101" i="3"/>
  <c r="N35" i="3"/>
  <c r="L139" i="3"/>
  <c r="M459" i="3"/>
  <c r="K8" i="3"/>
  <c r="N8" i="3" s="1"/>
  <c r="O471" i="3"/>
  <c r="O349" i="3"/>
  <c r="L400" i="3"/>
  <c r="N400" i="3"/>
  <c r="L194" i="3"/>
  <c r="M371" i="3"/>
  <c r="N238" i="3"/>
  <c r="O354" i="3"/>
  <c r="M238" i="3"/>
  <c r="M287" i="3"/>
  <c r="N386" i="3"/>
  <c r="M5" i="3"/>
  <c r="N282" i="3"/>
  <c r="L49" i="3"/>
  <c r="O30" i="3"/>
  <c r="L20" i="3"/>
  <c r="M337" i="3"/>
  <c r="L371" i="3"/>
  <c r="L142" i="3"/>
  <c r="N454" i="3"/>
  <c r="L386" i="3"/>
  <c r="N313" i="3"/>
  <c r="N245" i="3"/>
  <c r="O441" i="3"/>
  <c r="M313" i="3"/>
  <c r="L313" i="3"/>
  <c r="L87" i="3"/>
  <c r="N29" i="3"/>
  <c r="L105" i="3"/>
  <c r="N354" i="3"/>
  <c r="M317" i="3"/>
  <c r="O122" i="3"/>
  <c r="N475" i="3"/>
  <c r="N407" i="3"/>
  <c r="O26" i="3"/>
  <c r="L491" i="3"/>
  <c r="M47" i="3"/>
  <c r="M456" i="3"/>
  <c r="O219" i="3"/>
  <c r="L34" i="3"/>
  <c r="L325" i="3"/>
  <c r="M26" i="3"/>
  <c r="N318" i="3"/>
  <c r="O437" i="3"/>
  <c r="N15" i="3"/>
  <c r="N52" i="3"/>
  <c r="L219" i="3"/>
  <c r="N219" i="3"/>
  <c r="L478" i="3"/>
  <c r="M105" i="3"/>
  <c r="N20" i="3"/>
  <c r="L414" i="3"/>
  <c r="N397" i="3"/>
  <c r="M344" i="3"/>
  <c r="L397" i="3"/>
  <c r="L344" i="3"/>
  <c r="N344" i="3"/>
  <c r="L23" i="3"/>
  <c r="N137" i="3"/>
  <c r="N283" i="3"/>
  <c r="L241" i="3"/>
  <c r="O449" i="3"/>
  <c r="O364" i="3"/>
  <c r="N352" i="3"/>
  <c r="N102" i="3"/>
  <c r="N269" i="3"/>
  <c r="M103" i="3"/>
  <c r="N437" i="3"/>
  <c r="O266" i="3"/>
  <c r="L422" i="3"/>
  <c r="N4" i="3"/>
  <c r="L204" i="3"/>
  <c r="N192" i="3"/>
  <c r="L281" i="3"/>
  <c r="M396" i="3"/>
  <c r="O396" i="3"/>
  <c r="O287" i="3"/>
  <c r="L340" i="3"/>
  <c r="O87" i="3"/>
  <c r="M380" i="3"/>
  <c r="N250" i="3"/>
  <c r="L48" i="3"/>
  <c r="M104" i="3"/>
  <c r="M299" i="3"/>
  <c r="L464" i="3"/>
  <c r="O241" i="3"/>
  <c r="O49" i="3"/>
  <c r="N304" i="3"/>
  <c r="L449" i="3"/>
  <c r="N74" i="3"/>
  <c r="N188" i="3"/>
  <c r="L254" i="3"/>
  <c r="L298" i="3"/>
  <c r="L95" i="3"/>
  <c r="O476" i="3"/>
  <c r="L74" i="3"/>
  <c r="M117" i="3"/>
  <c r="M471" i="3"/>
  <c r="L437" i="3"/>
  <c r="N253" i="3"/>
  <c r="L304" i="3"/>
  <c r="M342" i="3"/>
  <c r="O69" i="3"/>
  <c r="L317" i="3"/>
  <c r="O453" i="3"/>
  <c r="N299" i="3"/>
  <c r="M69" i="3"/>
  <c r="M475" i="3"/>
  <c r="O290" i="3"/>
  <c r="L10" i="3"/>
  <c r="L339" i="3"/>
  <c r="L475" i="3"/>
  <c r="L471" i="3"/>
  <c r="M254" i="3"/>
  <c r="L457" i="3"/>
  <c r="N180" i="3"/>
  <c r="L405" i="3"/>
  <c r="O405" i="3"/>
  <c r="M266" i="3"/>
  <c r="N294" i="3"/>
  <c r="L174" i="3"/>
  <c r="L266" i="3"/>
  <c r="L97" i="3"/>
  <c r="M290" i="3"/>
  <c r="N69" i="3"/>
  <c r="O254" i="3"/>
  <c r="N405" i="3"/>
  <c r="O475" i="3"/>
  <c r="L382" i="3"/>
  <c r="N164" i="3"/>
  <c r="M68" i="3"/>
  <c r="L69" i="3"/>
  <c r="N317" i="3"/>
  <c r="N270" i="3"/>
  <c r="N195" i="3"/>
  <c r="O177" i="3"/>
  <c r="O250" i="3"/>
  <c r="O68" i="3"/>
  <c r="M245" i="3"/>
  <c r="M145" i="3"/>
  <c r="M45" i="3"/>
  <c r="O340" i="3"/>
  <c r="N213" i="3"/>
  <c r="L381" i="3"/>
  <c r="M414" i="3"/>
  <c r="N380" i="3"/>
  <c r="N414" i="3"/>
  <c r="N395" i="3"/>
  <c r="O282" i="3"/>
  <c r="N340" i="3"/>
  <c r="L101" i="3"/>
  <c r="N456" i="3"/>
  <c r="N191" i="3"/>
  <c r="O456" i="3"/>
  <c r="O200" i="3"/>
  <c r="N224" i="3"/>
  <c r="O145" i="3"/>
  <c r="L170" i="3"/>
  <c r="N200" i="3"/>
  <c r="L341" i="3"/>
  <c r="M452" i="3"/>
  <c r="O101" i="3"/>
  <c r="N341" i="3"/>
  <c r="L191" i="3"/>
  <c r="M54" i="3"/>
  <c r="O397" i="3"/>
  <c r="O105" i="3"/>
  <c r="M161" i="3"/>
  <c r="M461" i="3"/>
  <c r="M144" i="3"/>
  <c r="O339" i="3"/>
  <c r="M52" i="3"/>
  <c r="M410" i="3"/>
  <c r="N342" i="3"/>
  <c r="O48" i="3"/>
  <c r="M349" i="3"/>
  <c r="L421" i="3"/>
  <c r="O313" i="3"/>
  <c r="M84" i="3"/>
  <c r="N48" i="3"/>
  <c r="M223" i="3"/>
  <c r="L465" i="3"/>
  <c r="O342" i="3"/>
  <c r="N326" i="3"/>
  <c r="L363" i="3"/>
  <c r="M225" i="3"/>
  <c r="O269" i="3"/>
  <c r="L2" i="3"/>
  <c r="N421" i="3"/>
  <c r="M453" i="3"/>
  <c r="O465" i="3"/>
  <c r="O459" i="3"/>
  <c r="L283" i="3"/>
  <c r="M326" i="3"/>
  <c r="O283" i="3"/>
  <c r="M288" i="3"/>
  <c r="O144" i="3"/>
  <c r="O457" i="3"/>
  <c r="M200" i="3"/>
  <c r="N68" i="3"/>
  <c r="M263" i="3"/>
  <c r="M227" i="3"/>
  <c r="L419" i="3"/>
  <c r="N228" i="3"/>
  <c r="M283" i="3"/>
  <c r="N398" i="3"/>
  <c r="N14" i="3"/>
  <c r="M194" i="3"/>
  <c r="L454" i="3"/>
  <c r="L26" i="3"/>
  <c r="L111" i="3"/>
  <c r="L318" i="3"/>
  <c r="N167" i="3"/>
  <c r="L284" i="3"/>
  <c r="L287" i="3"/>
  <c r="M457" i="3"/>
  <c r="L332" i="3"/>
  <c r="N37" i="3"/>
  <c r="N139" i="3"/>
  <c r="L346" i="3"/>
  <c r="N351" i="3"/>
  <c r="L132" i="3"/>
  <c r="O458" i="3"/>
  <c r="M397" i="3"/>
  <c r="L15" i="3"/>
  <c r="L44" i="3"/>
  <c r="L169" i="3"/>
  <c r="N350" i="3"/>
  <c r="L372" i="3"/>
  <c r="N204" i="3"/>
  <c r="M354" i="3"/>
  <c r="O419" i="3"/>
  <c r="M332" i="3"/>
  <c r="O4" i="3"/>
  <c r="M403" i="3"/>
  <c r="O130" i="3"/>
  <c r="M318" i="3"/>
  <c r="L35" i="3"/>
  <c r="N169" i="3"/>
  <c r="O326" i="3"/>
  <c r="N323" i="3"/>
  <c r="O54" i="3"/>
  <c r="O194" i="3"/>
  <c r="N346" i="3"/>
  <c r="L167" i="3"/>
  <c r="L45" i="3"/>
  <c r="N3" i="3"/>
  <c r="L458" i="3"/>
  <c r="M204" i="3"/>
  <c r="M192" i="3"/>
  <c r="O281" i="3"/>
  <c r="M44" i="3"/>
  <c r="O14" i="3"/>
  <c r="M284" i="3"/>
  <c r="O454" i="3"/>
  <c r="O464" i="3"/>
  <c r="N279" i="3"/>
  <c r="O45" i="3"/>
  <c r="N130" i="3"/>
  <c r="N194" i="3"/>
  <c r="L237" i="3"/>
  <c r="N287" i="3"/>
  <c r="L77" i="3"/>
  <c r="O35" i="3"/>
  <c r="M35" i="3"/>
  <c r="M458" i="3"/>
  <c r="O352" i="3"/>
  <c r="M307" i="3"/>
  <c r="L300" i="3"/>
  <c r="O327" i="3"/>
  <c r="M341" i="3"/>
  <c r="M305" i="3"/>
  <c r="O216" i="3"/>
  <c r="O123" i="3"/>
  <c r="O23" i="3"/>
  <c r="O291" i="3"/>
  <c r="M206" i="3"/>
  <c r="O164" i="3"/>
  <c r="O421" i="3"/>
  <c r="M472" i="3"/>
  <c r="M64" i="3"/>
  <c r="M479" i="3"/>
  <c r="M140" i="3"/>
  <c r="O111" i="3"/>
  <c r="O222" i="3"/>
  <c r="M360" i="3"/>
  <c r="N76" i="3"/>
  <c r="M406" i="3"/>
  <c r="L426" i="3"/>
  <c r="O192" i="3"/>
  <c r="O60" i="3"/>
  <c r="M443" i="3"/>
  <c r="M382" i="3"/>
  <c r="M357" i="3"/>
  <c r="M110" i="3"/>
  <c r="O247" i="3"/>
  <c r="O131" i="3"/>
  <c r="M142" i="3"/>
  <c r="N461" i="3"/>
  <c r="M141" i="3"/>
  <c r="N174" i="3"/>
  <c r="N254" i="3"/>
  <c r="M201" i="3"/>
  <c r="O167" i="3"/>
  <c r="O372" i="3"/>
  <c r="L359" i="3"/>
  <c r="L290" i="3"/>
  <c r="M437" i="3"/>
  <c r="M177" i="3"/>
  <c r="M102" i="3"/>
  <c r="M375" i="3"/>
  <c r="O289" i="3"/>
  <c r="O496" i="3"/>
  <c r="M195" i="3"/>
  <c r="O379" i="3"/>
  <c r="M191" i="3"/>
  <c r="O443" i="3"/>
  <c r="N82" i="3"/>
  <c r="L406" i="3"/>
  <c r="M112" i="3"/>
  <c r="O121" i="3"/>
  <c r="M408" i="3"/>
  <c r="O88" i="3"/>
  <c r="O132" i="3"/>
  <c r="M190" i="3"/>
  <c r="O455" i="3"/>
  <c r="M43" i="3"/>
  <c r="M301" i="3"/>
  <c r="O363" i="3"/>
  <c r="L295" i="3"/>
  <c r="M30" i="3"/>
  <c r="N276" i="3"/>
  <c r="L92" i="3"/>
  <c r="M167" i="3"/>
  <c r="M311" i="3"/>
  <c r="M372" i="3"/>
  <c r="O304" i="3"/>
  <c r="L494" i="3"/>
  <c r="O381" i="3"/>
  <c r="M85" i="3"/>
  <c r="N183" i="3"/>
  <c r="O61" i="3"/>
  <c r="L324" i="3"/>
  <c r="L455" i="3"/>
  <c r="M304" i="3"/>
  <c r="L476" i="3"/>
  <c r="M61" i="3"/>
  <c r="N222" i="3"/>
  <c r="O102" i="3"/>
  <c r="M137" i="3"/>
  <c r="L224" i="3"/>
  <c r="N145" i="3"/>
  <c r="N360" i="3"/>
  <c r="L54" i="3"/>
  <c r="M321" i="3"/>
  <c r="M418" i="3"/>
  <c r="O276" i="3"/>
  <c r="O29" i="3"/>
  <c r="N110" i="3"/>
  <c r="O55" i="3"/>
  <c r="O114" i="3"/>
  <c r="M320" i="3"/>
  <c r="O376" i="3"/>
  <c r="M249" i="3"/>
  <c r="O318" i="3"/>
  <c r="M381" i="3"/>
  <c r="N107" i="3"/>
  <c r="O484" i="3"/>
  <c r="M441" i="3"/>
  <c r="O142" i="3"/>
  <c r="O382" i="3"/>
  <c r="O460" i="3"/>
  <c r="N382" i="3"/>
  <c r="N262" i="3"/>
  <c r="M454" i="3"/>
  <c r="N339" i="3"/>
  <c r="O141" i="3"/>
  <c r="M421" i="3"/>
  <c r="M339" i="3"/>
  <c r="N92" i="3"/>
  <c r="L141" i="3"/>
  <c r="N298" i="3"/>
  <c r="N408" i="3"/>
  <c r="L500" i="3"/>
  <c r="L468" i="3"/>
  <c r="O431" i="3"/>
  <c r="O137" i="3"/>
  <c r="N463" i="3"/>
  <c r="L463" i="3"/>
  <c r="L221" i="3"/>
  <c r="N221" i="3"/>
  <c r="N277" i="3"/>
  <c r="M72" i="3"/>
  <c r="L120" i="3"/>
  <c r="N120" i="3"/>
  <c r="M120" i="3"/>
  <c r="M135" i="3"/>
  <c r="O135" i="3"/>
  <c r="O483" i="3"/>
  <c r="M483" i="3"/>
  <c r="N481" i="3"/>
  <c r="L481" i="3"/>
  <c r="M377" i="3"/>
  <c r="O377" i="3"/>
  <c r="L377" i="3"/>
  <c r="L108" i="3"/>
  <c r="N108" i="3"/>
  <c r="N153" i="3"/>
  <c r="N99" i="3"/>
  <c r="O99" i="3"/>
  <c r="L99" i="3"/>
  <c r="M99" i="3"/>
  <c r="O445" i="3"/>
  <c r="L445" i="3"/>
  <c r="M445" i="3"/>
  <c r="N445" i="3"/>
  <c r="N12" i="3"/>
  <c r="L136" i="3"/>
  <c r="N136" i="3"/>
  <c r="N274" i="3"/>
  <c r="O12" i="3"/>
  <c r="N175" i="3"/>
  <c r="M386" i="3"/>
  <c r="O386" i="3"/>
  <c r="M184" i="3"/>
  <c r="L56" i="3"/>
  <c r="N56" i="3"/>
  <c r="N135" i="3"/>
  <c r="M352" i="3"/>
  <c r="N275" i="3"/>
  <c r="L135" i="3"/>
  <c r="O380" i="3"/>
  <c r="L125" i="3"/>
  <c r="L438" i="3"/>
  <c r="O438" i="3"/>
  <c r="N438" i="3"/>
  <c r="M438" i="3"/>
  <c r="L347" i="3"/>
  <c r="L115" i="3"/>
  <c r="O115" i="3"/>
  <c r="N115" i="3"/>
  <c r="L392" i="3"/>
  <c r="N293" i="3"/>
  <c r="L293" i="3"/>
  <c r="L230" i="3"/>
  <c r="N230" i="3"/>
  <c r="L19" i="3"/>
  <c r="N19" i="3"/>
  <c r="L176" i="3"/>
  <c r="L118" i="3"/>
  <c r="N72" i="3"/>
  <c r="L72" i="3"/>
  <c r="O346" i="3"/>
  <c r="M346" i="3"/>
  <c r="N441" i="3"/>
  <c r="L441" i="3"/>
  <c r="M159" i="3"/>
  <c r="L159" i="3"/>
  <c r="N159" i="3"/>
  <c r="N129" i="3"/>
  <c r="L129" i="3"/>
  <c r="L203" i="3"/>
  <c r="N203" i="3"/>
  <c r="O208" i="3"/>
  <c r="N335" i="3"/>
  <c r="M335" i="3"/>
  <c r="O335" i="3"/>
  <c r="N251" i="3"/>
  <c r="L251" i="3"/>
  <c r="M464" i="3"/>
  <c r="N483" i="3"/>
  <c r="M241" i="3"/>
  <c r="N176" i="3"/>
  <c r="O159" i="3"/>
  <c r="L483" i="3"/>
  <c r="M56" i="3"/>
  <c r="L208" i="3"/>
  <c r="N208" i="3"/>
  <c r="L12" i="3"/>
  <c r="N27" i="3"/>
  <c r="N106" i="3"/>
  <c r="L275" i="3"/>
  <c r="L153" i="3"/>
  <c r="N125" i="3"/>
  <c r="L274" i="3"/>
  <c r="L94" i="3"/>
  <c r="M94" i="3"/>
  <c r="O94" i="3"/>
  <c r="L149" i="3"/>
  <c r="O149" i="3"/>
  <c r="M149" i="3"/>
  <c r="L336" i="3"/>
  <c r="M336" i="3"/>
  <c r="N336" i="3"/>
  <c r="N93" i="3"/>
  <c r="L93" i="3"/>
  <c r="L81" i="3"/>
  <c r="N81" i="3"/>
  <c r="O300" i="3"/>
  <c r="M300" i="3"/>
  <c r="O197" i="3"/>
  <c r="M197" i="3"/>
  <c r="N64" i="3"/>
  <c r="O64" i="3"/>
  <c r="M293" i="3"/>
  <c r="O293" i="3"/>
  <c r="O220" i="3"/>
  <c r="N477" i="3"/>
  <c r="L64" i="3"/>
  <c r="M497" i="3"/>
  <c r="O203" i="3"/>
  <c r="M75" i="3"/>
  <c r="O481" i="3"/>
  <c r="M481" i="3"/>
  <c r="M179" i="3"/>
  <c r="M333" i="3"/>
  <c r="N88" i="3"/>
  <c r="O190" i="3"/>
  <c r="M449" i="3"/>
  <c r="L357" i="3"/>
  <c r="O338" i="3"/>
  <c r="O221" i="3"/>
  <c r="O120" i="3"/>
  <c r="N432" i="3"/>
  <c r="O468" i="3"/>
  <c r="O305" i="3"/>
  <c r="L276" i="3"/>
  <c r="O406" i="3"/>
  <c r="O230" i="3"/>
  <c r="O336" i="3"/>
  <c r="O217" i="3"/>
  <c r="O39" i="3"/>
  <c r="O176" i="3"/>
  <c r="O53" i="3"/>
  <c r="O275" i="3"/>
  <c r="O70" i="3"/>
  <c r="O479" i="3"/>
  <c r="M150" i="3"/>
  <c r="M87" i="3"/>
  <c r="O271" i="3"/>
  <c r="O158" i="3"/>
  <c r="N66" i="3"/>
  <c r="N431" i="3"/>
  <c r="N206" i="3"/>
  <c r="M468" i="3"/>
  <c r="M389" i="3"/>
  <c r="M373" i="3"/>
  <c r="O267" i="3"/>
  <c r="O118" i="3"/>
  <c r="O429" i="3"/>
  <c r="N173" i="3"/>
  <c r="N210" i="3"/>
  <c r="M198" i="3"/>
  <c r="M431" i="3"/>
  <c r="O371" i="3"/>
  <c r="L107" i="3"/>
  <c r="N406" i="3"/>
  <c r="M271" i="3"/>
  <c r="L393" i="3"/>
  <c r="L67" i="3"/>
  <c r="N36" i="3"/>
  <c r="O286" i="3"/>
  <c r="O425" i="3"/>
  <c r="O18" i="3"/>
  <c r="M476" i="3"/>
  <c r="O370" i="3"/>
  <c r="O359" i="3"/>
  <c r="O16" i="3"/>
  <c r="O100" i="3"/>
  <c r="O392" i="3"/>
  <c r="O488" i="3"/>
  <c r="O367" i="3"/>
  <c r="M39" i="3"/>
  <c r="M38" i="3"/>
  <c r="M228" i="3"/>
  <c r="O393" i="3"/>
  <c r="O152" i="3"/>
  <c r="O430" i="3"/>
  <c r="M374" i="3"/>
  <c r="O233" i="3"/>
  <c r="M343" i="3"/>
  <c r="O206" i="3"/>
  <c r="O374" i="3"/>
  <c r="M50" i="3"/>
  <c r="O5" i="3"/>
  <c r="M76" i="3"/>
  <c r="O334" i="3"/>
  <c r="M207" i="3"/>
  <c r="M169" i="3"/>
  <c r="M422" i="3"/>
  <c r="M279" i="3"/>
  <c r="O235" i="3"/>
  <c r="O47" i="3"/>
  <c r="O466" i="3"/>
  <c r="O173" i="3"/>
  <c r="O7" i="3"/>
  <c r="O108" i="3"/>
  <c r="O432" i="3"/>
  <c r="M312" i="3"/>
  <c r="M74" i="3"/>
  <c r="M20" i="3"/>
  <c r="M53" i="3"/>
  <c r="M34" i="3"/>
  <c r="M22" i="3"/>
  <c r="L210" i="3"/>
  <c r="O341" i="3"/>
  <c r="M296" i="3"/>
  <c r="M114" i="3"/>
  <c r="O343" i="3"/>
  <c r="M368" i="3"/>
  <c r="O297" i="3"/>
  <c r="M115" i="3"/>
  <c r="O360" i="3"/>
  <c r="M351" i="3"/>
  <c r="O10" i="3"/>
  <c r="M129" i="3"/>
  <c r="O191" i="3"/>
  <c r="O329" i="3"/>
  <c r="M185" i="3"/>
  <c r="O240" i="3"/>
  <c r="M470" i="3"/>
  <c r="O388" i="3"/>
  <c r="N240" i="3"/>
  <c r="M208" i="3"/>
  <c r="O408" i="3"/>
  <c r="O469" i="3"/>
  <c r="M130" i="3"/>
  <c r="O3" i="3"/>
  <c r="O452" i="3"/>
  <c r="N22" i="3"/>
  <c r="O22" i="3"/>
  <c r="J2" i="3"/>
  <c r="O288" i="3"/>
  <c r="M276" i="3"/>
  <c r="O112" i="3"/>
  <c r="L412" i="3"/>
  <c r="M327" i="3"/>
  <c r="M210" i="3"/>
  <c r="M281" i="3"/>
  <c r="M164" i="3"/>
  <c r="N198" i="3"/>
  <c r="O104" i="3"/>
  <c r="M285" i="3"/>
  <c r="M275" i="3"/>
  <c r="L173" i="3"/>
  <c r="N271" i="3"/>
  <c r="M369" i="3"/>
  <c r="O369" i="3"/>
  <c r="O463" i="3"/>
  <c r="M463" i="3"/>
  <c r="O489" i="3"/>
  <c r="M146" i="3"/>
  <c r="O146" i="3"/>
  <c r="M196" i="3"/>
  <c r="O196" i="3"/>
  <c r="N122" i="3"/>
  <c r="L122" i="3"/>
  <c r="M65" i="3"/>
  <c r="O65" i="3"/>
  <c r="N163" i="3"/>
  <c r="O163" i="3"/>
  <c r="L163" i="3"/>
  <c r="L181" i="3"/>
  <c r="N181" i="3"/>
  <c r="O147" i="3"/>
  <c r="L147" i="3"/>
  <c r="M147" i="3"/>
  <c r="N147" i="3"/>
  <c r="O365" i="3"/>
  <c r="M365" i="3"/>
  <c r="L59" i="3"/>
  <c r="N59" i="3"/>
  <c r="O319" i="3"/>
  <c r="M319" i="3"/>
  <c r="L473" i="3"/>
  <c r="N473" i="3"/>
  <c r="O473" i="3"/>
  <c r="M473" i="3"/>
  <c r="L416" i="3"/>
  <c r="N416" i="3"/>
  <c r="L447" i="3"/>
  <c r="M447" i="3"/>
  <c r="N447" i="3"/>
  <c r="O228" i="3"/>
  <c r="M220" i="3"/>
  <c r="O442" i="3"/>
  <c r="M442" i="3"/>
  <c r="L232" i="3"/>
  <c r="N199" i="3"/>
  <c r="L199" i="3"/>
  <c r="O107" i="3"/>
  <c r="M107" i="3"/>
  <c r="L41" i="3"/>
  <c r="O41" i="3"/>
  <c r="O155" i="3"/>
  <c r="M155" i="3"/>
  <c r="M255" i="3"/>
  <c r="O255" i="3"/>
  <c r="N96" i="3"/>
  <c r="L96" i="3"/>
  <c r="M27" i="3"/>
  <c r="O27" i="3"/>
  <c r="M487" i="3"/>
  <c r="L150" i="3"/>
  <c r="N150" i="3"/>
  <c r="O391" i="3"/>
  <c r="M391" i="3"/>
  <c r="M7" i="3"/>
  <c r="L477" i="3"/>
  <c r="M286" i="3"/>
  <c r="N55" i="3"/>
  <c r="L55" i="3"/>
  <c r="N42" i="3"/>
  <c r="N315" i="3"/>
  <c r="O315" i="3"/>
  <c r="M315" i="3"/>
  <c r="L366" i="3"/>
  <c r="O251" i="3"/>
  <c r="M251" i="3"/>
  <c r="M361" i="3"/>
  <c r="O361" i="3"/>
  <c r="O390" i="3"/>
  <c r="M390" i="3"/>
  <c r="M136" i="3"/>
  <c r="O136" i="3"/>
  <c r="O307" i="3"/>
  <c r="L307" i="3"/>
  <c r="N307" i="3"/>
  <c r="O246" i="3"/>
  <c r="M246" i="3"/>
  <c r="N497" i="3"/>
  <c r="O296" i="3"/>
  <c r="M430" i="3"/>
  <c r="O161" i="3"/>
  <c r="O477" i="3"/>
  <c r="M477" i="3"/>
  <c r="N330" i="3"/>
  <c r="L330" i="3"/>
  <c r="N492" i="3"/>
  <c r="L492" i="3"/>
  <c r="L334" i="3"/>
  <c r="N334" i="3"/>
  <c r="M420" i="3"/>
  <c r="L114" i="3"/>
  <c r="N114" i="3"/>
  <c r="O257" i="3"/>
  <c r="M257" i="3"/>
  <c r="L331" i="3"/>
  <c r="O331" i="3"/>
  <c r="N331" i="3"/>
  <c r="M331" i="3"/>
  <c r="F1" i="3"/>
  <c r="K1" i="3" s="1"/>
  <c r="U1" i="3" s="1"/>
  <c r="N205" i="3"/>
  <c r="L205" i="3"/>
  <c r="N423" i="3"/>
  <c r="L423" i="3"/>
  <c r="N474" i="3"/>
  <c r="L474" i="3"/>
  <c r="M492" i="3"/>
  <c r="O492" i="3"/>
  <c r="L425" i="3"/>
  <c r="N425" i="3"/>
  <c r="M232" i="3"/>
  <c r="O350" i="3"/>
  <c r="M350" i="3"/>
  <c r="N297" i="3"/>
  <c r="J1" i="3"/>
  <c r="R1" i="3" s="1"/>
  <c r="L252" i="3"/>
  <c r="N252" i="3"/>
  <c r="M21" i="3"/>
  <c r="O21" i="3"/>
  <c r="O395" i="3"/>
  <c r="M395" i="3"/>
  <c r="M466" i="3"/>
  <c r="M489" i="3"/>
  <c r="O351" i="3"/>
  <c r="L369" i="3"/>
  <c r="M172" i="3"/>
  <c r="O172" i="3"/>
  <c r="L79" i="3"/>
  <c r="O79" i="3"/>
  <c r="N261" i="3"/>
  <c r="L261" i="3"/>
  <c r="N257" i="3"/>
  <c r="L257" i="3"/>
  <c r="M86" i="3"/>
  <c r="O86" i="3"/>
  <c r="L151" i="3"/>
  <c r="O151" i="3"/>
  <c r="L50" i="3"/>
  <c r="N50" i="3"/>
  <c r="O50" i="3"/>
  <c r="N469" i="3"/>
  <c r="L469" i="3"/>
  <c r="L28" i="3"/>
  <c r="O28" i="3"/>
  <c r="N28" i="3"/>
  <c r="M28" i="3"/>
  <c r="N218" i="3"/>
  <c r="L218" i="3"/>
  <c r="M393" i="3"/>
  <c r="L497" i="3"/>
  <c r="L32" i="3"/>
  <c r="M176" i="3"/>
  <c r="M240" i="3"/>
  <c r="N411" i="3"/>
  <c r="M222" i="3"/>
  <c r="N6" i="3"/>
  <c r="L6" i="3"/>
  <c r="M90" i="3"/>
  <c r="O90" i="3"/>
  <c r="M265" i="3"/>
  <c r="O265" i="3"/>
  <c r="N265" i="3"/>
  <c r="L265" i="3"/>
  <c r="M60" i="3"/>
  <c r="N60" i="3"/>
  <c r="N258" i="3"/>
  <c r="L258" i="3"/>
  <c r="N443" i="3"/>
  <c r="O415" i="3"/>
  <c r="M415" i="3"/>
  <c r="L427" i="3"/>
  <c r="N427" i="3"/>
  <c r="O186" i="3"/>
  <c r="M186" i="3"/>
  <c r="L58" i="3"/>
  <c r="O58" i="3"/>
  <c r="N58" i="3"/>
  <c r="N485" i="3"/>
  <c r="L485" i="3"/>
  <c r="L158" i="3"/>
  <c r="L490" i="3"/>
  <c r="N490" i="3"/>
  <c r="O73" i="3"/>
  <c r="O312" i="3"/>
  <c r="O301" i="3"/>
  <c r="M444" i="3"/>
  <c r="O472" i="3"/>
  <c r="L215" i="3"/>
  <c r="O447" i="3"/>
  <c r="O317" i="3"/>
  <c r="O74" i="3"/>
  <c r="M49" i="3"/>
  <c r="O207" i="3"/>
  <c r="M24" i="3"/>
  <c r="M480" i="3"/>
  <c r="M388" i="3"/>
  <c r="O366" i="3"/>
  <c r="M250" i="3"/>
  <c r="O43" i="3"/>
  <c r="O284" i="3"/>
  <c r="M23" i="3"/>
  <c r="M12" i="3"/>
  <c r="O59" i="3"/>
  <c r="M432" i="3"/>
  <c r="L75" i="3"/>
  <c r="M488" i="3"/>
  <c r="L175" i="3"/>
  <c r="M175" i="3"/>
  <c r="M151" i="3"/>
  <c r="N151" i="3"/>
  <c r="O175" i="3"/>
  <c r="M280" i="3"/>
  <c r="N305" i="3"/>
  <c r="N301" i="3"/>
  <c r="M132" i="3"/>
  <c r="M88" i="3"/>
  <c r="M152" i="3"/>
  <c r="O279" i="3"/>
  <c r="N328" i="3"/>
  <c r="L60" i="3"/>
  <c r="M376" i="3"/>
  <c r="N41" i="3"/>
  <c r="N158" i="3"/>
  <c r="N489" i="3"/>
  <c r="O113" i="3"/>
  <c r="M178" i="3"/>
  <c r="M59" i="3"/>
  <c r="O225" i="3"/>
  <c r="M33" i="3"/>
  <c r="O134" i="3"/>
  <c r="M205" i="3"/>
  <c r="N390" i="3"/>
  <c r="L390" i="3"/>
  <c r="M324" i="3"/>
  <c r="O324" i="3"/>
  <c r="M234" i="3"/>
  <c r="O234" i="3"/>
  <c r="L128" i="3"/>
  <c r="O224" i="3"/>
  <c r="M224" i="3"/>
  <c r="N25" i="3"/>
  <c r="L25" i="3"/>
  <c r="N90" i="3"/>
  <c r="N220" i="3"/>
  <c r="L220" i="3"/>
  <c r="M273" i="3"/>
  <c r="O273" i="3"/>
  <c r="O46" i="3"/>
  <c r="M46" i="3"/>
  <c r="N488" i="3"/>
  <c r="N179" i="3"/>
  <c r="O180" i="3"/>
  <c r="M180" i="3"/>
  <c r="N375" i="3"/>
  <c r="L375" i="3"/>
  <c r="M446" i="3"/>
  <c r="O446" i="3"/>
  <c r="L367" i="3"/>
  <c r="N367" i="3"/>
  <c r="L462" i="3"/>
  <c r="N462" i="3"/>
  <c r="M462" i="3"/>
  <c r="O462" i="3"/>
  <c r="M239" i="3"/>
  <c r="L239" i="3"/>
  <c r="N239" i="3"/>
  <c r="O239" i="3"/>
  <c r="N184" i="3"/>
  <c r="L389" i="3"/>
  <c r="N389" i="3"/>
  <c r="L211" i="3"/>
  <c r="M211" i="3"/>
  <c r="O211" i="3"/>
  <c r="N338" i="3"/>
  <c r="L338" i="3"/>
  <c r="O184" i="3"/>
  <c r="N378" i="3"/>
  <c r="L90" i="3"/>
  <c r="M424" i="3"/>
  <c r="L424" i="3"/>
  <c r="O424" i="3"/>
  <c r="N424" i="3"/>
  <c r="N225" i="3"/>
  <c r="L225" i="3"/>
  <c r="O213" i="3"/>
  <c r="M213" i="3"/>
  <c r="O375" i="3"/>
  <c r="O13" i="3"/>
  <c r="M13" i="3"/>
  <c r="L165" i="3"/>
  <c r="O165" i="3"/>
  <c r="M165" i="3"/>
  <c r="O321" i="3"/>
  <c r="N321" i="3"/>
  <c r="M498" i="3"/>
  <c r="O498" i="3"/>
  <c r="M242" i="3"/>
  <c r="O242" i="3"/>
  <c r="M402" i="3"/>
  <c r="N402" i="3"/>
  <c r="O494" i="3"/>
  <c r="M494" i="3"/>
  <c r="M193" i="3"/>
  <c r="N193" i="3"/>
  <c r="L193" i="3"/>
  <c r="O193" i="3"/>
  <c r="M259" i="3"/>
  <c r="O259" i="3"/>
  <c r="L329" i="3"/>
  <c r="N329" i="3"/>
  <c r="O236" i="3"/>
  <c r="M236" i="3"/>
  <c r="M496" i="3"/>
  <c r="N160" i="3"/>
  <c r="L160" i="3"/>
  <c r="O160" i="3"/>
  <c r="L229" i="3"/>
  <c r="N229" i="3"/>
  <c r="M229" i="3"/>
  <c r="O260" i="3"/>
  <c r="M260" i="3"/>
  <c r="O314" i="3"/>
  <c r="M314" i="3"/>
  <c r="L185" i="3"/>
  <c r="N185" i="3"/>
  <c r="M322" i="3"/>
  <c r="L312" i="3"/>
  <c r="N312" i="3"/>
  <c r="N217" i="3"/>
  <c r="L217" i="3"/>
  <c r="M217" i="3"/>
  <c r="N186" i="3"/>
  <c r="L186" i="3"/>
  <c r="N404" i="3"/>
  <c r="O404" i="3"/>
  <c r="M404" i="3"/>
  <c r="L33" i="3"/>
  <c r="N33" i="3"/>
  <c r="N244" i="3"/>
  <c r="L244" i="3"/>
  <c r="N385" i="3"/>
  <c r="O385" i="3"/>
  <c r="L385" i="3"/>
  <c r="M385" i="3"/>
  <c r="N379" i="3"/>
  <c r="L379" i="3"/>
  <c r="M379" i="3"/>
  <c r="N289" i="3"/>
  <c r="L289" i="3"/>
  <c r="M18" i="3"/>
  <c r="M392" i="3"/>
  <c r="L277" i="3"/>
  <c r="O322" i="3"/>
  <c r="M143" i="3"/>
  <c r="L404" i="3"/>
  <c r="O487" i="3"/>
  <c r="L7" i="3"/>
  <c r="N7" i="3"/>
  <c r="O153" i="3"/>
  <c r="M153" i="3"/>
  <c r="M423" i="3"/>
  <c r="O423" i="3"/>
  <c r="M82" i="3"/>
  <c r="O82" i="3"/>
  <c r="M264" i="3"/>
  <c r="O31" i="3"/>
  <c r="M31" i="3"/>
  <c r="N243" i="3"/>
  <c r="L243" i="3"/>
  <c r="M243" i="3"/>
  <c r="O243" i="3"/>
  <c r="N450" i="3"/>
  <c r="L450" i="3"/>
  <c r="M450" i="3"/>
  <c r="L182" i="3"/>
  <c r="O218" i="3"/>
  <c r="M218" i="3"/>
  <c r="L202" i="3"/>
  <c r="M202" i="3"/>
  <c r="O202" i="3"/>
  <c r="N202" i="3"/>
  <c r="N40" i="3"/>
  <c r="L40" i="3"/>
  <c r="L302" i="3"/>
  <c r="M302" i="3"/>
  <c r="O302" i="3"/>
  <c r="M63" i="3"/>
  <c r="L316" i="3"/>
  <c r="O368" i="3"/>
  <c r="O76" i="3"/>
  <c r="L235" i="3"/>
  <c r="L484" i="3"/>
  <c r="M484" i="3"/>
  <c r="L89" i="3"/>
  <c r="N89" i="3"/>
  <c r="L24" i="3"/>
  <c r="O24" i="3"/>
  <c r="O330" i="3"/>
  <c r="M330" i="3"/>
  <c r="M125" i="3"/>
  <c r="O125" i="3"/>
  <c r="L306" i="3"/>
  <c r="M306" i="3"/>
  <c r="N306" i="3"/>
  <c r="O306" i="3"/>
  <c r="M491" i="3"/>
  <c r="O491" i="3"/>
  <c r="N30" i="3"/>
  <c r="L18" i="3"/>
  <c r="N18" i="3"/>
  <c r="L43" i="3"/>
  <c r="L157" i="3"/>
  <c r="O157" i="3"/>
  <c r="M157" i="3"/>
  <c r="M262" i="3"/>
  <c r="O262" i="3"/>
  <c r="O461" i="3"/>
  <c r="O480" i="3"/>
  <c r="M334" i="3"/>
  <c r="M419" i="3"/>
  <c r="L411" i="3"/>
  <c r="N273" i="3"/>
  <c r="M378" i="3"/>
  <c r="O252" i="3"/>
  <c r="M436" i="3"/>
  <c r="O56" i="3"/>
  <c r="O416" i="3"/>
  <c r="M73" i="3"/>
  <c r="O63" i="3"/>
  <c r="M221" i="3"/>
  <c r="L480" i="3"/>
  <c r="M4" i="3"/>
  <c r="L301" i="3"/>
  <c r="M367" i="3"/>
  <c r="N267" i="3"/>
  <c r="O20" i="3"/>
  <c r="O238" i="3"/>
  <c r="N187" i="3"/>
  <c r="M42" i="3"/>
  <c r="O179" i="3"/>
  <c r="M289" i="3"/>
  <c r="O414" i="3"/>
  <c r="O72" i="3"/>
  <c r="O299" i="3"/>
  <c r="N365" i="3"/>
  <c r="O344" i="3"/>
  <c r="M89" i="3"/>
  <c r="N366" i="3"/>
  <c r="L378" i="3"/>
  <c r="N211" i="3"/>
  <c r="M455" i="3"/>
  <c r="M499" i="3"/>
  <c r="O499" i="3"/>
  <c r="N373" i="3"/>
  <c r="L373" i="3"/>
  <c r="O237" i="3"/>
  <c r="M237" i="3"/>
  <c r="L166" i="3"/>
  <c r="N166" i="3"/>
  <c r="M92" i="3"/>
  <c r="O92" i="3"/>
  <c r="O51" i="3"/>
  <c r="M51" i="3"/>
  <c r="O316" i="3"/>
  <c r="M316" i="3"/>
  <c r="L148" i="3"/>
  <c r="M148" i="3"/>
  <c r="O148" i="3"/>
  <c r="O109" i="3"/>
  <c r="M109" i="3"/>
  <c r="L38" i="3"/>
  <c r="N38" i="3"/>
  <c r="O38" i="3"/>
  <c r="O25" i="3"/>
  <c r="M303" i="3"/>
  <c r="O303" i="3"/>
  <c r="L11" i="3"/>
  <c r="O11" i="3"/>
  <c r="N11" i="3"/>
  <c r="M425" i="3"/>
  <c r="M97" i="3"/>
  <c r="O97" i="3"/>
  <c r="O187" i="3"/>
  <c r="M187" i="3"/>
  <c r="O362" i="3"/>
  <c r="M362" i="3"/>
  <c r="N268" i="3"/>
  <c r="O268" i="3"/>
  <c r="L268" i="3"/>
  <c r="M268" i="3"/>
  <c r="M126" i="3"/>
  <c r="O126" i="3"/>
  <c r="L84" i="3"/>
  <c r="N84" i="3"/>
  <c r="O84" i="3"/>
  <c r="L47" i="3"/>
  <c r="N47" i="3"/>
  <c r="M170" i="3"/>
  <c r="O170" i="3"/>
  <c r="M400" i="3"/>
  <c r="O400" i="3"/>
  <c r="N434" i="3"/>
  <c r="L434" i="3"/>
  <c r="M434" i="3"/>
  <c r="L113" i="3"/>
  <c r="N113" i="3"/>
  <c r="O495" i="3"/>
  <c r="M495" i="3"/>
  <c r="M188" i="3"/>
  <c r="O188" i="3"/>
  <c r="N232" i="3"/>
  <c r="N333" i="3"/>
  <c r="O333" i="3"/>
  <c r="M19" i="3"/>
  <c r="O19" i="3"/>
  <c r="O80" i="3"/>
  <c r="M80" i="3"/>
  <c r="M298" i="3"/>
  <c r="O298" i="3"/>
  <c r="O433" i="3"/>
  <c r="M433" i="3"/>
  <c r="L259" i="3"/>
  <c r="N259" i="3"/>
  <c r="L376" i="3"/>
  <c r="L496" i="3"/>
  <c r="L178" i="3"/>
  <c r="O178" i="3"/>
  <c r="N178" i="3"/>
  <c r="N126" i="3"/>
  <c r="L126" i="3"/>
  <c r="M261" i="3"/>
  <c r="O261" i="3"/>
  <c r="N320" i="3"/>
  <c r="O325" i="3"/>
  <c r="M325" i="3"/>
  <c r="L212" i="3"/>
  <c r="N417" i="3"/>
  <c r="L417" i="3"/>
  <c r="N280" i="3"/>
  <c r="O280" i="3"/>
  <c r="M364" i="3"/>
  <c r="L364" i="3"/>
  <c r="N364" i="3"/>
  <c r="M138" i="3"/>
  <c r="L138" i="3"/>
  <c r="L71" i="3"/>
  <c r="L116" i="3"/>
  <c r="M116" i="3"/>
  <c r="O116" i="3"/>
  <c r="N116" i="3"/>
  <c r="N104" i="3"/>
  <c r="L104" i="3"/>
  <c r="N355" i="3"/>
  <c r="L355" i="3"/>
  <c r="N285" i="3"/>
  <c r="O285" i="3"/>
  <c r="N428" i="3"/>
  <c r="N309" i="3"/>
  <c r="O309" i="3"/>
  <c r="L236" i="3"/>
  <c r="M440" i="3"/>
  <c r="N440" i="3"/>
  <c r="L440" i="3"/>
  <c r="O373" i="3"/>
  <c r="L17" i="3"/>
  <c r="N17" i="3"/>
  <c r="L119" i="3"/>
  <c r="M119" i="3"/>
  <c r="N119" i="3"/>
  <c r="O119" i="3"/>
  <c r="N249" i="3"/>
  <c r="L249" i="3"/>
  <c r="N394" i="3"/>
  <c r="L394" i="3"/>
  <c r="O394" i="3"/>
  <c r="M394" i="3"/>
  <c r="O185" i="3"/>
  <c r="M173" i="3"/>
  <c r="O422" i="3"/>
  <c r="O52" i="3"/>
  <c r="O497" i="3"/>
  <c r="O332" i="3"/>
  <c r="M253" i="3"/>
  <c r="O253" i="3"/>
  <c r="M348" i="3"/>
  <c r="O348" i="3"/>
  <c r="L196" i="3"/>
  <c r="L127" i="3"/>
  <c r="L53" i="3"/>
  <c r="N53" i="3"/>
  <c r="L209" i="3"/>
  <c r="M209" i="3"/>
  <c r="O209" i="3"/>
  <c r="N209" i="3"/>
  <c r="O15" i="3"/>
  <c r="M15" i="3"/>
  <c r="O128" i="3"/>
  <c r="M128" i="3"/>
  <c r="L51" i="3"/>
  <c r="M133" i="3"/>
  <c r="O133" i="3"/>
  <c r="L272" i="3"/>
  <c r="M272" i="3"/>
  <c r="N272" i="3"/>
  <c r="O272" i="3"/>
  <c r="N80" i="3"/>
  <c r="M429" i="3"/>
  <c r="M428" i="3"/>
  <c r="O428" i="3"/>
  <c r="L343" i="3"/>
  <c r="N343" i="3"/>
  <c r="O67" i="3"/>
  <c r="M67" i="3"/>
  <c r="N399" i="3"/>
  <c r="L399" i="3"/>
  <c r="O249" i="3"/>
  <c r="L134" i="3"/>
  <c r="N134" i="3"/>
  <c r="M134" i="3"/>
  <c r="M338" i="3"/>
  <c r="N231" i="3"/>
  <c r="O231" i="3"/>
  <c r="M231" i="3"/>
  <c r="N98" i="3"/>
  <c r="L98" i="3"/>
  <c r="N21" i="3"/>
  <c r="L83" i="3"/>
  <c r="N83" i="3"/>
  <c r="O83" i="3"/>
  <c r="M83" i="3"/>
  <c r="N436" i="3"/>
  <c r="L436" i="3"/>
  <c r="O308" i="3"/>
  <c r="L308" i="3"/>
  <c r="M308" i="3"/>
  <c r="N308" i="3"/>
  <c r="M41" i="3"/>
  <c r="M108" i="3"/>
  <c r="L285" i="3"/>
  <c r="N152" i="3"/>
  <c r="L152" i="3"/>
  <c r="N190" i="3"/>
  <c r="L190" i="3"/>
  <c r="L387" i="3"/>
  <c r="N387" i="3"/>
  <c r="L57" i="3"/>
  <c r="N57" i="3"/>
  <c r="N403" i="3"/>
  <c r="O403" i="3"/>
  <c r="L403" i="3"/>
  <c r="N466" i="3"/>
  <c r="L466" i="3"/>
  <c r="N388" i="3"/>
  <c r="L388" i="3"/>
  <c r="L479" i="3"/>
  <c r="N479" i="3"/>
  <c r="N442" i="3"/>
  <c r="L442" i="3"/>
  <c r="L486" i="3"/>
  <c r="N486" i="3"/>
  <c r="O183" i="3"/>
  <c r="M183" i="3"/>
  <c r="N189" i="3"/>
  <c r="L189" i="3"/>
  <c r="O270" i="3"/>
  <c r="M270" i="3"/>
  <c r="M355" i="3"/>
  <c r="O355" i="3"/>
  <c r="N370" i="3"/>
  <c r="L370" i="3"/>
  <c r="O399" i="3"/>
  <c r="M399" i="3"/>
  <c r="M121" i="3"/>
  <c r="O78" i="3"/>
  <c r="M78" i="3"/>
  <c r="L401" i="3"/>
  <c r="O81" i="3"/>
  <c r="M81" i="3"/>
  <c r="O482" i="3"/>
  <c r="M482" i="3"/>
  <c r="O77" i="3"/>
  <c r="M77" i="3"/>
  <c r="O75" i="3"/>
  <c r="O320" i="3"/>
  <c r="N43" i="3"/>
  <c r="N429" i="3"/>
  <c r="M340" i="3"/>
  <c r="O450" i="3"/>
  <c r="M11" i="3"/>
  <c r="M79" i="3"/>
  <c r="O387" i="3"/>
  <c r="M387" i="3"/>
  <c r="M10" i="3"/>
  <c r="N100" i="3"/>
  <c r="M111" i="3"/>
  <c r="N24" i="3"/>
  <c r="M291" i="3"/>
  <c r="O258" i="3"/>
  <c r="O410" i="3"/>
  <c r="O264" i="3"/>
  <c r="O129" i="3"/>
  <c r="L365" i="3"/>
  <c r="M407" i="3"/>
  <c r="M277" i="3"/>
  <c r="M58" i="3"/>
  <c r="M203" i="3"/>
  <c r="O223" i="3"/>
  <c r="O434" i="3"/>
  <c r="L489" i="3"/>
  <c r="N128" i="3"/>
  <c r="L21" i="3"/>
  <c r="M17" i="3"/>
  <c r="O143" i="3"/>
  <c r="L143" i="3"/>
  <c r="N140" i="3"/>
  <c r="L140" i="3"/>
  <c r="O140" i="3"/>
  <c r="L16" i="3"/>
  <c r="N16" i="3"/>
  <c r="L413" i="3"/>
  <c r="M413" i="3"/>
  <c r="N413" i="3"/>
  <c r="L256" i="3"/>
  <c r="N256" i="3"/>
  <c r="M256" i="3"/>
  <c r="O256" i="3"/>
  <c r="N391" i="3"/>
  <c r="L391" i="3"/>
  <c r="L162" i="3"/>
  <c r="O162" i="3"/>
  <c r="L39" i="3"/>
  <c r="N39" i="3"/>
  <c r="M62" i="3"/>
  <c r="O62" i="3"/>
  <c r="O166" i="3"/>
  <c r="M166" i="3"/>
  <c r="M323" i="3"/>
  <c r="O323" i="3"/>
  <c r="N310" i="3"/>
  <c r="L310" i="3"/>
  <c r="M310" i="3"/>
  <c r="O310" i="3"/>
  <c r="L264" i="3"/>
  <c r="N264" i="3"/>
  <c r="N487" i="3"/>
  <c r="M57" i="3"/>
  <c r="O57" i="3"/>
  <c r="O413" i="3"/>
  <c r="N207" i="3"/>
  <c r="L207" i="3"/>
  <c r="O96" i="3"/>
  <c r="M96" i="3"/>
  <c r="L91" i="3"/>
  <c r="O171" i="3"/>
  <c r="M171" i="3"/>
  <c r="M353" i="3"/>
  <c r="O353" i="3"/>
  <c r="L133" i="3"/>
  <c r="N133" i="3"/>
  <c r="L168" i="3"/>
  <c r="O168" i="3"/>
  <c r="N168" i="3"/>
  <c r="N420" i="3"/>
  <c r="L420" i="3"/>
  <c r="L356" i="3"/>
  <c r="N356" i="3"/>
  <c r="M356" i="3"/>
  <c r="O356" i="3"/>
  <c r="L109" i="3"/>
  <c r="O274" i="3"/>
  <c r="M274" i="3"/>
  <c r="O277" i="3"/>
  <c r="M370" i="3"/>
  <c r="M359" i="3"/>
  <c r="O139" i="3"/>
  <c r="M139" i="3"/>
  <c r="M490" i="3"/>
  <c r="O490" i="3"/>
  <c r="L86" i="3"/>
  <c r="N86" i="3"/>
  <c r="L368" i="3"/>
  <c r="N368" i="3"/>
  <c r="N73" i="3"/>
  <c r="O417" i="3"/>
  <c r="M417" i="3"/>
  <c r="N439" i="3"/>
  <c r="L439" i="3"/>
  <c r="M199" i="3"/>
  <c r="O199" i="3"/>
  <c r="M474" i="3"/>
  <c r="O474" i="3"/>
  <c r="L161" i="3"/>
  <c r="N161" i="3"/>
  <c r="O42" i="3"/>
  <c r="O232" i="3"/>
  <c r="M267" i="3"/>
  <c r="M235" i="3"/>
  <c r="L335" i="3"/>
  <c r="O181" i="3"/>
  <c r="O169" i="3"/>
  <c r="M297" i="3"/>
  <c r="N369" i="3"/>
  <c r="M55" i="3"/>
  <c r="M91" i="3"/>
  <c r="O91" i="3"/>
  <c r="N448" i="3"/>
  <c r="L62" i="3"/>
  <c r="N121" i="3"/>
  <c r="L409" i="3"/>
  <c r="N409" i="3"/>
  <c r="M409" i="3"/>
  <c r="O409" i="3"/>
  <c r="O71" i="3"/>
  <c r="M71" i="3"/>
  <c r="O154" i="3"/>
  <c r="M154" i="3"/>
  <c r="M215" i="3"/>
  <c r="N215" i="3"/>
  <c r="M226" i="3"/>
  <c r="O226" i="3"/>
  <c r="O389" i="3"/>
  <c r="O93" i="3"/>
  <c r="M93" i="3"/>
  <c r="O66" i="3"/>
  <c r="M66" i="3"/>
  <c r="M329" i="3"/>
  <c r="M439" i="3"/>
  <c r="O439" i="3"/>
  <c r="M25" i="3"/>
  <c r="M168" i="3"/>
  <c r="M106" i="3"/>
  <c r="O106" i="3"/>
  <c r="L493" i="3"/>
  <c r="N493" i="3"/>
  <c r="N286" i="3"/>
  <c r="L286" i="3"/>
  <c r="O174" i="3"/>
  <c r="M174" i="3"/>
  <c r="M233" i="3"/>
  <c r="N233" i="3"/>
  <c r="O345" i="3"/>
  <c r="M345" i="3"/>
  <c r="N345" i="3"/>
  <c r="L345" i="3"/>
  <c r="M485" i="3"/>
  <c r="O485" i="3"/>
  <c r="L305" i="3"/>
  <c r="M37" i="3"/>
  <c r="O37" i="3"/>
  <c r="M127" i="3"/>
  <c r="O127" i="3"/>
  <c r="N123" i="3"/>
  <c r="L123" i="3"/>
  <c r="M123" i="3"/>
  <c r="L63" i="3"/>
  <c r="N112" i="3"/>
  <c r="L112" i="3"/>
  <c r="M486" i="3"/>
  <c r="O486" i="3"/>
  <c r="L154" i="3"/>
  <c r="N154" i="3"/>
  <c r="O98" i="3"/>
  <c r="M98" i="3"/>
  <c r="L255" i="3"/>
  <c r="N255" i="3"/>
  <c r="M427" i="3"/>
  <c r="O427" i="3"/>
  <c r="O32" i="3"/>
  <c r="M32" i="3"/>
  <c r="M244" i="3"/>
  <c r="O244" i="3"/>
  <c r="M122" i="3"/>
  <c r="N348" i="3"/>
  <c r="L322" i="3"/>
  <c r="O195" i="3"/>
  <c r="O440" i="3"/>
  <c r="M163" i="3"/>
  <c r="M363" i="3"/>
  <c r="L70" i="3"/>
  <c r="M70" i="3"/>
  <c r="N70" i="3"/>
  <c r="N498" i="3"/>
  <c r="L498" i="3"/>
  <c r="L36" i="3"/>
  <c r="M36" i="3"/>
  <c r="O36" i="3"/>
  <c r="L278" i="3"/>
  <c r="O278" i="3"/>
  <c r="N278" i="3"/>
  <c r="M278" i="3"/>
  <c r="O95" i="3"/>
  <c r="M95" i="3"/>
  <c r="M398" i="3"/>
  <c r="O398" i="3"/>
  <c r="N242" i="3"/>
  <c r="L242" i="3"/>
  <c r="M347" i="3"/>
  <c r="O347" i="3"/>
  <c r="L361" i="3"/>
  <c r="L499" i="3"/>
  <c r="L472" i="3"/>
  <c r="N472" i="3"/>
  <c r="O150" i="3"/>
  <c r="N444" i="3"/>
  <c r="L444" i="3"/>
  <c r="N357" i="3"/>
  <c r="O357" i="3"/>
  <c r="O182" i="3"/>
  <c r="M182" i="3"/>
  <c r="N296" i="3"/>
  <c r="L296" i="3"/>
  <c r="O89" i="3"/>
  <c r="L429" i="3"/>
  <c r="M282" i="3"/>
  <c r="N63" i="3"/>
  <c r="M216" i="3"/>
  <c r="M162" i="3"/>
  <c r="M158" i="3"/>
  <c r="N165" i="3"/>
  <c r="M100" i="3"/>
  <c r="N51" i="3"/>
  <c r="L121" i="3"/>
  <c r="N157" i="3"/>
  <c r="O138" i="3"/>
  <c r="N138" i="3"/>
  <c r="O420" i="3"/>
  <c r="L443" i="3"/>
  <c r="O378" i="3"/>
  <c r="O34" i="3"/>
  <c r="M405" i="3"/>
  <c r="N316" i="3"/>
  <c r="N5" i="3"/>
  <c r="L201" i="3"/>
  <c r="N201" i="3"/>
  <c r="O201" i="3"/>
  <c r="L246" i="3"/>
  <c r="L482" i="3"/>
  <c r="N156" i="3"/>
  <c r="L156" i="3"/>
  <c r="O156" i="3"/>
  <c r="O411" i="3"/>
  <c r="O17" i="3"/>
  <c r="L383" i="3"/>
  <c r="N383" i="3"/>
  <c r="L131" i="3"/>
  <c r="N131" i="3"/>
  <c r="L435" i="3"/>
  <c r="N435" i="3"/>
  <c r="M156" i="3"/>
  <c r="M14" i="3"/>
  <c r="N482" i="3"/>
  <c r="L418" i="3"/>
  <c r="M309" i="3"/>
  <c r="O44" i="3"/>
  <c r="O436" i="3"/>
  <c r="N451" i="3"/>
  <c r="N396" i="3"/>
  <c r="M160" i="3"/>
  <c r="L446" i="3"/>
  <c r="N446" i="3"/>
  <c r="N384" i="3"/>
  <c r="O384" i="3"/>
  <c r="L384" i="3"/>
  <c r="O40" i="3"/>
  <c r="M247" i="3"/>
  <c r="L245" i="3"/>
  <c r="O245" i="3"/>
  <c r="N223" i="3"/>
  <c r="L223" i="3"/>
  <c r="L337" i="3"/>
  <c r="O337" i="3"/>
  <c r="L303" i="3"/>
  <c r="N303" i="3"/>
  <c r="L263" i="3"/>
  <c r="O263" i="3"/>
  <c r="L124" i="3"/>
  <c r="N124" i="3"/>
  <c r="L234" i="3"/>
  <c r="O189" i="3"/>
  <c r="L177" i="3"/>
  <c r="N177" i="3"/>
  <c r="M48" i="3"/>
  <c r="M401" i="3"/>
  <c r="N467" i="3"/>
  <c r="L467" i="3"/>
  <c r="O467" i="3"/>
  <c r="N460" i="3"/>
  <c r="M460" i="3"/>
  <c r="O358" i="3"/>
  <c r="M358" i="3"/>
  <c r="M500" i="3"/>
  <c r="O124" i="3"/>
  <c r="M124" i="3"/>
  <c r="M16" i="3"/>
  <c r="L85" i="3"/>
  <c r="O85" i="3"/>
  <c r="L46" i="3"/>
  <c r="N46" i="3"/>
  <c r="L247" i="3"/>
  <c r="N247" i="3"/>
  <c r="O198" i="3"/>
  <c r="N426" i="3"/>
  <c r="N327" i="3"/>
  <c r="N65" i="3"/>
  <c r="L227" i="3"/>
  <c r="O227" i="3"/>
  <c r="O383" i="3"/>
  <c r="N362" i="3"/>
  <c r="M219" i="3"/>
  <c r="O212" i="3"/>
  <c r="M212" i="3"/>
  <c r="N144" i="3"/>
  <c r="L144" i="3"/>
  <c r="L410" i="3"/>
  <c r="N410" i="3"/>
  <c r="M465" i="3"/>
  <c r="M40" i="3"/>
  <c r="O292" i="3"/>
  <c r="M412" i="3"/>
  <c r="L13" i="3"/>
  <c r="N85" i="3"/>
  <c r="O204" i="3"/>
  <c r="M118" i="3"/>
  <c r="M366" i="3"/>
  <c r="O103" i="3"/>
  <c r="N337" i="3"/>
  <c r="O33" i="3"/>
  <c r="O401" i="3"/>
  <c r="M230" i="3"/>
  <c r="M3" i="3"/>
  <c r="L415" i="3"/>
  <c r="L470" i="3"/>
  <c r="O470" i="3"/>
  <c r="M478" i="3"/>
  <c r="O478" i="3"/>
  <c r="O6" i="3"/>
  <c r="M448" i="3"/>
  <c r="L311" i="3"/>
  <c r="O311" i="3"/>
  <c r="O229" i="3"/>
  <c r="L291" i="3"/>
  <c r="N291" i="3"/>
  <c r="L430" i="3"/>
  <c r="N430" i="3"/>
  <c r="L110" i="3"/>
  <c r="O110" i="3"/>
  <c r="M131" i="3"/>
  <c r="L226" i="3"/>
  <c r="M214" i="3"/>
  <c r="N214" i="3"/>
  <c r="O214" i="3"/>
  <c r="N172" i="3"/>
  <c r="L172" i="3"/>
  <c r="M328" i="3"/>
  <c r="M6" i="3"/>
  <c r="M411" i="3"/>
  <c r="O418" i="3"/>
  <c r="O448" i="3"/>
  <c r="N216" i="3"/>
  <c r="O412" i="3"/>
  <c r="M416" i="3"/>
  <c r="L248" i="3"/>
  <c r="M248" i="3"/>
  <c r="O248" i="3"/>
  <c r="L453" i="3"/>
  <c r="N495" i="3"/>
  <c r="L495" i="3"/>
  <c r="M294" i="3"/>
  <c r="O294" i="3"/>
  <c r="L171" i="3"/>
  <c r="N171" i="3"/>
  <c r="L288" i="3"/>
  <c r="M384" i="3"/>
  <c r="O328" i="3"/>
  <c r="O435" i="3"/>
  <c r="O205" i="3"/>
  <c r="M451" i="3"/>
  <c r="N103" i="3"/>
  <c r="N263" i="3"/>
  <c r="N453" i="3"/>
  <c r="M189" i="3"/>
  <c r="L155" i="3"/>
  <c r="N358" i="3"/>
  <c r="O117" i="3"/>
  <c r="M383" i="3"/>
  <c r="L5" i="3"/>
  <c r="M258" i="3"/>
  <c r="M493" i="3"/>
  <c r="L432" i="3"/>
  <c r="O426" i="3"/>
  <c r="O500" i="3"/>
  <c r="L260" i="3"/>
  <c r="M113" i="3"/>
  <c r="L314" i="3"/>
  <c r="N314" i="3"/>
  <c r="M181" i="3"/>
  <c r="L78" i="3"/>
  <c r="N78" i="3"/>
  <c r="M426" i="3"/>
  <c r="N433" i="3"/>
  <c r="N349" i="3"/>
  <c r="L349" i="3"/>
  <c r="O402" i="3"/>
  <c r="L117" i="3"/>
  <c r="O295" i="3"/>
  <c r="N288" i="3"/>
  <c r="M467" i="3"/>
  <c r="M269" i="3"/>
  <c r="M295" i="3"/>
  <c r="L61" i="3"/>
  <c r="N61" i="3"/>
  <c r="M435" i="3"/>
  <c r="L362" i="3"/>
  <c r="O451" i="3"/>
  <c r="N374" i="3"/>
  <c r="O493" i="3"/>
  <c r="L451" i="3"/>
  <c r="L31" i="3"/>
  <c r="L353" i="3"/>
  <c r="N353" i="3"/>
  <c r="L452" i="3"/>
  <c r="N452" i="3"/>
  <c r="N290" i="3"/>
  <c r="N146" i="3"/>
  <c r="L146" i="3"/>
  <c r="N9" i="3"/>
  <c r="L9" i="3"/>
  <c r="M9" i="3"/>
  <c r="O9" i="3"/>
  <c r="X6" i="3" l="1"/>
  <c r="X18" i="3"/>
  <c r="X30" i="3"/>
  <c r="X42" i="3"/>
  <c r="X7" i="3"/>
  <c r="X19" i="3"/>
  <c r="X31" i="3"/>
  <c r="X43" i="3"/>
  <c r="X8" i="3"/>
  <c r="X20" i="3"/>
  <c r="X32" i="3"/>
  <c r="X44" i="3"/>
  <c r="X9" i="3"/>
  <c r="X21" i="3"/>
  <c r="X33" i="3"/>
  <c r="X45" i="3"/>
  <c r="X10" i="3"/>
  <c r="X22" i="3"/>
  <c r="X34" i="3"/>
  <c r="X46" i="3"/>
  <c r="X11" i="3"/>
  <c r="X23" i="3"/>
  <c r="X35" i="3"/>
  <c r="X47" i="3"/>
  <c r="X12" i="3"/>
  <c r="X24" i="3"/>
  <c r="X36" i="3"/>
  <c r="X48" i="3"/>
  <c r="X13" i="3"/>
  <c r="X25" i="3"/>
  <c r="X37" i="3"/>
  <c r="X49" i="3"/>
  <c r="X2" i="3"/>
  <c r="X14" i="3"/>
  <c r="X26" i="3"/>
  <c r="X38" i="3"/>
  <c r="X50" i="3"/>
  <c r="X3" i="3"/>
  <c r="X15" i="3"/>
  <c r="X27" i="3"/>
  <c r="X39" i="3"/>
  <c r="X1" i="3"/>
  <c r="X4" i="3"/>
  <c r="X16" i="3"/>
  <c r="X28" i="3"/>
  <c r="X40" i="3"/>
  <c r="X5" i="3"/>
  <c r="X17" i="3"/>
  <c r="X29" i="3"/>
  <c r="X41" i="3"/>
  <c r="W8" i="3"/>
  <c r="W20" i="3"/>
  <c r="W32" i="3"/>
  <c r="W44" i="3"/>
  <c r="W9" i="3"/>
  <c r="W21" i="3"/>
  <c r="W33" i="3"/>
  <c r="W45" i="3"/>
  <c r="W10" i="3"/>
  <c r="W22" i="3"/>
  <c r="W34" i="3"/>
  <c r="W46" i="3"/>
  <c r="W11" i="3"/>
  <c r="W23" i="3"/>
  <c r="W35" i="3"/>
  <c r="W47" i="3"/>
  <c r="W12" i="3"/>
  <c r="W24" i="3"/>
  <c r="W36" i="3"/>
  <c r="W48" i="3"/>
  <c r="W13" i="3"/>
  <c r="W25" i="3"/>
  <c r="W37" i="3"/>
  <c r="W49" i="3"/>
  <c r="W2" i="3"/>
  <c r="W14" i="3"/>
  <c r="W26" i="3"/>
  <c r="W38" i="3"/>
  <c r="W50" i="3"/>
  <c r="W3" i="3"/>
  <c r="W15" i="3"/>
  <c r="W27" i="3"/>
  <c r="W39" i="3"/>
  <c r="W1" i="3"/>
  <c r="W4" i="3"/>
  <c r="W16" i="3"/>
  <c r="W28" i="3"/>
  <c r="W40" i="3"/>
  <c r="W5" i="3"/>
  <c r="W17" i="3"/>
  <c r="W29" i="3"/>
  <c r="W41" i="3"/>
  <c r="W6" i="3"/>
  <c r="W18" i="3"/>
  <c r="W30" i="3"/>
  <c r="W42" i="3"/>
  <c r="W7" i="3"/>
  <c r="W19" i="3"/>
  <c r="W31" i="3"/>
  <c r="W43" i="3"/>
  <c r="O2" i="3"/>
  <c r="R2" i="3"/>
  <c r="M8" i="3"/>
  <c r="L8" i="3"/>
  <c r="O8" i="3"/>
  <c r="M2" i="3"/>
  <c r="N1" i="3"/>
  <c r="L1" i="3"/>
  <c r="M1" i="3"/>
  <c r="O1" i="3"/>
  <c r="C248" i="8"/>
  <c r="C143" i="8"/>
  <c r="C470" i="8"/>
  <c r="C303" i="8"/>
  <c r="C64" i="8"/>
  <c r="C135" i="8"/>
  <c r="C297" i="8"/>
  <c r="C291" i="8"/>
  <c r="C494" i="8"/>
  <c r="C164" i="8"/>
  <c r="C161" i="8"/>
  <c r="C2" i="8"/>
  <c r="C471" i="8"/>
  <c r="C387" i="8"/>
  <c r="C29" i="8"/>
  <c r="C411" i="8"/>
  <c r="C261" i="8"/>
  <c r="C252" i="8"/>
  <c r="C457" i="8"/>
  <c r="C73" i="8"/>
  <c r="C453" i="8"/>
  <c r="E303" i="8"/>
  <c r="E331" i="8"/>
  <c r="E77" i="8"/>
  <c r="E319" i="8"/>
  <c r="F319" i="8" s="1"/>
  <c r="E9" i="8"/>
  <c r="F9" i="8" s="1"/>
  <c r="E103" i="8"/>
  <c r="E242" i="8"/>
  <c r="E144" i="8"/>
  <c r="E263" i="8"/>
  <c r="E217" i="8"/>
  <c r="F217" i="8" s="1"/>
  <c r="E289" i="8"/>
  <c r="E433" i="8"/>
  <c r="E276" i="8"/>
  <c r="E30" i="8"/>
  <c r="E312" i="8"/>
  <c r="F312" i="8" s="1"/>
  <c r="E229" i="8"/>
  <c r="E391" i="8"/>
  <c r="E141" i="8"/>
  <c r="E3" i="8"/>
  <c r="E286" i="8"/>
  <c r="E133" i="8"/>
  <c r="F133" i="8" s="1"/>
  <c r="E182" i="8"/>
  <c r="F182" i="8" s="1"/>
  <c r="E259" i="8"/>
  <c r="F259" i="8" s="1"/>
  <c r="E254" i="8"/>
  <c r="E474" i="8"/>
  <c r="E316" i="8"/>
  <c r="E473" i="8"/>
  <c r="E500" i="8"/>
  <c r="E63" i="8"/>
  <c r="E187" i="8"/>
  <c r="E301" i="8"/>
  <c r="E126" i="8"/>
  <c r="E451" i="8"/>
  <c r="E81" i="8"/>
  <c r="E334" i="8"/>
  <c r="E366" i="8"/>
  <c r="E446" i="8"/>
  <c r="E412" i="8"/>
  <c r="E33" i="8"/>
  <c r="E84" i="8"/>
  <c r="E152" i="8"/>
  <c r="E232" i="8"/>
  <c r="F232" i="8" s="1"/>
  <c r="E480" i="8"/>
  <c r="F480" i="8" s="1"/>
  <c r="E443" i="8"/>
  <c r="E475" i="8"/>
  <c r="F475" i="8" s="1"/>
  <c r="E410" i="8"/>
  <c r="E413" i="8"/>
  <c r="E444" i="8"/>
  <c r="E447" i="8"/>
  <c r="E83" i="8"/>
  <c r="E340" i="8"/>
  <c r="F340" i="8" s="1"/>
  <c r="E291" i="8"/>
  <c r="E237" i="8"/>
  <c r="E493" i="8"/>
  <c r="E90" i="8"/>
  <c r="E278" i="8"/>
  <c r="E496" i="8"/>
  <c r="E492" i="8"/>
  <c r="E490" i="8"/>
  <c r="F490" i="8" s="1"/>
  <c r="G490" i="8" s="1"/>
  <c r="E449" i="8"/>
  <c r="E270" i="8"/>
  <c r="E418" i="8"/>
  <c r="E112" i="8"/>
  <c r="E353" i="8"/>
  <c r="E385" i="8"/>
  <c r="E155" i="8"/>
  <c r="F155" i="8" s="1"/>
  <c r="E398" i="8"/>
  <c r="F398" i="8" s="1"/>
  <c r="E376" i="8"/>
  <c r="E361" i="8"/>
  <c r="E455" i="8"/>
  <c r="E359" i="8"/>
  <c r="F359" i="8" s="1"/>
  <c r="E437" i="8"/>
  <c r="E494" i="8"/>
  <c r="E438" i="8"/>
  <c r="E48" i="8"/>
  <c r="F48" i="8" s="1"/>
  <c r="E381" i="8"/>
  <c r="F381" i="8" s="1"/>
  <c r="G381" i="8" s="1"/>
  <c r="E404" i="8"/>
  <c r="E252" i="8"/>
  <c r="F252" i="8" s="1"/>
  <c r="Y164" i="8" l="1"/>
  <c r="Y494" i="8"/>
  <c r="Y291" i="8"/>
  <c r="Y457" i="8"/>
  <c r="Y297" i="8"/>
  <c r="Y252" i="8"/>
  <c r="H252" i="8"/>
  <c r="Y135" i="8"/>
  <c r="Y261" i="8"/>
  <c r="Y64" i="8"/>
  <c r="Y303" i="8"/>
  <c r="Y2" i="8"/>
  <c r="Y161" i="8"/>
  <c r="Y453" i="8"/>
  <c r="Y73" i="8"/>
  <c r="Y411" i="8"/>
  <c r="Y29" i="8"/>
  <c r="Y470" i="8"/>
  <c r="Y387" i="8"/>
  <c r="Y143" i="8"/>
  <c r="Y471" i="8"/>
  <c r="Y248" i="8"/>
  <c r="J252" i="8"/>
  <c r="G319" i="8"/>
  <c r="K319" i="8"/>
  <c r="C434" i="8"/>
  <c r="C154" i="8"/>
  <c r="F443" i="8"/>
  <c r="K443" i="8" s="1"/>
  <c r="E122" i="8"/>
  <c r="F122" i="8" s="1"/>
  <c r="E309" i="8"/>
  <c r="F309" i="8" s="1"/>
  <c r="E190" i="8"/>
  <c r="F190" i="8" s="1"/>
  <c r="E29" i="8"/>
  <c r="F29" i="8" s="1"/>
  <c r="J29" i="8" s="1"/>
  <c r="C88" i="8"/>
  <c r="C31" i="8"/>
  <c r="C112" i="8"/>
  <c r="F413" i="8"/>
  <c r="I413" i="8" s="1"/>
  <c r="F242" i="8"/>
  <c r="G242" i="8" s="1"/>
  <c r="C244" i="8"/>
  <c r="F237" i="8"/>
  <c r="K237" i="8" s="1"/>
  <c r="C313" i="8"/>
  <c r="E8" i="8"/>
  <c r="F8" i="8" s="1"/>
  <c r="E134" i="8"/>
  <c r="F134" i="8" s="1"/>
  <c r="E157" i="8"/>
  <c r="F157" i="8" s="1"/>
  <c r="G157" i="8" s="1"/>
  <c r="E488" i="8"/>
  <c r="F488" i="8" s="1"/>
  <c r="E108" i="8"/>
  <c r="F108" i="8" s="1"/>
  <c r="E137" i="8"/>
  <c r="F137" i="8" s="1"/>
  <c r="E176" i="8"/>
  <c r="F176" i="8" s="1"/>
  <c r="E135" i="8"/>
  <c r="F135" i="8" s="1"/>
  <c r="J135" i="8" s="1"/>
  <c r="E10" i="8"/>
  <c r="F10" i="8" s="1"/>
  <c r="K10" i="8" s="1"/>
  <c r="E400" i="8"/>
  <c r="F400" i="8" s="1"/>
  <c r="E36" i="8"/>
  <c r="F36" i="8" s="1"/>
  <c r="E441" i="8"/>
  <c r="F441" i="8" s="1"/>
  <c r="G441" i="8" s="1"/>
  <c r="E388" i="8"/>
  <c r="F388" i="8" s="1"/>
  <c r="I388" i="8" s="1"/>
  <c r="E113" i="8"/>
  <c r="F113" i="8" s="1"/>
  <c r="C118" i="8"/>
  <c r="C473" i="8"/>
  <c r="C44" i="8"/>
  <c r="E216" i="8"/>
  <c r="F216" i="8" s="1"/>
  <c r="E463" i="8"/>
  <c r="F463" i="8" s="1"/>
  <c r="E70" i="8"/>
  <c r="F70" i="8" s="1"/>
  <c r="K70" i="8" s="1"/>
  <c r="E111" i="8"/>
  <c r="F111" i="8" s="1"/>
  <c r="K111" i="8" s="1"/>
  <c r="E320" i="8"/>
  <c r="F320" i="8" s="1"/>
  <c r="E150" i="8"/>
  <c r="F150" i="8" s="1"/>
  <c r="G150" i="8" s="1"/>
  <c r="E56" i="8"/>
  <c r="F56" i="8" s="1"/>
  <c r="C82" i="8"/>
  <c r="C410" i="8"/>
  <c r="C416" i="8"/>
  <c r="E167" i="8"/>
  <c r="F167" i="8" s="1"/>
  <c r="E308" i="8"/>
  <c r="F308" i="8" s="1"/>
  <c r="E54" i="8"/>
  <c r="F54" i="8" s="1"/>
  <c r="I54" i="8" s="1"/>
  <c r="E371" i="8"/>
  <c r="F371" i="8" s="1"/>
  <c r="E477" i="8"/>
  <c r="F477" i="8" s="1"/>
  <c r="E197" i="8"/>
  <c r="F197" i="8" s="1"/>
  <c r="G197" i="8" s="1"/>
  <c r="E118" i="8"/>
  <c r="F118" i="8" s="1"/>
  <c r="C204" i="8"/>
  <c r="C374" i="8"/>
  <c r="C165" i="8"/>
  <c r="C110" i="8"/>
  <c r="C415" i="8"/>
  <c r="C463" i="8"/>
  <c r="C76" i="8"/>
  <c r="C102" i="8"/>
  <c r="E92" i="8"/>
  <c r="F92" i="8" s="1"/>
  <c r="E257" i="8"/>
  <c r="F257" i="8" s="1"/>
  <c r="E43" i="8"/>
  <c r="F43" i="8" s="1"/>
  <c r="E435" i="8"/>
  <c r="F435" i="8" s="1"/>
  <c r="K435" i="8" s="1"/>
  <c r="E459" i="8"/>
  <c r="F459" i="8" s="1"/>
  <c r="E347" i="8"/>
  <c r="F347" i="8" s="1"/>
  <c r="K347" i="8" s="1"/>
  <c r="E210" i="8"/>
  <c r="F210" i="8" s="1"/>
  <c r="E368" i="8"/>
  <c r="F368" i="8" s="1"/>
  <c r="E116" i="8"/>
  <c r="F116" i="8" s="1"/>
  <c r="E146" i="8"/>
  <c r="F146" i="8" s="1"/>
  <c r="E196" i="8"/>
  <c r="F196" i="8" s="1"/>
  <c r="E105" i="8"/>
  <c r="F105" i="8" s="1"/>
  <c r="I105" i="8" s="1"/>
  <c r="E431" i="8"/>
  <c r="F431" i="8" s="1"/>
  <c r="E360" i="8"/>
  <c r="F360" i="8" s="1"/>
  <c r="E55" i="8"/>
  <c r="F55" i="8" s="1"/>
  <c r="E147" i="8"/>
  <c r="F147" i="8" s="1"/>
  <c r="G147" i="8" s="1"/>
  <c r="E5" i="8"/>
  <c r="F5" i="8" s="1"/>
  <c r="E292" i="8"/>
  <c r="F292" i="8" s="1"/>
  <c r="E221" i="8"/>
  <c r="F221" i="8" s="1"/>
  <c r="E148" i="8"/>
  <c r="F148" i="8" s="1"/>
  <c r="I148" i="8" s="1"/>
  <c r="F63" i="8"/>
  <c r="E11" i="8"/>
  <c r="F11" i="8" s="1"/>
  <c r="E294" i="8"/>
  <c r="F294" i="8" s="1"/>
  <c r="E202" i="8"/>
  <c r="F202" i="8" s="1"/>
  <c r="E282" i="8"/>
  <c r="F282" i="8" s="1"/>
  <c r="E349" i="8"/>
  <c r="F349" i="8" s="1"/>
  <c r="I349" i="8" s="1"/>
  <c r="E73" i="8"/>
  <c r="F73" i="8" s="1"/>
  <c r="H73" i="8" s="1"/>
  <c r="E52" i="8"/>
  <c r="F52" i="8" s="1"/>
  <c r="K52" i="8" s="1"/>
  <c r="C257" i="8"/>
  <c r="C191" i="8"/>
  <c r="C121" i="8"/>
  <c r="C237" i="8"/>
  <c r="C286" i="8"/>
  <c r="C496" i="8"/>
  <c r="F449" i="8"/>
  <c r="I449" i="8" s="1"/>
  <c r="C87" i="8"/>
  <c r="E321" i="8"/>
  <c r="F321" i="8" s="1"/>
  <c r="E151" i="8"/>
  <c r="F151" i="8" s="1"/>
  <c r="E255" i="8"/>
  <c r="F255" i="8" s="1"/>
  <c r="E94" i="8"/>
  <c r="F94" i="8" s="1"/>
  <c r="E170" i="8"/>
  <c r="F170" i="8" s="1"/>
  <c r="E311" i="8"/>
  <c r="F311" i="8" s="1"/>
  <c r="K311" i="8" s="1"/>
  <c r="E38" i="8"/>
  <c r="F38" i="8" s="1"/>
  <c r="E166" i="8"/>
  <c r="F166" i="8" s="1"/>
  <c r="E82" i="8"/>
  <c r="F82" i="8" s="1"/>
  <c r="E345" i="8"/>
  <c r="F345" i="8" s="1"/>
  <c r="F331" i="8"/>
  <c r="K331" i="8" s="1"/>
  <c r="F500" i="8"/>
  <c r="G500" i="8" s="1"/>
  <c r="C394" i="8"/>
  <c r="C80" i="8"/>
  <c r="C158" i="8"/>
  <c r="C199" i="8"/>
  <c r="C360" i="8"/>
  <c r="C446" i="8"/>
  <c r="C439" i="8"/>
  <c r="C90" i="8"/>
  <c r="C391" i="8"/>
  <c r="C105" i="8"/>
  <c r="C49" i="8"/>
  <c r="E352" i="8"/>
  <c r="F352" i="8" s="1"/>
  <c r="E358" i="8"/>
  <c r="F358" i="8" s="1"/>
  <c r="E186" i="8"/>
  <c r="F186" i="8" s="1"/>
  <c r="E384" i="8"/>
  <c r="F384" i="8" s="1"/>
  <c r="G384" i="8" s="1"/>
  <c r="E395" i="8"/>
  <c r="F395" i="8" s="1"/>
  <c r="E375" i="8"/>
  <c r="F375" i="8" s="1"/>
  <c r="E7" i="8"/>
  <c r="F7" i="8" s="1"/>
  <c r="E343" i="8"/>
  <c r="F343" i="8" s="1"/>
  <c r="E171" i="8"/>
  <c r="F171" i="8" s="1"/>
  <c r="E173" i="8"/>
  <c r="F173" i="8" s="1"/>
  <c r="E256" i="8"/>
  <c r="F256" i="8" s="1"/>
  <c r="E416" i="8"/>
  <c r="F416" i="8" s="1"/>
  <c r="E101" i="8"/>
  <c r="F101" i="8" s="1"/>
  <c r="E239" i="8"/>
  <c r="F239" i="8" s="1"/>
  <c r="E290" i="8"/>
  <c r="F290" i="8" s="1"/>
  <c r="E212" i="8"/>
  <c r="F212" i="8" s="1"/>
  <c r="E310" i="8"/>
  <c r="F310" i="8" s="1"/>
  <c r="E203" i="8"/>
  <c r="F203" i="8" s="1"/>
  <c r="E342" i="8"/>
  <c r="F342" i="8" s="1"/>
  <c r="E53" i="8"/>
  <c r="F53" i="8" s="1"/>
  <c r="E392" i="8"/>
  <c r="F392" i="8" s="1"/>
  <c r="E223" i="8"/>
  <c r="F223" i="8" s="1"/>
  <c r="E104" i="8"/>
  <c r="F104" i="8" s="1"/>
  <c r="E355" i="8"/>
  <c r="F355" i="8" s="1"/>
  <c r="E409" i="8"/>
  <c r="F409" i="8" s="1"/>
  <c r="C223" i="8"/>
  <c r="F410" i="8"/>
  <c r="C301" i="8"/>
  <c r="C493" i="8"/>
  <c r="C19" i="8"/>
  <c r="C39" i="8"/>
  <c r="F112" i="8"/>
  <c r="G112" i="8" s="1"/>
  <c r="C307" i="8"/>
  <c r="C274" i="8"/>
  <c r="C447" i="8"/>
  <c r="C122" i="8"/>
  <c r="C417" i="8"/>
  <c r="C392" i="8"/>
  <c r="C228" i="8"/>
  <c r="E338" i="8"/>
  <c r="F338" i="8" s="1"/>
  <c r="E482" i="8"/>
  <c r="F482" i="8" s="1"/>
  <c r="E304" i="8"/>
  <c r="F304" i="8" s="1"/>
  <c r="E93" i="8"/>
  <c r="F93" i="8" s="1"/>
  <c r="E21" i="8"/>
  <c r="F21" i="8" s="1"/>
  <c r="E129" i="8"/>
  <c r="F129" i="8" s="1"/>
  <c r="E275" i="8"/>
  <c r="F275" i="8" s="1"/>
  <c r="E426" i="8"/>
  <c r="F426" i="8" s="1"/>
  <c r="E387" i="8"/>
  <c r="F387" i="8" s="1"/>
  <c r="H387" i="8" s="1"/>
  <c r="E80" i="8"/>
  <c r="F80" i="8" s="1"/>
  <c r="E32" i="8"/>
  <c r="F32" i="8" s="1"/>
  <c r="E200" i="8"/>
  <c r="F200" i="8" s="1"/>
  <c r="E58" i="8"/>
  <c r="F58" i="8" s="1"/>
  <c r="E220" i="8"/>
  <c r="F220" i="8" s="1"/>
  <c r="E50" i="8"/>
  <c r="F50" i="8" s="1"/>
  <c r="E489" i="8"/>
  <c r="F489" i="8" s="1"/>
  <c r="E78" i="8"/>
  <c r="F78" i="8" s="1"/>
  <c r="E153" i="8"/>
  <c r="F153" i="8" s="1"/>
  <c r="E207" i="8"/>
  <c r="F207" i="8" s="1"/>
  <c r="E205" i="8"/>
  <c r="F205" i="8" s="1"/>
  <c r="E287" i="8"/>
  <c r="F287" i="8" s="1"/>
  <c r="E497" i="8"/>
  <c r="F497" i="8" s="1"/>
  <c r="E191" i="8"/>
  <c r="F191" i="8" s="1"/>
  <c r="E139" i="8"/>
  <c r="F139" i="8" s="1"/>
  <c r="I139" i="8" s="1"/>
  <c r="E246" i="8"/>
  <c r="F246" i="8" s="1"/>
  <c r="E222" i="8"/>
  <c r="F222" i="8" s="1"/>
  <c r="C37" i="8"/>
  <c r="C436" i="8"/>
  <c r="C475" i="8"/>
  <c r="C302" i="8"/>
  <c r="C340" i="8"/>
  <c r="C318" i="8"/>
  <c r="C469" i="8"/>
  <c r="C15" i="8"/>
  <c r="C181" i="8"/>
  <c r="C497" i="8"/>
  <c r="C125" i="8"/>
  <c r="F301" i="8"/>
  <c r="G301" i="8" s="1"/>
  <c r="C258" i="8"/>
  <c r="F376" i="8"/>
  <c r="C60" i="8"/>
  <c r="E266" i="8"/>
  <c r="F266" i="8" s="1"/>
  <c r="E22" i="8"/>
  <c r="F22" i="8" s="1"/>
  <c r="K22" i="8" s="1"/>
  <c r="E230" i="8"/>
  <c r="F230" i="8" s="1"/>
  <c r="E434" i="8"/>
  <c r="F434" i="8" s="1"/>
  <c r="I434" i="8" s="1"/>
  <c r="E328" i="8"/>
  <c r="F328" i="8" s="1"/>
  <c r="E99" i="8"/>
  <c r="F99" i="8" s="1"/>
  <c r="E285" i="8"/>
  <c r="F285" i="8" s="1"/>
  <c r="E214" i="8"/>
  <c r="F214" i="8" s="1"/>
  <c r="E295" i="8"/>
  <c r="F295" i="8" s="1"/>
  <c r="E213" i="8"/>
  <c r="F213" i="8" s="1"/>
  <c r="E356" i="8"/>
  <c r="F356" i="8" s="1"/>
  <c r="E394" i="8"/>
  <c r="F394" i="8" s="1"/>
  <c r="E71" i="8"/>
  <c r="F71" i="8" s="1"/>
  <c r="E57" i="8"/>
  <c r="F57" i="8" s="1"/>
  <c r="E35" i="8"/>
  <c r="F35" i="8" s="1"/>
  <c r="G35" i="8" s="1"/>
  <c r="E106" i="8"/>
  <c r="F106" i="8" s="1"/>
  <c r="E495" i="8"/>
  <c r="F495" i="8" s="1"/>
  <c r="E268" i="8"/>
  <c r="F268" i="8" s="1"/>
  <c r="E228" i="8"/>
  <c r="F228" i="8" s="1"/>
  <c r="E250" i="8"/>
  <c r="F250" i="8" s="1"/>
  <c r="E231" i="8"/>
  <c r="F231" i="8" s="1"/>
  <c r="G231" i="8" s="1"/>
  <c r="E298" i="8"/>
  <c r="F298" i="8" s="1"/>
  <c r="E317" i="8"/>
  <c r="F317" i="8" s="1"/>
  <c r="E47" i="8"/>
  <c r="F47" i="8" s="1"/>
  <c r="E76" i="8"/>
  <c r="F76" i="8" s="1"/>
  <c r="C152" i="8"/>
  <c r="C326" i="8"/>
  <c r="C230" i="8"/>
  <c r="C373" i="8"/>
  <c r="C242" i="8"/>
  <c r="C219" i="8"/>
  <c r="F366" i="8"/>
  <c r="I366" i="8" s="1"/>
  <c r="C489" i="8"/>
  <c r="C81" i="8"/>
  <c r="C68" i="8"/>
  <c r="F289" i="8"/>
  <c r="K289" i="8" s="1"/>
  <c r="C207" i="8"/>
  <c r="E491" i="8"/>
  <c r="F491" i="8" s="1"/>
  <c r="E264" i="8"/>
  <c r="F264" i="8" s="1"/>
  <c r="G264" i="8" s="1"/>
  <c r="E378" i="8"/>
  <c r="F378" i="8" s="1"/>
  <c r="K378" i="8" s="1"/>
  <c r="E460" i="8"/>
  <c r="F460" i="8" s="1"/>
  <c r="I460" i="8" s="1"/>
  <c r="E88" i="8"/>
  <c r="F88" i="8" s="1"/>
  <c r="E125" i="8"/>
  <c r="F125" i="8" s="1"/>
  <c r="E142" i="8"/>
  <c r="F142" i="8" s="1"/>
  <c r="I142" i="8" s="1"/>
  <c r="E37" i="8"/>
  <c r="F37" i="8" s="1"/>
  <c r="E397" i="8"/>
  <c r="F397" i="8" s="1"/>
  <c r="E61" i="8"/>
  <c r="F61" i="8" s="1"/>
  <c r="G61" i="8" s="1"/>
  <c r="E322" i="8"/>
  <c r="F322" i="8" s="1"/>
  <c r="E20" i="8"/>
  <c r="F20" i="8" s="1"/>
  <c r="E26" i="8"/>
  <c r="F26" i="8" s="1"/>
  <c r="I26" i="8" s="1"/>
  <c r="E457" i="8"/>
  <c r="F457" i="8" s="1"/>
  <c r="H457" i="8" s="1"/>
  <c r="E41" i="8"/>
  <c r="F41" i="8" s="1"/>
  <c r="E185" i="8"/>
  <c r="F185" i="8" s="1"/>
  <c r="E249" i="8"/>
  <c r="F249" i="8" s="1"/>
  <c r="E211" i="8"/>
  <c r="F211" i="8" s="1"/>
  <c r="E269" i="8"/>
  <c r="F269" i="8" s="1"/>
  <c r="E273" i="8"/>
  <c r="F273" i="8" s="1"/>
  <c r="G273" i="8" s="1"/>
  <c r="E436" i="8"/>
  <c r="F436" i="8" s="1"/>
  <c r="E442" i="8"/>
  <c r="F442" i="8" s="1"/>
  <c r="E432" i="8"/>
  <c r="F432" i="8" s="1"/>
  <c r="E13" i="8"/>
  <c r="F13" i="8" s="1"/>
  <c r="E149" i="8"/>
  <c r="F149" i="8" s="1"/>
  <c r="E380" i="8"/>
  <c r="F380" i="8" s="1"/>
  <c r="E59" i="8"/>
  <c r="F59" i="8" s="1"/>
  <c r="I59" i="8" s="1"/>
  <c r="E262" i="8"/>
  <c r="F262" i="8" s="1"/>
  <c r="K262" i="8" s="1"/>
  <c r="E265" i="8"/>
  <c r="F265" i="8" s="1"/>
  <c r="E370" i="8"/>
  <c r="F370" i="8" s="1"/>
  <c r="E183" i="8"/>
  <c r="F183" i="8" s="1"/>
  <c r="E219" i="8"/>
  <c r="F219" i="8" s="1"/>
  <c r="C454" i="8"/>
  <c r="C57" i="8"/>
  <c r="C485" i="8"/>
  <c r="C178" i="8"/>
  <c r="C42" i="8"/>
  <c r="C28" i="8"/>
  <c r="C17" i="8"/>
  <c r="F77" i="8"/>
  <c r="I77" i="8" s="1"/>
  <c r="C9" i="8"/>
  <c r="C119" i="8"/>
  <c r="C212" i="8"/>
  <c r="E288" i="8"/>
  <c r="F288" i="8" s="1"/>
  <c r="E233" i="8"/>
  <c r="F233" i="8" s="1"/>
  <c r="E128" i="8"/>
  <c r="F128" i="8" s="1"/>
  <c r="E429" i="8"/>
  <c r="F429" i="8" s="1"/>
  <c r="E109" i="8"/>
  <c r="F109" i="8" s="1"/>
  <c r="E336" i="8"/>
  <c r="F336" i="8" s="1"/>
  <c r="E307" i="8"/>
  <c r="F307" i="8" s="1"/>
  <c r="E45" i="8"/>
  <c r="F45" i="8" s="1"/>
  <c r="E17" i="8"/>
  <c r="F17" i="8" s="1"/>
  <c r="I17" i="8" s="1"/>
  <c r="E175" i="8"/>
  <c r="F175" i="8" s="1"/>
  <c r="E241" i="8"/>
  <c r="F241" i="8" s="1"/>
  <c r="K241" i="8" s="1"/>
  <c r="E161" i="8"/>
  <c r="F161" i="8" s="1"/>
  <c r="H161" i="8" s="1"/>
  <c r="E49" i="8"/>
  <c r="F49" i="8" s="1"/>
  <c r="I49" i="8" s="1"/>
  <c r="E326" i="8"/>
  <c r="F326" i="8" s="1"/>
  <c r="E102" i="8"/>
  <c r="F102" i="8" s="1"/>
  <c r="E4" i="8"/>
  <c r="F4" i="8" s="1"/>
  <c r="E332" i="8"/>
  <c r="F332" i="8" s="1"/>
  <c r="G332" i="8" s="1"/>
  <c r="E467" i="8"/>
  <c r="F467" i="8" s="1"/>
  <c r="E299" i="8"/>
  <c r="F299" i="8" s="1"/>
  <c r="E362" i="8"/>
  <c r="F362" i="8" s="1"/>
  <c r="E344" i="8"/>
  <c r="F344" i="8" s="1"/>
  <c r="E91" i="8"/>
  <c r="F91" i="8" s="1"/>
  <c r="G91" i="8" s="1"/>
  <c r="E499" i="8"/>
  <c r="F499" i="8" s="1"/>
  <c r="E386" i="8"/>
  <c r="F386" i="8" s="1"/>
  <c r="C195" i="8"/>
  <c r="C46" i="8"/>
  <c r="C319" i="8"/>
  <c r="C33" i="8"/>
  <c r="C277" i="8"/>
  <c r="C336" i="8"/>
  <c r="C227" i="8"/>
  <c r="C413" i="8"/>
  <c r="E420" i="8"/>
  <c r="F420" i="8" s="1"/>
  <c r="G420" i="8" s="1"/>
  <c r="E393" i="8"/>
  <c r="F393" i="8" s="1"/>
  <c r="E96" i="8"/>
  <c r="F96" i="8" s="1"/>
  <c r="E16" i="8"/>
  <c r="F16" i="8" s="1"/>
  <c r="G16" i="8" s="1"/>
  <c r="E486" i="8"/>
  <c r="F486" i="8" s="1"/>
  <c r="G486" i="8" s="1"/>
  <c r="E382" i="8"/>
  <c r="F382" i="8" s="1"/>
  <c r="E357" i="8"/>
  <c r="F357" i="8" s="1"/>
  <c r="E253" i="8"/>
  <c r="F253" i="8" s="1"/>
  <c r="E119" i="8"/>
  <c r="F119" i="8" s="1"/>
  <c r="E461" i="8"/>
  <c r="F461" i="8" s="1"/>
  <c r="E2" i="8"/>
  <c r="F2" i="8" s="1"/>
  <c r="H2" i="8" s="1"/>
  <c r="E417" i="8"/>
  <c r="F417" i="8" s="1"/>
  <c r="E462" i="8"/>
  <c r="F462" i="8" s="1"/>
  <c r="E293" i="8"/>
  <c r="F293" i="8" s="1"/>
  <c r="E69" i="8"/>
  <c r="F69" i="8" s="1"/>
  <c r="K69" i="8" s="1"/>
  <c r="E199" i="8"/>
  <c r="F199" i="8" s="1"/>
  <c r="E306" i="8"/>
  <c r="F306" i="8" s="1"/>
  <c r="G306" i="8" s="1"/>
  <c r="E18" i="8"/>
  <c r="F18" i="8" s="1"/>
  <c r="E274" i="8"/>
  <c r="F274" i="8" s="1"/>
  <c r="E248" i="8"/>
  <c r="F248" i="8" s="1"/>
  <c r="J248" i="8" s="1"/>
  <c r="E120" i="8"/>
  <c r="F120" i="8" s="1"/>
  <c r="E354" i="8"/>
  <c r="F354" i="8" s="1"/>
  <c r="G354" i="8" s="1"/>
  <c r="E189" i="8"/>
  <c r="F189" i="8" s="1"/>
  <c r="E330" i="8"/>
  <c r="F330" i="8" s="1"/>
  <c r="K330" i="8" s="1"/>
  <c r="E136" i="8"/>
  <c r="F136" i="8" s="1"/>
  <c r="I136" i="8" s="1"/>
  <c r="E329" i="8"/>
  <c r="F329" i="8" s="1"/>
  <c r="K329" i="8" s="1"/>
  <c r="E403" i="8"/>
  <c r="F403" i="8" s="1"/>
  <c r="E177" i="8"/>
  <c r="F177" i="8" s="1"/>
  <c r="E440" i="8"/>
  <c r="F440" i="8" s="1"/>
  <c r="E107" i="8"/>
  <c r="F107" i="8" s="1"/>
  <c r="G107" i="8" s="1"/>
  <c r="C465" i="8"/>
  <c r="C84" i="8"/>
  <c r="F278" i="8"/>
  <c r="I278" i="8" s="1"/>
  <c r="C488" i="8"/>
  <c r="C62" i="8"/>
  <c r="C287" i="8"/>
  <c r="C403" i="8"/>
  <c r="G182" i="8"/>
  <c r="I182" i="8"/>
  <c r="K182" i="8"/>
  <c r="G48" i="8"/>
  <c r="K48" i="8"/>
  <c r="I48" i="8"/>
  <c r="G232" i="8"/>
  <c r="I232" i="8"/>
  <c r="K232" i="8"/>
  <c r="K480" i="8"/>
  <c r="G480" i="8"/>
  <c r="I480" i="8"/>
  <c r="G312" i="8"/>
  <c r="K312" i="8"/>
  <c r="I312" i="8"/>
  <c r="I398" i="8"/>
  <c r="K398" i="8"/>
  <c r="G398" i="8"/>
  <c r="I340" i="8"/>
  <c r="G340" i="8"/>
  <c r="K340" i="8"/>
  <c r="K475" i="8"/>
  <c r="I475" i="8"/>
  <c r="G475" i="8"/>
  <c r="I490" i="8"/>
  <c r="K490" i="8"/>
  <c r="K217" i="8"/>
  <c r="G217" i="8"/>
  <c r="I217" i="8"/>
  <c r="G9" i="8"/>
  <c r="K9" i="8"/>
  <c r="G259" i="8"/>
  <c r="K259" i="8"/>
  <c r="I259" i="8"/>
  <c r="I319" i="8"/>
  <c r="I9" i="8"/>
  <c r="I133" i="8"/>
  <c r="G133" i="8"/>
  <c r="K133" i="8"/>
  <c r="I381" i="8"/>
  <c r="G359" i="8"/>
  <c r="I359" i="8"/>
  <c r="K359" i="8"/>
  <c r="I155" i="8"/>
  <c r="K155" i="8"/>
  <c r="G155" i="8"/>
  <c r="K252" i="8"/>
  <c r="G252" i="8"/>
  <c r="I252" i="8"/>
  <c r="K381" i="8"/>
  <c r="E244" i="8"/>
  <c r="F244" i="8" s="1"/>
  <c r="E351" i="8"/>
  <c r="F351" i="8" s="1"/>
  <c r="E364" i="8"/>
  <c r="F364" i="8" s="1"/>
  <c r="E271" i="8"/>
  <c r="F271" i="8" s="1"/>
  <c r="E115" i="8"/>
  <c r="F115" i="8" s="1"/>
  <c r="E390" i="8"/>
  <c r="F390" i="8" s="1"/>
  <c r="E325" i="8"/>
  <c r="F325" i="8" s="1"/>
  <c r="E75" i="8"/>
  <c r="F75" i="8" s="1"/>
  <c r="E14" i="8"/>
  <c r="F14" i="8" s="1"/>
  <c r="E277" i="8"/>
  <c r="F277" i="8" s="1"/>
  <c r="E160" i="8"/>
  <c r="F160" i="8" s="1"/>
  <c r="E138" i="8"/>
  <c r="F138" i="8" s="1"/>
  <c r="E315" i="8"/>
  <c r="F315" i="8" s="1"/>
  <c r="E143" i="8"/>
  <c r="F143" i="8" s="1"/>
  <c r="H143" i="8" s="1"/>
  <c r="E79" i="8"/>
  <c r="F79" i="8" s="1"/>
  <c r="E402" i="8"/>
  <c r="F402" i="8" s="1"/>
  <c r="E363" i="8"/>
  <c r="F363" i="8" s="1"/>
  <c r="E369" i="8"/>
  <c r="F369" i="8" s="1"/>
  <c r="E130" i="8"/>
  <c r="F130" i="8" s="1"/>
  <c r="E218" i="8"/>
  <c r="F218" i="8" s="1"/>
  <c r="E169" i="8"/>
  <c r="F169" i="8" s="1"/>
  <c r="E468" i="8"/>
  <c r="F468" i="8" s="1"/>
  <c r="E283" i="8"/>
  <c r="F283" i="8" s="1"/>
  <c r="E401" i="8"/>
  <c r="F401" i="8" s="1"/>
  <c r="E100" i="8"/>
  <c r="F100" i="8" s="1"/>
  <c r="E415" i="8"/>
  <c r="F415" i="8" s="1"/>
  <c r="E1" i="8"/>
  <c r="E24" i="8"/>
  <c r="F24" i="8" s="1"/>
  <c r="E377" i="8"/>
  <c r="F377" i="8" s="1"/>
  <c r="E314" i="8"/>
  <c r="F314" i="8" s="1"/>
  <c r="F303" i="8"/>
  <c r="H303" i="8" s="1"/>
  <c r="C100" i="8"/>
  <c r="C214" i="8"/>
  <c r="C425" i="8"/>
  <c r="C309" i="8"/>
  <c r="C294" i="8"/>
  <c r="C200" i="8"/>
  <c r="C419" i="8"/>
  <c r="F144" i="8"/>
  <c r="F316" i="8"/>
  <c r="C449" i="8"/>
  <c r="C13" i="8"/>
  <c r="C159" i="8"/>
  <c r="C343" i="8"/>
  <c r="C359" i="8"/>
  <c r="C177" i="8"/>
  <c r="C186" i="8"/>
  <c r="C346" i="8"/>
  <c r="C298" i="8"/>
  <c r="C398" i="8"/>
  <c r="C168" i="8"/>
  <c r="C423" i="8"/>
  <c r="C293" i="8"/>
  <c r="C282" i="8"/>
  <c r="F84" i="8"/>
  <c r="C266" i="8"/>
  <c r="C34" i="8"/>
  <c r="C104" i="8"/>
  <c r="C123" i="8"/>
  <c r="C478" i="8"/>
  <c r="C317" i="8"/>
  <c r="C386" i="8"/>
  <c r="C444" i="8"/>
  <c r="C111" i="8"/>
  <c r="C316" i="8"/>
  <c r="C431" i="8"/>
  <c r="C160" i="8"/>
  <c r="C162" i="8"/>
  <c r="C179" i="8"/>
  <c r="C339" i="8"/>
  <c r="C196" i="8"/>
  <c r="C407" i="8"/>
  <c r="C139" i="8"/>
  <c r="C92" i="8"/>
  <c r="C231" i="8"/>
  <c r="C56" i="8"/>
  <c r="C187" i="8"/>
  <c r="C218" i="8"/>
  <c r="C421" i="8"/>
  <c r="C323" i="8"/>
  <c r="C355" i="8"/>
  <c r="C71" i="8"/>
  <c r="F437" i="8"/>
  <c r="C292" i="8"/>
  <c r="C45" i="8"/>
  <c r="C365" i="8"/>
  <c r="C94" i="8"/>
  <c r="C482" i="8"/>
  <c r="C95" i="8"/>
  <c r="C442" i="8"/>
  <c r="C53" i="8"/>
  <c r="C271" i="8"/>
  <c r="C126" i="8"/>
  <c r="C348" i="8"/>
  <c r="C296" i="8"/>
  <c r="C268" i="8"/>
  <c r="F385" i="8"/>
  <c r="C249" i="8"/>
  <c r="C239" i="8"/>
  <c r="C75" i="8"/>
  <c r="C357" i="8"/>
  <c r="C290" i="8"/>
  <c r="C384" i="8"/>
  <c r="C375" i="8"/>
  <c r="C267" i="8"/>
  <c r="C379" i="8"/>
  <c r="F276" i="8"/>
  <c r="C459" i="8"/>
  <c r="C20" i="8"/>
  <c r="C456" i="8"/>
  <c r="F433" i="8"/>
  <c r="C58" i="8"/>
  <c r="C427" i="8"/>
  <c r="C233" i="8"/>
  <c r="C36" i="8"/>
  <c r="C429" i="8"/>
  <c r="C275" i="8"/>
  <c r="C197" i="8"/>
  <c r="F83" i="8"/>
  <c r="C345" i="8"/>
  <c r="C48" i="8"/>
  <c r="C184" i="8"/>
  <c r="C380" i="8"/>
  <c r="C405" i="8"/>
  <c r="C235" i="8"/>
  <c r="C50" i="8"/>
  <c r="C163" i="8"/>
  <c r="C3" i="8"/>
  <c r="C155" i="8"/>
  <c r="C98" i="8"/>
  <c r="C138" i="8"/>
  <c r="C455" i="8"/>
  <c r="C40" i="8"/>
  <c r="C246" i="8"/>
  <c r="C347" i="8"/>
  <c r="C89" i="8"/>
  <c r="C376" i="8"/>
  <c r="C206" i="8"/>
  <c r="C107" i="8"/>
  <c r="C150" i="8"/>
  <c r="C349" i="8"/>
  <c r="C320" i="8"/>
  <c r="C265" i="8"/>
  <c r="C322" i="8"/>
  <c r="C153" i="8"/>
  <c r="C400" i="8"/>
  <c r="C366" i="8"/>
  <c r="C437" i="8"/>
  <c r="C452" i="8"/>
  <c r="C460" i="8"/>
  <c r="C78" i="8"/>
  <c r="C369" i="8"/>
  <c r="C175" i="8"/>
  <c r="C25" i="8"/>
  <c r="C269" i="8"/>
  <c r="C499" i="8"/>
  <c r="C354" i="8"/>
  <c r="C240" i="8"/>
  <c r="C201" i="8"/>
  <c r="C250" i="8"/>
  <c r="F493" i="8"/>
  <c r="C458" i="8"/>
  <c r="C70" i="8"/>
  <c r="F81" i="8"/>
  <c r="C289" i="8"/>
  <c r="C422" i="8"/>
  <c r="C243" i="8"/>
  <c r="C47" i="8"/>
  <c r="C74" i="8"/>
  <c r="C216" i="8"/>
  <c r="C16" i="8"/>
  <c r="C93" i="8"/>
  <c r="C65" i="8"/>
  <c r="C208" i="8"/>
  <c r="C234" i="8"/>
  <c r="F270" i="8"/>
  <c r="C77" i="8"/>
  <c r="C134" i="8"/>
  <c r="C330" i="8"/>
  <c r="C327" i="8"/>
  <c r="C106" i="8"/>
  <c r="C312" i="8"/>
  <c r="C337" i="8"/>
  <c r="C435" i="8"/>
  <c r="F152" i="8"/>
  <c r="C331" i="8"/>
  <c r="C141" i="8"/>
  <c r="C402" i="8"/>
  <c r="C399" i="8"/>
  <c r="C241" i="8"/>
  <c r="C310" i="8"/>
  <c r="C364" i="8"/>
  <c r="C299" i="8"/>
  <c r="C278" i="8"/>
  <c r="C188" i="8"/>
  <c r="C232" i="8"/>
  <c r="C54" i="8"/>
  <c r="C351" i="8"/>
  <c r="C404" i="8"/>
  <c r="F141" i="8"/>
  <c r="F444" i="8"/>
  <c r="C342" i="8"/>
  <c r="C270" i="8"/>
  <c r="C420" i="8"/>
  <c r="C308" i="8"/>
  <c r="C217" i="8"/>
  <c r="C381" i="8"/>
  <c r="C22" i="8"/>
  <c r="C466" i="8"/>
  <c r="C414" i="8"/>
  <c r="C273" i="8"/>
  <c r="F286" i="8"/>
  <c r="C116" i="8"/>
  <c r="C24" i="8"/>
  <c r="C430" i="8"/>
  <c r="C61" i="8"/>
  <c r="C467" i="8"/>
  <c r="C481" i="8"/>
  <c r="C12" i="8"/>
  <c r="C91" i="8"/>
  <c r="C97" i="8"/>
  <c r="C10" i="8"/>
  <c r="C23" i="8"/>
  <c r="C385" i="8"/>
  <c r="C433" i="8"/>
  <c r="C124" i="8"/>
  <c r="C4" i="8"/>
  <c r="C441" i="8"/>
  <c r="C314" i="8"/>
  <c r="C306" i="8"/>
  <c r="C115" i="8"/>
  <c r="C83" i="8"/>
  <c r="C395" i="8"/>
  <c r="C474" i="8"/>
  <c r="C367" i="8"/>
  <c r="F353" i="8"/>
  <c r="C389" i="8"/>
  <c r="C288" i="8"/>
  <c r="C498" i="8"/>
  <c r="C174" i="8"/>
  <c r="C211" i="8"/>
  <c r="C477" i="8"/>
  <c r="C79" i="8"/>
  <c r="C445" i="8"/>
  <c r="C281" i="8"/>
  <c r="C500" i="8"/>
  <c r="C280" i="8"/>
  <c r="C279" i="8"/>
  <c r="C361" i="8"/>
  <c r="C51" i="8"/>
  <c r="C382" i="8"/>
  <c r="F229" i="8"/>
  <c r="C7" i="8"/>
  <c r="C136" i="8"/>
  <c r="C448" i="8"/>
  <c r="C176" i="8"/>
  <c r="C151" i="8"/>
  <c r="C182" i="8"/>
  <c r="C27" i="8"/>
  <c r="C21" i="8"/>
  <c r="C409" i="8"/>
  <c r="C226" i="8"/>
  <c r="F451" i="8"/>
  <c r="C491" i="8"/>
  <c r="C464" i="8"/>
  <c r="F90" i="8"/>
  <c r="C408" i="8"/>
  <c r="F391" i="8"/>
  <c r="C255" i="8"/>
  <c r="C215" i="8"/>
  <c r="C131" i="8"/>
  <c r="C130" i="8"/>
  <c r="C156" i="8"/>
  <c r="C363" i="8"/>
  <c r="C229" i="8"/>
  <c r="C406" i="8"/>
  <c r="C32" i="8"/>
  <c r="C225" i="8"/>
  <c r="C209" i="8"/>
  <c r="C85" i="8"/>
  <c r="C333" i="8"/>
  <c r="C169" i="8"/>
  <c r="C222" i="8"/>
  <c r="C272" i="8"/>
  <c r="C426" i="8"/>
  <c r="C260" i="8"/>
  <c r="C52" i="8"/>
  <c r="C341" i="8"/>
  <c r="C472" i="8"/>
  <c r="C86" i="8"/>
  <c r="F263" i="8"/>
  <c r="C397" i="8"/>
  <c r="C173" i="8"/>
  <c r="C264" i="8"/>
  <c r="C305" i="8"/>
  <c r="C329" i="8"/>
  <c r="C114" i="8"/>
  <c r="F446" i="8"/>
  <c r="C328" i="8"/>
  <c r="C285" i="8"/>
  <c r="C383" i="8"/>
  <c r="C487" i="8"/>
  <c r="C300" i="8"/>
  <c r="C157" i="8"/>
  <c r="F447" i="8"/>
  <c r="C335" i="8"/>
  <c r="C38" i="8"/>
  <c r="C259" i="8"/>
  <c r="C67" i="8"/>
  <c r="F3" i="8"/>
  <c r="C101" i="8"/>
  <c r="C332" i="8"/>
  <c r="F187" i="8"/>
  <c r="F33" i="8"/>
  <c r="E154" i="8"/>
  <c r="F154" i="8" s="1"/>
  <c r="E448" i="8"/>
  <c r="F448" i="8" s="1"/>
  <c r="E165" i="8"/>
  <c r="F165" i="8" s="1"/>
  <c r="E234" i="8"/>
  <c r="F234" i="8" s="1"/>
  <c r="E34" i="8"/>
  <c r="F34" i="8" s="1"/>
  <c r="E181" i="8"/>
  <c r="F181" i="8" s="1"/>
  <c r="E132" i="8"/>
  <c r="F132" i="8" s="1"/>
  <c r="E372" i="8"/>
  <c r="F372" i="8" s="1"/>
  <c r="E162" i="8"/>
  <c r="F162" i="8" s="1"/>
  <c r="E180" i="8"/>
  <c r="F180" i="8" s="1"/>
  <c r="E25" i="8"/>
  <c r="F25" i="8" s="1"/>
  <c r="E72" i="8"/>
  <c r="F72" i="8" s="1"/>
  <c r="E227" i="8"/>
  <c r="F227" i="8" s="1"/>
  <c r="E470" i="8"/>
  <c r="F470" i="8" s="1"/>
  <c r="H470" i="8" s="1"/>
  <c r="E374" i="8"/>
  <c r="F374" i="8" s="1"/>
  <c r="E156" i="8"/>
  <c r="F156" i="8" s="1"/>
  <c r="E425" i="8"/>
  <c r="F425" i="8" s="1"/>
  <c r="E498" i="8"/>
  <c r="F498" i="8" s="1"/>
  <c r="E178" i="8"/>
  <c r="F178" i="8" s="1"/>
  <c r="E478" i="8"/>
  <c r="F478" i="8" s="1"/>
  <c r="E67" i="8"/>
  <c r="F67" i="8" s="1"/>
  <c r="E209" i="8"/>
  <c r="F209" i="8" s="1"/>
  <c r="E64" i="8"/>
  <c r="F64" i="8" s="1"/>
  <c r="H64" i="8" s="1"/>
  <c r="E247" i="8"/>
  <c r="F247" i="8" s="1"/>
  <c r="E23" i="8"/>
  <c r="F23" i="8" s="1"/>
  <c r="E476" i="8"/>
  <c r="F476" i="8" s="1"/>
  <c r="E123" i="8"/>
  <c r="F123" i="8" s="1"/>
  <c r="E85" i="8"/>
  <c r="F85" i="8" s="1"/>
  <c r="E117" i="8"/>
  <c r="F117" i="8" s="1"/>
  <c r="E145" i="8"/>
  <c r="F145" i="8" s="1"/>
  <c r="E208" i="8"/>
  <c r="F208" i="8" s="1"/>
  <c r="E194" i="8"/>
  <c r="F194" i="8" s="1"/>
  <c r="E318" i="8"/>
  <c r="F318" i="8" s="1"/>
  <c r="E464" i="8"/>
  <c r="F464" i="8" s="1"/>
  <c r="E430" i="8"/>
  <c r="F430" i="8" s="1"/>
  <c r="E74" i="8"/>
  <c r="F74" i="8" s="1"/>
  <c r="E396" i="8"/>
  <c r="F396" i="8" s="1"/>
  <c r="E281" i="8"/>
  <c r="F281" i="8" s="1"/>
  <c r="E198" i="8"/>
  <c r="F198" i="8" s="1"/>
  <c r="E379" i="8"/>
  <c r="F379" i="8" s="1"/>
  <c r="E124" i="8"/>
  <c r="F124" i="8" s="1"/>
  <c r="E350" i="8"/>
  <c r="F350" i="8" s="1"/>
  <c r="E15" i="8"/>
  <c r="F15" i="8" s="1"/>
  <c r="C495" i="8"/>
  <c r="C479" i="8"/>
  <c r="C325" i="8"/>
  <c r="C352" i="8"/>
  <c r="C338" i="8"/>
  <c r="C443" i="8"/>
  <c r="C476" i="8"/>
  <c r="C170" i="8"/>
  <c r="C492" i="8"/>
  <c r="C295" i="8"/>
  <c r="C149" i="8"/>
  <c r="C490" i="8"/>
  <c r="C14" i="8"/>
  <c r="C30" i="8"/>
  <c r="C132" i="8"/>
  <c r="C69" i="8"/>
  <c r="C202" i="8"/>
  <c r="C388" i="8"/>
  <c r="F291" i="8"/>
  <c r="H291" i="8" s="1"/>
  <c r="C393" i="8"/>
  <c r="C137" i="8"/>
  <c r="C236" i="8"/>
  <c r="C432" i="8"/>
  <c r="F30" i="8"/>
  <c r="C171" i="8"/>
  <c r="C194" i="8"/>
  <c r="C311" i="8"/>
  <c r="C350" i="8"/>
  <c r="C18" i="8"/>
  <c r="C113" i="8"/>
  <c r="C418" i="8"/>
  <c r="C412" i="8"/>
  <c r="C140" i="8"/>
  <c r="C253" i="8"/>
  <c r="C344" i="8"/>
  <c r="C183" i="8"/>
  <c r="F496" i="8"/>
  <c r="C6" i="8"/>
  <c r="C146" i="8"/>
  <c r="F492" i="8"/>
  <c r="C356" i="8"/>
  <c r="C193" i="8"/>
  <c r="C109" i="8"/>
  <c r="C368" i="8"/>
  <c r="C148" i="8"/>
  <c r="E471" i="8"/>
  <c r="F471" i="8" s="1"/>
  <c r="H471" i="8" s="1"/>
  <c r="E204" i="8"/>
  <c r="F204" i="8" s="1"/>
  <c r="E327" i="8"/>
  <c r="F327" i="8" s="1"/>
  <c r="E422" i="8"/>
  <c r="F422" i="8" s="1"/>
  <c r="E373" i="8"/>
  <c r="F373" i="8" s="1"/>
  <c r="E184" i="8"/>
  <c r="F184" i="8" s="1"/>
  <c r="E339" i="8"/>
  <c r="F339" i="8" s="1"/>
  <c r="E300" i="8"/>
  <c r="F300" i="8" s="1"/>
  <c r="E454" i="8"/>
  <c r="F454" i="8" s="1"/>
  <c r="E408" i="8"/>
  <c r="F408" i="8" s="1"/>
  <c r="E140" i="8"/>
  <c r="F140" i="8" s="1"/>
  <c r="E235" i="8"/>
  <c r="F235" i="8" s="1"/>
  <c r="E399" i="8"/>
  <c r="F399" i="8" s="1"/>
  <c r="E188" i="8"/>
  <c r="F188" i="8" s="1"/>
  <c r="E452" i="8"/>
  <c r="F452" i="8" s="1"/>
  <c r="E479" i="8"/>
  <c r="F479" i="8" s="1"/>
  <c r="E168" i="8"/>
  <c r="F168" i="8" s="1"/>
  <c r="E27" i="8"/>
  <c r="F27" i="8" s="1"/>
  <c r="E407" i="8"/>
  <c r="F407" i="8" s="1"/>
  <c r="E427" i="8"/>
  <c r="F427" i="8" s="1"/>
  <c r="E419" i="8"/>
  <c r="F419" i="8" s="1"/>
  <c r="E240" i="8"/>
  <c r="F240" i="8" s="1"/>
  <c r="E279" i="8"/>
  <c r="F279" i="8" s="1"/>
  <c r="E456" i="8"/>
  <c r="F456" i="8" s="1"/>
  <c r="E258" i="8"/>
  <c r="F258" i="8" s="1"/>
  <c r="E65" i="8"/>
  <c r="F65" i="8" s="1"/>
  <c r="E95" i="8"/>
  <c r="F95" i="8" s="1"/>
  <c r="E201" i="8"/>
  <c r="F201" i="8" s="1"/>
  <c r="E424" i="8"/>
  <c r="F424" i="8" s="1"/>
  <c r="E389" i="8"/>
  <c r="F389" i="8" s="1"/>
  <c r="E346" i="8"/>
  <c r="F346" i="8" s="1"/>
  <c r="E485" i="8"/>
  <c r="F485" i="8" s="1"/>
  <c r="E414" i="8"/>
  <c r="F414" i="8" s="1"/>
  <c r="E121" i="8"/>
  <c r="F121" i="8" s="1"/>
  <c r="E367" i="8"/>
  <c r="F367" i="8" s="1"/>
  <c r="E44" i="8"/>
  <c r="F44" i="8" s="1"/>
  <c r="E284" i="8"/>
  <c r="F284" i="8" s="1"/>
  <c r="E236" i="8"/>
  <c r="F236" i="8" s="1"/>
  <c r="E383" i="8"/>
  <c r="F383" i="8" s="1"/>
  <c r="E12" i="8"/>
  <c r="F12" i="8" s="1"/>
  <c r="E192" i="8"/>
  <c r="F192" i="8" s="1"/>
  <c r="C117" i="8"/>
  <c r="C198" i="8"/>
  <c r="F361" i="8"/>
  <c r="C370" i="8"/>
  <c r="C321" i="8"/>
  <c r="C128" i="8"/>
  <c r="C396" i="8"/>
  <c r="C324" i="8"/>
  <c r="C120" i="8"/>
  <c r="C220" i="8"/>
  <c r="C145" i="8"/>
  <c r="C262" i="8"/>
  <c r="C378" i="8"/>
  <c r="C129" i="8"/>
  <c r="C358" i="8"/>
  <c r="C486" i="8"/>
  <c r="C238" i="8"/>
  <c r="C304" i="8"/>
  <c r="C440" i="8"/>
  <c r="C180" i="8"/>
  <c r="C66" i="8"/>
  <c r="C213" i="8"/>
  <c r="C166" i="8"/>
  <c r="C254" i="8"/>
  <c r="C424" i="8"/>
  <c r="F334" i="8"/>
  <c r="C362" i="8"/>
  <c r="C35" i="8"/>
  <c r="C276" i="8"/>
  <c r="C167" i="8"/>
  <c r="C480" i="8"/>
  <c r="C484" i="8"/>
  <c r="C210" i="8"/>
  <c r="C41" i="8"/>
  <c r="C103" i="8"/>
  <c r="C133" i="8"/>
  <c r="C108" i="8"/>
  <c r="F404" i="8"/>
  <c r="F438" i="8"/>
  <c r="C334" i="8"/>
  <c r="C99" i="8"/>
  <c r="C224" i="8"/>
  <c r="C147" i="8"/>
  <c r="C192" i="8"/>
  <c r="F126" i="8"/>
  <c r="F455" i="8"/>
  <c r="C245" i="8"/>
  <c r="C11" i="8"/>
  <c r="F473" i="8"/>
  <c r="C221" i="8"/>
  <c r="F254" i="8"/>
  <c r="C263" i="8"/>
  <c r="C127" i="8"/>
  <c r="C315" i="8"/>
  <c r="C390" i="8"/>
  <c r="C450" i="8"/>
  <c r="F494" i="8"/>
  <c r="H494" i="8" s="1"/>
  <c r="C96" i="8"/>
  <c r="E98" i="8"/>
  <c r="F98" i="8" s="1"/>
  <c r="E450" i="8"/>
  <c r="F450" i="8" s="1"/>
  <c r="E225" i="8"/>
  <c r="F225" i="8" s="1"/>
  <c r="E31" i="8"/>
  <c r="F31" i="8" s="1"/>
  <c r="E215" i="8"/>
  <c r="F215" i="8" s="1"/>
  <c r="E89" i="8"/>
  <c r="F89" i="8" s="1"/>
  <c r="E193" i="8"/>
  <c r="F193" i="8" s="1"/>
  <c r="E280" i="8"/>
  <c r="F280" i="8" s="1"/>
  <c r="E131" i="8"/>
  <c r="F131" i="8" s="1"/>
  <c r="E337" i="8"/>
  <c r="F337" i="8" s="1"/>
  <c r="E174" i="8"/>
  <c r="F174" i="8" s="1"/>
  <c r="E158" i="8"/>
  <c r="F158" i="8" s="1"/>
  <c r="E224" i="8"/>
  <c r="F224" i="8" s="1"/>
  <c r="E313" i="8"/>
  <c r="F313" i="8" s="1"/>
  <c r="E87" i="8"/>
  <c r="F87" i="8" s="1"/>
  <c r="E472" i="8"/>
  <c r="F472" i="8" s="1"/>
  <c r="E481" i="8"/>
  <c r="F481" i="8" s="1"/>
  <c r="E159" i="8"/>
  <c r="F159" i="8" s="1"/>
  <c r="E323" i="8"/>
  <c r="F323" i="8" s="1"/>
  <c r="E46" i="8"/>
  <c r="F46" i="8" s="1"/>
  <c r="C205" i="8"/>
  <c r="C144" i="8"/>
  <c r="C428" i="8"/>
  <c r="C203" i="8"/>
  <c r="C461" i="8"/>
  <c r="C438" i="8"/>
  <c r="C353" i="8"/>
  <c r="C247" i="8"/>
  <c r="C401" i="8"/>
  <c r="F418" i="8"/>
  <c r="C43" i="8"/>
  <c r="C55" i="8"/>
  <c r="C189" i="8"/>
  <c r="C59" i="8"/>
  <c r="C251" i="8"/>
  <c r="F474" i="8"/>
  <c r="E238" i="8"/>
  <c r="F238" i="8" s="1"/>
  <c r="E42" i="8"/>
  <c r="F42" i="8" s="1"/>
  <c r="E179" i="8"/>
  <c r="F179" i="8" s="1"/>
  <c r="E335" i="8"/>
  <c r="F335" i="8" s="1"/>
  <c r="E484" i="8"/>
  <c r="F484" i="8" s="1"/>
  <c r="E453" i="8"/>
  <c r="F453" i="8" s="1"/>
  <c r="J453" i="8" s="1"/>
  <c r="E439" i="8"/>
  <c r="F439" i="8" s="1"/>
  <c r="E469" i="8"/>
  <c r="F469" i="8" s="1"/>
  <c r="E487" i="8"/>
  <c r="F487" i="8" s="1"/>
  <c r="E267" i="8"/>
  <c r="F267" i="8" s="1"/>
  <c r="E305" i="8"/>
  <c r="F305" i="8" s="1"/>
  <c r="E19" i="8"/>
  <c r="F19" i="8" s="1"/>
  <c r="E324" i="8"/>
  <c r="F324" i="8" s="1"/>
  <c r="E272" i="8"/>
  <c r="F272" i="8" s="1"/>
  <c r="E172" i="8"/>
  <c r="F172" i="8" s="1"/>
  <c r="E226" i="8"/>
  <c r="F226" i="8" s="1"/>
  <c r="E110" i="8"/>
  <c r="F110" i="8" s="1"/>
  <c r="E28" i="8"/>
  <c r="F28" i="8" s="1"/>
  <c r="E445" i="8"/>
  <c r="F445" i="8" s="1"/>
  <c r="E297" i="8"/>
  <c r="F297" i="8" s="1"/>
  <c r="H297" i="8" s="1"/>
  <c r="E60" i="8"/>
  <c r="F60" i="8" s="1"/>
  <c r="E406" i="8"/>
  <c r="F406" i="8" s="1"/>
  <c r="E62" i="8"/>
  <c r="F62" i="8" s="1"/>
  <c r="E40" i="8"/>
  <c r="F40" i="8" s="1"/>
  <c r="E39" i="8"/>
  <c r="F39" i="8" s="1"/>
  <c r="E66" i="8"/>
  <c r="F66" i="8" s="1"/>
  <c r="E6" i="8"/>
  <c r="F6" i="8" s="1"/>
  <c r="E348" i="8"/>
  <c r="F348" i="8" s="1"/>
  <c r="E163" i="8"/>
  <c r="F163" i="8" s="1"/>
  <c r="E423" i="8"/>
  <c r="F423" i="8" s="1"/>
  <c r="E86" i="8"/>
  <c r="F86" i="8" s="1"/>
  <c r="E466" i="8"/>
  <c r="F466" i="8" s="1"/>
  <c r="E114" i="8"/>
  <c r="F114" i="8" s="1"/>
  <c r="E97" i="8"/>
  <c r="F97" i="8" s="1"/>
  <c r="E458" i="8"/>
  <c r="F458" i="8" s="1"/>
  <c r="E245" i="8"/>
  <c r="F245" i="8" s="1"/>
  <c r="E341" i="8"/>
  <c r="F341" i="8" s="1"/>
  <c r="E164" i="8"/>
  <c r="F164" i="8" s="1"/>
  <c r="H164" i="8" s="1"/>
  <c r="E260" i="8"/>
  <c r="F260" i="8" s="1"/>
  <c r="E302" i="8"/>
  <c r="F302" i="8" s="1"/>
  <c r="E195" i="8"/>
  <c r="F195" i="8" s="1"/>
  <c r="E483" i="8"/>
  <c r="F483" i="8" s="1"/>
  <c r="E127" i="8"/>
  <c r="F127" i="8" s="1"/>
  <c r="E405" i="8"/>
  <c r="F405" i="8" s="1"/>
  <c r="E411" i="8"/>
  <c r="F411" i="8" s="1"/>
  <c r="H411" i="8" s="1"/>
  <c r="E421" i="8"/>
  <c r="F421" i="8" s="1"/>
  <c r="E243" i="8"/>
  <c r="F243" i="8" s="1"/>
  <c r="E68" i="8"/>
  <c r="F68" i="8" s="1"/>
  <c r="E261" i="8"/>
  <c r="F261" i="8" s="1"/>
  <c r="H261" i="8" s="1"/>
  <c r="E465" i="8"/>
  <c r="F465" i="8" s="1"/>
  <c r="E428" i="8"/>
  <c r="F428" i="8" s="1"/>
  <c r="E206" i="8"/>
  <c r="F206" i="8" s="1"/>
  <c r="E365" i="8"/>
  <c r="F365" i="8" s="1"/>
  <c r="E251" i="8"/>
  <c r="F251" i="8" s="1"/>
  <c r="E333" i="8"/>
  <c r="F333" i="8" s="1"/>
  <c r="E51" i="8"/>
  <c r="F51" i="8" s="1"/>
  <c r="C185" i="8"/>
  <c r="C468" i="8"/>
  <c r="C172" i="8"/>
  <c r="C283" i="8"/>
  <c r="C5" i="8"/>
  <c r="C8" i="8"/>
  <c r="C72" i="8"/>
  <c r="C284" i="8"/>
  <c r="C371" i="8"/>
  <c r="C63" i="8"/>
  <c r="F412" i="8"/>
  <c r="C372" i="8"/>
  <c r="C483" i="8"/>
  <c r="C256" i="8"/>
  <c r="C142" i="8"/>
  <c r="F103" i="8"/>
  <c r="C451" i="8"/>
  <c r="C377" i="8"/>
  <c r="C462" i="8"/>
  <c r="C26" i="8"/>
  <c r="C190" i="8"/>
  <c r="H29" i="8" l="1"/>
  <c r="Y127" i="8"/>
  <c r="H127" i="8"/>
  <c r="Y321" i="8"/>
  <c r="H321" i="8"/>
  <c r="Y109" i="8"/>
  <c r="H109" i="8"/>
  <c r="Y157" i="8"/>
  <c r="H157" i="8"/>
  <c r="Y91" i="8"/>
  <c r="H91" i="8"/>
  <c r="Y437" i="8"/>
  <c r="H437" i="8"/>
  <c r="Y75" i="8"/>
  <c r="H75" i="8"/>
  <c r="Y465" i="8"/>
  <c r="H465" i="8"/>
  <c r="Y436" i="8"/>
  <c r="H436" i="8"/>
  <c r="Y39" i="8"/>
  <c r="H39" i="8"/>
  <c r="Y446" i="8"/>
  <c r="H446" i="8"/>
  <c r="Y191" i="8"/>
  <c r="H191" i="8"/>
  <c r="Y374" i="8"/>
  <c r="H374" i="8"/>
  <c r="Y35" i="8"/>
  <c r="H35" i="8"/>
  <c r="Y443" i="8"/>
  <c r="H443" i="8"/>
  <c r="Y448" i="8"/>
  <c r="H448" i="8"/>
  <c r="Y381" i="8"/>
  <c r="H381" i="8"/>
  <c r="Y16" i="8"/>
  <c r="H16" i="8"/>
  <c r="Y380" i="8"/>
  <c r="H380" i="8"/>
  <c r="Y231" i="8"/>
  <c r="H231" i="8"/>
  <c r="Y454" i="8"/>
  <c r="H454" i="8"/>
  <c r="Y37" i="8"/>
  <c r="H37" i="8"/>
  <c r="Y362" i="8"/>
  <c r="H362" i="8"/>
  <c r="Y18" i="8"/>
  <c r="H18" i="8"/>
  <c r="Y225" i="8"/>
  <c r="H225" i="8"/>
  <c r="Y477" i="8"/>
  <c r="H477" i="8"/>
  <c r="Y312" i="8"/>
  <c r="H312" i="8"/>
  <c r="Y456" i="8"/>
  <c r="H456" i="8"/>
  <c r="Y92" i="8"/>
  <c r="H92" i="8"/>
  <c r="Y199" i="8"/>
  <c r="H199" i="8"/>
  <c r="Y129" i="8"/>
  <c r="H129" i="8"/>
  <c r="Y464" i="8"/>
  <c r="H464" i="8"/>
  <c r="Y308" i="8"/>
  <c r="H308" i="8"/>
  <c r="Y153" i="8"/>
  <c r="H153" i="8"/>
  <c r="Y317" i="8"/>
  <c r="H317" i="8"/>
  <c r="Y462" i="8"/>
  <c r="H462" i="8"/>
  <c r="Y378" i="8"/>
  <c r="H378" i="8"/>
  <c r="Y132" i="8"/>
  <c r="H132" i="8"/>
  <c r="Y332" i="8"/>
  <c r="H332" i="8"/>
  <c r="Y406" i="8"/>
  <c r="H406" i="8"/>
  <c r="Y61" i="8"/>
  <c r="H61" i="8"/>
  <c r="Y47" i="8"/>
  <c r="H47" i="8"/>
  <c r="Y345" i="8"/>
  <c r="H345" i="8"/>
  <c r="Y292" i="8"/>
  <c r="H292" i="8"/>
  <c r="Y294" i="8"/>
  <c r="H294" i="8"/>
  <c r="Y119" i="8"/>
  <c r="H119" i="8"/>
  <c r="Y8" i="8"/>
  <c r="H8" i="8"/>
  <c r="Y438" i="8"/>
  <c r="H438" i="8"/>
  <c r="Y254" i="8"/>
  <c r="H254" i="8"/>
  <c r="Y52" i="8"/>
  <c r="H52" i="8"/>
  <c r="Y498" i="8"/>
  <c r="H498" i="8"/>
  <c r="Y330" i="8"/>
  <c r="H330" i="8"/>
  <c r="Y138" i="8"/>
  <c r="H138" i="8"/>
  <c r="Y451" i="8"/>
  <c r="H451" i="8"/>
  <c r="Y461" i="8"/>
  <c r="H461" i="8"/>
  <c r="Y245" i="8"/>
  <c r="H245" i="8"/>
  <c r="Y145" i="8"/>
  <c r="H145" i="8"/>
  <c r="Y171" i="8"/>
  <c r="H171" i="8"/>
  <c r="Y363" i="8"/>
  <c r="H363" i="8"/>
  <c r="Y226" i="8"/>
  <c r="H226" i="8"/>
  <c r="Y51" i="8"/>
  <c r="H51" i="8"/>
  <c r="Y288" i="8"/>
  <c r="H288" i="8"/>
  <c r="Y124" i="8"/>
  <c r="H124" i="8"/>
  <c r="Y24" i="8"/>
  <c r="H24" i="8"/>
  <c r="Y342" i="8"/>
  <c r="H342" i="8"/>
  <c r="Y241" i="8"/>
  <c r="H241" i="8"/>
  <c r="Y134" i="8"/>
  <c r="H134" i="8"/>
  <c r="Y422" i="8"/>
  <c r="H422" i="8"/>
  <c r="Y25" i="8"/>
  <c r="H25" i="8"/>
  <c r="Y320" i="8"/>
  <c r="H320" i="8"/>
  <c r="Y98" i="8"/>
  <c r="H98" i="8"/>
  <c r="Y197" i="8"/>
  <c r="H197" i="8"/>
  <c r="Y379" i="8"/>
  <c r="H379" i="8"/>
  <c r="Y348" i="8"/>
  <c r="H348" i="8"/>
  <c r="Y71" i="8"/>
  <c r="H71" i="8"/>
  <c r="Y339" i="8"/>
  <c r="H339" i="8"/>
  <c r="Y104" i="8"/>
  <c r="H104" i="8"/>
  <c r="Y177" i="8"/>
  <c r="H177" i="8"/>
  <c r="Y425" i="8"/>
  <c r="H425" i="8"/>
  <c r="Y403" i="8"/>
  <c r="H403" i="8"/>
  <c r="Y373" i="8"/>
  <c r="H373" i="8"/>
  <c r="Y15" i="8"/>
  <c r="H15" i="8"/>
  <c r="Y417" i="8"/>
  <c r="H417" i="8"/>
  <c r="Y87" i="8"/>
  <c r="H87" i="8"/>
  <c r="Y102" i="8"/>
  <c r="H102" i="8"/>
  <c r="Y31" i="8"/>
  <c r="H31" i="8"/>
  <c r="H248" i="8"/>
  <c r="Y283" i="8"/>
  <c r="H283" i="8"/>
  <c r="Y203" i="8"/>
  <c r="H203" i="8"/>
  <c r="Y96" i="8"/>
  <c r="H96" i="8"/>
  <c r="Y41" i="8"/>
  <c r="H41" i="8"/>
  <c r="Y213" i="8"/>
  <c r="H213" i="8"/>
  <c r="Y220" i="8"/>
  <c r="H220" i="8"/>
  <c r="Y183" i="8"/>
  <c r="H183" i="8"/>
  <c r="Y490" i="8"/>
  <c r="H490" i="8"/>
  <c r="Y67" i="8"/>
  <c r="H67" i="8"/>
  <c r="Y114" i="8"/>
  <c r="H114" i="8"/>
  <c r="Y426" i="8"/>
  <c r="H426" i="8"/>
  <c r="Y156" i="8"/>
  <c r="H156" i="8"/>
  <c r="Y409" i="8"/>
  <c r="H409" i="8"/>
  <c r="Y361" i="8"/>
  <c r="H361" i="8"/>
  <c r="Y389" i="8"/>
  <c r="H389" i="8"/>
  <c r="Y433" i="8"/>
  <c r="H433" i="8"/>
  <c r="Y116" i="8"/>
  <c r="H116" i="8"/>
  <c r="Y399" i="8"/>
  <c r="H399" i="8"/>
  <c r="Y77" i="8"/>
  <c r="H77" i="8"/>
  <c r="Y289" i="8"/>
  <c r="H289" i="8"/>
  <c r="Y175" i="8"/>
  <c r="H175" i="8"/>
  <c r="Y349" i="8"/>
  <c r="H349" i="8"/>
  <c r="Y155" i="8"/>
  <c r="H155" i="8"/>
  <c r="Y275" i="8"/>
  <c r="H275" i="8"/>
  <c r="Y267" i="8"/>
  <c r="H267" i="8"/>
  <c r="Y126" i="8"/>
  <c r="H126" i="8"/>
  <c r="Y355" i="8"/>
  <c r="H355" i="8"/>
  <c r="Y179" i="8"/>
  <c r="H179" i="8"/>
  <c r="Y34" i="8"/>
  <c r="H34" i="8"/>
  <c r="Y359" i="8"/>
  <c r="H359" i="8"/>
  <c r="Y214" i="8"/>
  <c r="H214" i="8"/>
  <c r="Y287" i="8"/>
  <c r="H287" i="8"/>
  <c r="Y413" i="8"/>
  <c r="H413" i="8"/>
  <c r="Y17" i="8"/>
  <c r="H17" i="8"/>
  <c r="Y230" i="8"/>
  <c r="H230" i="8"/>
  <c r="Y469" i="8"/>
  <c r="H469" i="8"/>
  <c r="Y122" i="8"/>
  <c r="H122" i="8"/>
  <c r="Y49" i="8"/>
  <c r="H49" i="8"/>
  <c r="Y76" i="8"/>
  <c r="H76" i="8"/>
  <c r="Y44" i="8"/>
  <c r="H44" i="8"/>
  <c r="Y88" i="8"/>
  <c r="H88" i="8"/>
  <c r="Y397" i="8"/>
  <c r="H397" i="8"/>
  <c r="Y93" i="8"/>
  <c r="H93" i="8"/>
  <c r="Y111" i="8"/>
  <c r="H111" i="8"/>
  <c r="Y313" i="8"/>
  <c r="H313" i="8"/>
  <c r="Y370" i="8"/>
  <c r="H370" i="8"/>
  <c r="Y300" i="8"/>
  <c r="H300" i="8"/>
  <c r="Y337" i="8"/>
  <c r="H337" i="8"/>
  <c r="Y444" i="8"/>
  <c r="H444" i="8"/>
  <c r="Y258" i="8"/>
  <c r="H258" i="8"/>
  <c r="Y401" i="8"/>
  <c r="H401" i="8"/>
  <c r="Y356" i="8"/>
  <c r="H356" i="8"/>
  <c r="Y86" i="8"/>
  <c r="H86" i="8"/>
  <c r="Y278" i="8"/>
  <c r="H278" i="8"/>
  <c r="Y184" i="8"/>
  <c r="H184" i="8"/>
  <c r="Y419" i="8"/>
  <c r="H419" i="8"/>
  <c r="Y244" i="8"/>
  <c r="H244" i="8"/>
  <c r="Y284" i="8"/>
  <c r="H284" i="8"/>
  <c r="Y221" i="8"/>
  <c r="H221" i="8"/>
  <c r="Y352" i="8"/>
  <c r="H352" i="8"/>
  <c r="Y211" i="8"/>
  <c r="H211" i="8"/>
  <c r="Y40" i="8"/>
  <c r="H40" i="8"/>
  <c r="Y325" i="8"/>
  <c r="H325" i="8"/>
  <c r="Y441" i="8"/>
  <c r="H441" i="8"/>
  <c r="Y459" i="8"/>
  <c r="H459" i="8"/>
  <c r="Y377" i="8"/>
  <c r="H377" i="8"/>
  <c r="Y11" i="8"/>
  <c r="H11" i="8"/>
  <c r="Y4" i="8"/>
  <c r="H4" i="8"/>
  <c r="Y166" i="8"/>
  <c r="H166" i="8"/>
  <c r="Y210" i="8"/>
  <c r="H210" i="8"/>
  <c r="Y66" i="8"/>
  <c r="H66" i="8"/>
  <c r="Y120" i="8"/>
  <c r="H120" i="8"/>
  <c r="Y344" i="8"/>
  <c r="H344" i="8"/>
  <c r="Y432" i="8"/>
  <c r="H432" i="8"/>
  <c r="Y149" i="8"/>
  <c r="H149" i="8"/>
  <c r="Y259" i="8"/>
  <c r="H259" i="8"/>
  <c r="Y329" i="8"/>
  <c r="H329" i="8"/>
  <c r="Y272" i="8"/>
  <c r="H272" i="8"/>
  <c r="Y130" i="8"/>
  <c r="H130" i="8"/>
  <c r="Y21" i="8"/>
  <c r="H21" i="8"/>
  <c r="Y279" i="8"/>
  <c r="H279" i="8"/>
  <c r="Y385" i="8"/>
  <c r="H385" i="8"/>
  <c r="Y402" i="8"/>
  <c r="H402" i="8"/>
  <c r="Y369" i="8"/>
  <c r="H369" i="8"/>
  <c r="Y150" i="8"/>
  <c r="H150" i="8"/>
  <c r="Y3" i="8"/>
  <c r="H3" i="8"/>
  <c r="Y429" i="8"/>
  <c r="H429" i="8"/>
  <c r="Y375" i="8"/>
  <c r="H375" i="8"/>
  <c r="Y271" i="8"/>
  <c r="H271" i="8"/>
  <c r="Y323" i="8"/>
  <c r="H323" i="8"/>
  <c r="Y162" i="8"/>
  <c r="H162" i="8"/>
  <c r="Y266" i="8"/>
  <c r="H266" i="8"/>
  <c r="Y343" i="8"/>
  <c r="H343" i="8"/>
  <c r="Y100" i="8"/>
  <c r="H100" i="8"/>
  <c r="Y62" i="8"/>
  <c r="H62" i="8"/>
  <c r="Y227" i="8"/>
  <c r="H227" i="8"/>
  <c r="Y28" i="8"/>
  <c r="H28" i="8"/>
  <c r="Y326" i="8"/>
  <c r="H326" i="8"/>
  <c r="Y318" i="8"/>
  <c r="H318" i="8"/>
  <c r="Y447" i="8"/>
  <c r="H447" i="8"/>
  <c r="Y105" i="8"/>
  <c r="H105" i="8"/>
  <c r="Y496" i="8"/>
  <c r="H496" i="8"/>
  <c r="Y463" i="8"/>
  <c r="H463" i="8"/>
  <c r="Y473" i="8"/>
  <c r="H473" i="8"/>
  <c r="Y476" i="8"/>
  <c r="H476" i="8"/>
  <c r="Y176" i="8"/>
  <c r="H176" i="8"/>
  <c r="Y435" i="8"/>
  <c r="H435" i="8"/>
  <c r="Y89" i="8"/>
  <c r="H89" i="8"/>
  <c r="Y482" i="8"/>
  <c r="H482" i="8"/>
  <c r="Y63" i="8"/>
  <c r="H63" i="8"/>
  <c r="Y486" i="8"/>
  <c r="H486" i="8"/>
  <c r="Y193" i="8"/>
  <c r="H193" i="8"/>
  <c r="Y209" i="8"/>
  <c r="H209" i="8"/>
  <c r="Y12" i="8"/>
  <c r="H12" i="8"/>
  <c r="Y366" i="8"/>
  <c r="H366" i="8"/>
  <c r="Y94" i="8"/>
  <c r="H94" i="8"/>
  <c r="Y81" i="8"/>
  <c r="H81" i="8"/>
  <c r="Y360" i="8"/>
  <c r="H360" i="8"/>
  <c r="Y202" i="8"/>
  <c r="H202" i="8"/>
  <c r="Y217" i="8"/>
  <c r="H217" i="8"/>
  <c r="Y240" i="8"/>
  <c r="H240" i="8"/>
  <c r="Y249" i="8"/>
  <c r="H249" i="8"/>
  <c r="Y398" i="8"/>
  <c r="H398" i="8"/>
  <c r="Y195" i="8"/>
  <c r="H195" i="8"/>
  <c r="Y493" i="8"/>
  <c r="H493" i="8"/>
  <c r="Y434" i="8"/>
  <c r="H434" i="8"/>
  <c r="Y26" i="8"/>
  <c r="H26" i="8"/>
  <c r="Y350" i="8"/>
  <c r="H350" i="8"/>
  <c r="Y32" i="8"/>
  <c r="H32" i="8"/>
  <c r="Y467" i="8"/>
  <c r="H467" i="8"/>
  <c r="Y74" i="8"/>
  <c r="H74" i="8"/>
  <c r="Y48" i="8"/>
  <c r="H48" i="8"/>
  <c r="Y45" i="8"/>
  <c r="H45" i="8"/>
  <c r="Y200" i="8"/>
  <c r="H200" i="8"/>
  <c r="Y212" i="8"/>
  <c r="H212" i="8"/>
  <c r="Y125" i="8"/>
  <c r="H125" i="8"/>
  <c r="Y301" i="8"/>
  <c r="H301" i="8"/>
  <c r="Y353" i="8"/>
  <c r="H353" i="8"/>
  <c r="Y117" i="8"/>
  <c r="H117" i="8"/>
  <c r="Y146" i="8"/>
  <c r="H146" i="8"/>
  <c r="Y491" i="8"/>
  <c r="H491" i="8"/>
  <c r="Y420" i="8"/>
  <c r="H420" i="8"/>
  <c r="Y499" i="8"/>
  <c r="H499" i="8"/>
  <c r="Y268" i="8"/>
  <c r="H268" i="8"/>
  <c r="Y346" i="8"/>
  <c r="H346" i="8"/>
  <c r="Y497" i="8"/>
  <c r="H497" i="8"/>
  <c r="Y133" i="8"/>
  <c r="H133" i="8"/>
  <c r="Y194" i="8"/>
  <c r="H194" i="8"/>
  <c r="Y229" i="8"/>
  <c r="H229" i="8"/>
  <c r="Y430" i="8"/>
  <c r="H430" i="8"/>
  <c r="Y243" i="8"/>
  <c r="H243" i="8"/>
  <c r="Y123" i="8"/>
  <c r="H123" i="8"/>
  <c r="Y223" i="8"/>
  <c r="H223" i="8"/>
  <c r="Y5" i="8"/>
  <c r="H5" i="8"/>
  <c r="Y103" i="8"/>
  <c r="H103" i="8"/>
  <c r="Y495" i="8"/>
  <c r="H495" i="8"/>
  <c r="Y260" i="8"/>
  <c r="H260" i="8"/>
  <c r="Y251" i="8"/>
  <c r="H251" i="8"/>
  <c r="Y428" i="8"/>
  <c r="H428" i="8"/>
  <c r="Y468" i="8"/>
  <c r="H468" i="8"/>
  <c r="Y59" i="8"/>
  <c r="H59" i="8"/>
  <c r="Y450" i="8"/>
  <c r="H450" i="8"/>
  <c r="Y180" i="8"/>
  <c r="H180" i="8"/>
  <c r="Y236" i="8"/>
  <c r="H236" i="8"/>
  <c r="Y305" i="8"/>
  <c r="H305" i="8"/>
  <c r="Y131" i="8"/>
  <c r="H131" i="8"/>
  <c r="Y280" i="8"/>
  <c r="H280" i="8"/>
  <c r="Y23" i="8"/>
  <c r="H23" i="8"/>
  <c r="Y404" i="8"/>
  <c r="H404" i="8"/>
  <c r="Y234" i="8"/>
  <c r="H234" i="8"/>
  <c r="Y78" i="8"/>
  <c r="H78" i="8"/>
  <c r="Y163" i="8"/>
  <c r="H163" i="8"/>
  <c r="Y384" i="8"/>
  <c r="H384" i="8"/>
  <c r="Y421" i="8"/>
  <c r="H421" i="8"/>
  <c r="Y391" i="8"/>
  <c r="H391" i="8"/>
  <c r="Y286" i="8"/>
  <c r="H286" i="8"/>
  <c r="Y415" i="8"/>
  <c r="H415" i="8"/>
  <c r="Y416" i="8"/>
  <c r="H416" i="8"/>
  <c r="Y276" i="8"/>
  <c r="H276" i="8"/>
  <c r="Y85" i="8"/>
  <c r="H85" i="8"/>
  <c r="Y83" i="8"/>
  <c r="H83" i="8"/>
  <c r="Y22" i="8"/>
  <c r="H22" i="8"/>
  <c r="Y250" i="8"/>
  <c r="H250" i="8"/>
  <c r="Y58" i="8"/>
  <c r="H58" i="8"/>
  <c r="Y423" i="8"/>
  <c r="H423" i="8"/>
  <c r="J319" i="8"/>
  <c r="Y319" i="8"/>
  <c r="H319" i="8"/>
  <c r="Y57" i="8"/>
  <c r="H57" i="8"/>
  <c r="Y68" i="8"/>
  <c r="H68" i="8"/>
  <c r="Y334" i="8"/>
  <c r="H334" i="8"/>
  <c r="Y388" i="8"/>
  <c r="H388" i="8"/>
  <c r="Y408" i="8"/>
  <c r="H408" i="8"/>
  <c r="Y79" i="8"/>
  <c r="H79" i="8"/>
  <c r="Y188" i="8"/>
  <c r="H188" i="8"/>
  <c r="Y347" i="8"/>
  <c r="H347" i="8"/>
  <c r="Y239" i="8"/>
  <c r="H239" i="8"/>
  <c r="Y168" i="8"/>
  <c r="H168" i="8"/>
  <c r="Y46" i="8"/>
  <c r="H46" i="8"/>
  <c r="Y257" i="8"/>
  <c r="H257" i="8"/>
  <c r="Y204" i="8"/>
  <c r="H204" i="8"/>
  <c r="Y154" i="8"/>
  <c r="H154" i="8"/>
  <c r="Y190" i="8"/>
  <c r="H190" i="8"/>
  <c r="Y358" i="8"/>
  <c r="H358" i="8"/>
  <c r="Y338" i="8"/>
  <c r="H338" i="8"/>
  <c r="Y487" i="8"/>
  <c r="H487" i="8"/>
  <c r="Y136" i="8"/>
  <c r="H136" i="8"/>
  <c r="Y481" i="8"/>
  <c r="H481" i="8"/>
  <c r="Y216" i="8"/>
  <c r="H216" i="8"/>
  <c r="Y246" i="8"/>
  <c r="H246" i="8"/>
  <c r="Y386" i="8"/>
  <c r="H386" i="8"/>
  <c r="Y489" i="8"/>
  <c r="H489" i="8"/>
  <c r="Y198" i="8"/>
  <c r="H198" i="8"/>
  <c r="Y472" i="8"/>
  <c r="H472" i="8"/>
  <c r="Y314" i="8"/>
  <c r="H314" i="8"/>
  <c r="Y106" i="8"/>
  <c r="H106" i="8"/>
  <c r="Y20" i="8"/>
  <c r="H20" i="8"/>
  <c r="Y139" i="8"/>
  <c r="H139" i="8"/>
  <c r="Y108" i="8"/>
  <c r="H108" i="8"/>
  <c r="Y311" i="8"/>
  <c r="H311" i="8"/>
  <c r="Y341" i="8"/>
  <c r="H341" i="8"/>
  <c r="Y174" i="8"/>
  <c r="H174" i="8"/>
  <c r="Y327" i="8"/>
  <c r="H327" i="8"/>
  <c r="Y455" i="8"/>
  <c r="H455" i="8"/>
  <c r="Y407" i="8"/>
  <c r="H407" i="8"/>
  <c r="Y219" i="8"/>
  <c r="H219" i="8"/>
  <c r="Y80" i="8"/>
  <c r="H80" i="8"/>
  <c r="Y6" i="8"/>
  <c r="H6" i="8"/>
  <c r="Y479" i="8"/>
  <c r="H479" i="8"/>
  <c r="Y328" i="8"/>
  <c r="H328" i="8"/>
  <c r="Y270" i="8"/>
  <c r="H270" i="8"/>
  <c r="Y269" i="8"/>
  <c r="H269" i="8"/>
  <c r="Y296" i="8"/>
  <c r="H296" i="8"/>
  <c r="Y186" i="8"/>
  <c r="H186" i="8"/>
  <c r="J9" i="8"/>
  <c r="Y9" i="8"/>
  <c r="H9" i="8"/>
  <c r="Y242" i="8"/>
  <c r="H242" i="8"/>
  <c r="Y181" i="8"/>
  <c r="H181" i="8"/>
  <c r="Y392" i="8"/>
  <c r="H392" i="8"/>
  <c r="Y394" i="8"/>
  <c r="H394" i="8"/>
  <c r="Y14" i="8"/>
  <c r="H14" i="8"/>
  <c r="Y142" i="8"/>
  <c r="H142" i="8"/>
  <c r="Y172" i="8"/>
  <c r="H172" i="8"/>
  <c r="Y256" i="8"/>
  <c r="H256" i="8"/>
  <c r="Y144" i="8"/>
  <c r="H144" i="8"/>
  <c r="Y192" i="8"/>
  <c r="H192" i="8"/>
  <c r="Y484" i="8"/>
  <c r="H484" i="8"/>
  <c r="Y324" i="8"/>
  <c r="H324" i="8"/>
  <c r="Y253" i="8"/>
  <c r="H253" i="8"/>
  <c r="Y295" i="8"/>
  <c r="H295" i="8"/>
  <c r="Y38" i="8"/>
  <c r="H38" i="8"/>
  <c r="Y222" i="8"/>
  <c r="H222" i="8"/>
  <c r="Y27" i="8"/>
  <c r="H27" i="8"/>
  <c r="Y367" i="8"/>
  <c r="H367" i="8"/>
  <c r="Y273" i="8"/>
  <c r="H273" i="8"/>
  <c r="Y141" i="8"/>
  <c r="H141" i="8"/>
  <c r="Y70" i="8"/>
  <c r="H70" i="8"/>
  <c r="Y107" i="8"/>
  <c r="H107" i="8"/>
  <c r="Y36" i="8"/>
  <c r="H36" i="8"/>
  <c r="Y53" i="8"/>
  <c r="H53" i="8"/>
  <c r="Y160" i="8"/>
  <c r="H160" i="8"/>
  <c r="Y159" i="8"/>
  <c r="H159" i="8"/>
  <c r="Y488" i="8"/>
  <c r="H488" i="8"/>
  <c r="Y336" i="8"/>
  <c r="H336" i="8"/>
  <c r="Y42" i="8"/>
  <c r="H42" i="8"/>
  <c r="Y152" i="8"/>
  <c r="H152" i="8"/>
  <c r="Y340" i="8"/>
  <c r="H340" i="8"/>
  <c r="Y274" i="8"/>
  <c r="H274" i="8"/>
  <c r="Y118" i="8"/>
  <c r="H118" i="8"/>
  <c r="Y483" i="8"/>
  <c r="H483" i="8"/>
  <c r="Y185" i="8"/>
  <c r="H185" i="8"/>
  <c r="Y189" i="8"/>
  <c r="H189" i="8"/>
  <c r="Y205" i="8"/>
  <c r="H205" i="8"/>
  <c r="Y390" i="8"/>
  <c r="H390" i="8"/>
  <c r="Y147" i="8"/>
  <c r="H147" i="8"/>
  <c r="Y480" i="8"/>
  <c r="H480" i="8"/>
  <c r="Y440" i="8"/>
  <c r="H440" i="8"/>
  <c r="Y396" i="8"/>
  <c r="H396" i="8"/>
  <c r="Y148" i="8"/>
  <c r="H148" i="8"/>
  <c r="Y140" i="8"/>
  <c r="H140" i="8"/>
  <c r="Y137" i="8"/>
  <c r="H137" i="8"/>
  <c r="Y492" i="8"/>
  <c r="H492" i="8"/>
  <c r="Y335" i="8"/>
  <c r="H335" i="8"/>
  <c r="Y264" i="8"/>
  <c r="H264" i="8"/>
  <c r="Y169" i="8"/>
  <c r="H169" i="8"/>
  <c r="Y215" i="8"/>
  <c r="H215" i="8"/>
  <c r="Y182" i="8"/>
  <c r="H182" i="8"/>
  <c r="Y500" i="8"/>
  <c r="H500" i="8"/>
  <c r="Y474" i="8"/>
  <c r="H474" i="8"/>
  <c r="Y10" i="8"/>
  <c r="H10" i="8"/>
  <c r="Y414" i="8"/>
  <c r="H414" i="8"/>
  <c r="Y351" i="8"/>
  <c r="H351" i="8"/>
  <c r="Y331" i="8"/>
  <c r="H331" i="8"/>
  <c r="Y208" i="8"/>
  <c r="H208" i="8"/>
  <c r="Y458" i="8"/>
  <c r="H458" i="8"/>
  <c r="Y460" i="8"/>
  <c r="H460" i="8"/>
  <c r="Y206" i="8"/>
  <c r="H206" i="8"/>
  <c r="Y50" i="8"/>
  <c r="H50" i="8"/>
  <c r="Y233" i="8"/>
  <c r="H233" i="8"/>
  <c r="Y290" i="8"/>
  <c r="H290" i="8"/>
  <c r="Y442" i="8"/>
  <c r="H442" i="8"/>
  <c r="Y218" i="8"/>
  <c r="H218" i="8"/>
  <c r="Y431" i="8"/>
  <c r="H431" i="8"/>
  <c r="Y282" i="8"/>
  <c r="H282" i="8"/>
  <c r="Y13" i="8"/>
  <c r="H13" i="8"/>
  <c r="Y277" i="8"/>
  <c r="H277" i="8"/>
  <c r="Y178" i="8"/>
  <c r="H178" i="8"/>
  <c r="Y207" i="8"/>
  <c r="H207" i="8"/>
  <c r="Y302" i="8"/>
  <c r="H302" i="8"/>
  <c r="Y307" i="8"/>
  <c r="H307" i="8"/>
  <c r="Y90" i="8"/>
  <c r="H90" i="8"/>
  <c r="Y237" i="8"/>
  <c r="H237" i="8"/>
  <c r="Y110" i="8"/>
  <c r="H110" i="8"/>
  <c r="Y410" i="8"/>
  <c r="H410" i="8"/>
  <c r="H453" i="8"/>
  <c r="H135" i="8"/>
  <c r="Y43" i="8"/>
  <c r="H43" i="8"/>
  <c r="Y99" i="8"/>
  <c r="H99" i="8"/>
  <c r="Y238" i="8"/>
  <c r="H238" i="8"/>
  <c r="Y418" i="8"/>
  <c r="H418" i="8"/>
  <c r="Y445" i="8"/>
  <c r="H445" i="8"/>
  <c r="Y232" i="8"/>
  <c r="H232" i="8"/>
  <c r="Y405" i="8"/>
  <c r="H405" i="8"/>
  <c r="Y56" i="8"/>
  <c r="H56" i="8"/>
  <c r="Y263" i="8"/>
  <c r="H263" i="8"/>
  <c r="Y113" i="8"/>
  <c r="H113" i="8"/>
  <c r="Y115" i="8"/>
  <c r="H115" i="8"/>
  <c r="Y201" i="8"/>
  <c r="H201" i="8"/>
  <c r="F1" i="8"/>
  <c r="I1" i="8" s="1"/>
  <c r="AA1" i="8"/>
  <c r="Y19" i="8"/>
  <c r="H19" i="8"/>
  <c r="Y371" i="8"/>
  <c r="H371" i="8"/>
  <c r="Y306" i="8"/>
  <c r="H306" i="8"/>
  <c r="Y400" i="8"/>
  <c r="H400" i="8"/>
  <c r="Y365" i="8"/>
  <c r="H365" i="8"/>
  <c r="Y247" i="8"/>
  <c r="H247" i="8"/>
  <c r="Y69" i="8"/>
  <c r="H69" i="8"/>
  <c r="Y383" i="8"/>
  <c r="H383" i="8"/>
  <c r="Y7" i="8"/>
  <c r="H7" i="8"/>
  <c r="Y299" i="8"/>
  <c r="H299" i="8"/>
  <c r="Y354" i="8"/>
  <c r="H354" i="8"/>
  <c r="Y298" i="8"/>
  <c r="H298" i="8"/>
  <c r="Y158" i="8"/>
  <c r="H158" i="8"/>
  <c r="Y72" i="8"/>
  <c r="H72" i="8"/>
  <c r="Y424" i="8"/>
  <c r="H424" i="8"/>
  <c r="Y285" i="8"/>
  <c r="H285" i="8"/>
  <c r="Y364" i="8"/>
  <c r="H364" i="8"/>
  <c r="Y322" i="8"/>
  <c r="H322" i="8"/>
  <c r="Y478" i="8"/>
  <c r="H478" i="8"/>
  <c r="Y228" i="8"/>
  <c r="H228" i="8"/>
  <c r="Y262" i="8"/>
  <c r="H262" i="8"/>
  <c r="Y30" i="8"/>
  <c r="H30" i="8"/>
  <c r="Y101" i="8"/>
  <c r="H101" i="8"/>
  <c r="Y382" i="8"/>
  <c r="H382" i="8"/>
  <c r="Y310" i="8"/>
  <c r="H310" i="8"/>
  <c r="Y265" i="8"/>
  <c r="H265" i="8"/>
  <c r="Y196" i="8"/>
  <c r="H196" i="8"/>
  <c r="Y309" i="8"/>
  <c r="H309" i="8"/>
  <c r="Y112" i="8"/>
  <c r="H112" i="8"/>
  <c r="Y372" i="8"/>
  <c r="H372" i="8"/>
  <c r="Y55" i="8"/>
  <c r="H55" i="8"/>
  <c r="Y315" i="8"/>
  <c r="H315" i="8"/>
  <c r="Y224" i="8"/>
  <c r="H224" i="8"/>
  <c r="Y167" i="8"/>
  <c r="H167" i="8"/>
  <c r="Y304" i="8"/>
  <c r="H304" i="8"/>
  <c r="Y128" i="8"/>
  <c r="H128" i="8"/>
  <c r="Y368" i="8"/>
  <c r="H368" i="8"/>
  <c r="Y412" i="8"/>
  <c r="H412" i="8"/>
  <c r="Y393" i="8"/>
  <c r="H393" i="8"/>
  <c r="Y170" i="8"/>
  <c r="H170" i="8"/>
  <c r="Y173" i="8"/>
  <c r="H173" i="8"/>
  <c r="Y333" i="8"/>
  <c r="H333" i="8"/>
  <c r="Y255" i="8"/>
  <c r="H255" i="8"/>
  <c r="Y151" i="8"/>
  <c r="H151" i="8"/>
  <c r="Y281" i="8"/>
  <c r="H281" i="8"/>
  <c r="Y395" i="8"/>
  <c r="H395" i="8"/>
  <c r="Y97" i="8"/>
  <c r="H97" i="8"/>
  <c r="Y466" i="8"/>
  <c r="H466" i="8"/>
  <c r="Y54" i="8"/>
  <c r="H54" i="8"/>
  <c r="Y65" i="8"/>
  <c r="H65" i="8"/>
  <c r="Y452" i="8"/>
  <c r="H452" i="8"/>
  <c r="Y376" i="8"/>
  <c r="H376" i="8"/>
  <c r="Y235" i="8"/>
  <c r="H235" i="8"/>
  <c r="Y427" i="8"/>
  <c r="H427" i="8"/>
  <c r="Y357" i="8"/>
  <c r="H357" i="8"/>
  <c r="Y95" i="8"/>
  <c r="H95" i="8"/>
  <c r="Y187" i="8"/>
  <c r="H187" i="8"/>
  <c r="Y316" i="8"/>
  <c r="H316" i="8"/>
  <c r="Y293" i="8"/>
  <c r="H293" i="8"/>
  <c r="Y449" i="8"/>
  <c r="H449" i="8"/>
  <c r="Y84" i="8"/>
  <c r="H84" i="8"/>
  <c r="Y33" i="8"/>
  <c r="H33" i="8"/>
  <c r="Y485" i="8"/>
  <c r="H485" i="8"/>
  <c r="Y60" i="8"/>
  <c r="H60" i="8"/>
  <c r="Y475" i="8"/>
  <c r="H475" i="8"/>
  <c r="Y439" i="8"/>
  <c r="H439" i="8"/>
  <c r="Y121" i="8"/>
  <c r="H121" i="8"/>
  <c r="Y165" i="8"/>
  <c r="H165" i="8"/>
  <c r="Y82" i="8"/>
  <c r="H82" i="8"/>
  <c r="G347" i="8"/>
  <c r="J223" i="8"/>
  <c r="J165" i="8"/>
  <c r="K142" i="8"/>
  <c r="K59" i="8"/>
  <c r="G59" i="8"/>
  <c r="K486" i="8"/>
  <c r="G148" i="8"/>
  <c r="G142" i="8"/>
  <c r="I486" i="8"/>
  <c r="K148" i="8"/>
  <c r="G52" i="8"/>
  <c r="K248" i="8"/>
  <c r="J475" i="8"/>
  <c r="J105" i="8"/>
  <c r="G435" i="8"/>
  <c r="I289" i="8"/>
  <c r="K349" i="8"/>
  <c r="G136" i="8"/>
  <c r="K231" i="8"/>
  <c r="K61" i="8"/>
  <c r="G349" i="8"/>
  <c r="I435" i="8"/>
  <c r="J374" i="8"/>
  <c r="I331" i="8"/>
  <c r="G388" i="8"/>
  <c r="G289" i="8"/>
  <c r="G331" i="8"/>
  <c r="G54" i="8"/>
  <c r="I231" i="8"/>
  <c r="G105" i="8"/>
  <c r="I161" i="8"/>
  <c r="K161" i="8"/>
  <c r="G161" i="8"/>
  <c r="J161" i="8"/>
  <c r="K139" i="8"/>
  <c r="I35" i="8"/>
  <c r="G139" i="8"/>
  <c r="J286" i="8"/>
  <c r="J301" i="8"/>
  <c r="K147" i="8"/>
  <c r="I147" i="8"/>
  <c r="G330" i="8"/>
  <c r="J488" i="8"/>
  <c r="I443" i="8"/>
  <c r="I384" i="8"/>
  <c r="I330" i="8"/>
  <c r="K366" i="8"/>
  <c r="G237" i="8"/>
  <c r="K332" i="8"/>
  <c r="K54" i="8"/>
  <c r="K384" i="8"/>
  <c r="J49" i="8"/>
  <c r="J112" i="8"/>
  <c r="J318" i="8"/>
  <c r="J471" i="8"/>
  <c r="J287" i="8"/>
  <c r="I237" i="8"/>
  <c r="I332" i="8"/>
  <c r="J326" i="8"/>
  <c r="I326" i="8"/>
  <c r="K326" i="8"/>
  <c r="G326" i="8"/>
  <c r="I441" i="8"/>
  <c r="K35" i="8"/>
  <c r="I91" i="8"/>
  <c r="I69" i="8"/>
  <c r="K157" i="8"/>
  <c r="G378" i="8"/>
  <c r="I378" i="8"/>
  <c r="J416" i="8"/>
  <c r="K91" i="8"/>
  <c r="I61" i="8"/>
  <c r="G69" i="8"/>
  <c r="G311" i="8"/>
  <c r="I157" i="8"/>
  <c r="J469" i="8"/>
  <c r="I52" i="8"/>
  <c r="K105" i="8"/>
  <c r="I311" i="8"/>
  <c r="I264" i="8"/>
  <c r="J90" i="8"/>
  <c r="I262" i="8"/>
  <c r="J465" i="8"/>
  <c r="J154" i="8"/>
  <c r="G269" i="8"/>
  <c r="I269" i="8"/>
  <c r="K441" i="8"/>
  <c r="G262" i="8"/>
  <c r="K269" i="8"/>
  <c r="K136" i="8"/>
  <c r="I70" i="8"/>
  <c r="I420" i="8"/>
  <c r="K420" i="8"/>
  <c r="G70" i="8"/>
  <c r="J242" i="8"/>
  <c r="J340" i="8"/>
  <c r="K388" i="8"/>
  <c r="I16" i="8"/>
  <c r="J493" i="8"/>
  <c r="K17" i="8"/>
  <c r="K16" i="8"/>
  <c r="G362" i="8"/>
  <c r="K362" i="8"/>
  <c r="I362" i="8"/>
  <c r="J489" i="8"/>
  <c r="K489" i="8"/>
  <c r="I489" i="8"/>
  <c r="G489" i="8"/>
  <c r="G56" i="8"/>
  <c r="I56" i="8"/>
  <c r="K56" i="8"/>
  <c r="J307" i="8"/>
  <c r="K376" i="8"/>
  <c r="G376" i="8"/>
  <c r="I376" i="8"/>
  <c r="J122" i="8"/>
  <c r="I410" i="8"/>
  <c r="J410" i="8"/>
  <c r="K410" i="8"/>
  <c r="G410" i="8"/>
  <c r="I306" i="8"/>
  <c r="J17" i="8"/>
  <c r="K380" i="8"/>
  <c r="I380" i="8"/>
  <c r="G380" i="8"/>
  <c r="K308" i="8"/>
  <c r="I308" i="8"/>
  <c r="G308" i="8"/>
  <c r="G32" i="8"/>
  <c r="K32" i="8"/>
  <c r="I32" i="8"/>
  <c r="I273" i="8"/>
  <c r="K273" i="8"/>
  <c r="K482" i="8"/>
  <c r="G482" i="8"/>
  <c r="I482" i="8"/>
  <c r="K63" i="8"/>
  <c r="G63" i="8"/>
  <c r="I63" i="8"/>
  <c r="G55" i="8"/>
  <c r="K55" i="8"/>
  <c r="I55" i="8"/>
  <c r="J46" i="8"/>
  <c r="J447" i="8"/>
  <c r="K306" i="8"/>
  <c r="I347" i="8"/>
  <c r="I202" i="8"/>
  <c r="K202" i="8"/>
  <c r="G449" i="8"/>
  <c r="K449" i="8"/>
  <c r="J463" i="8"/>
  <c r="G434" i="8"/>
  <c r="J81" i="8"/>
  <c r="I461" i="8"/>
  <c r="G461" i="8"/>
  <c r="K242" i="8"/>
  <c r="I242" i="8"/>
  <c r="J237" i="8"/>
  <c r="K434" i="8"/>
  <c r="G17" i="8"/>
  <c r="K197" i="8"/>
  <c r="I111" i="8"/>
  <c r="K77" i="8"/>
  <c r="G77" i="8"/>
  <c r="G460" i="8"/>
  <c r="K460" i="8"/>
  <c r="J230" i="8"/>
  <c r="I197" i="8"/>
  <c r="G10" i="8"/>
  <c r="I248" i="8"/>
  <c r="G248" i="8"/>
  <c r="I150" i="8"/>
  <c r="K150" i="8"/>
  <c r="I500" i="8"/>
  <c r="K500" i="8"/>
  <c r="J219" i="8"/>
  <c r="K461" i="8"/>
  <c r="G241" i="8"/>
  <c r="I354" i="8"/>
  <c r="I10" i="8"/>
  <c r="K107" i="8"/>
  <c r="I107" i="8"/>
  <c r="I112" i="8"/>
  <c r="K112" i="8"/>
  <c r="K463" i="8"/>
  <c r="G463" i="8"/>
  <c r="I301" i="8"/>
  <c r="K301" i="8"/>
  <c r="J336" i="8"/>
  <c r="I463" i="8"/>
  <c r="J62" i="8"/>
  <c r="G278" i="8"/>
  <c r="K278" i="8"/>
  <c r="G202" i="8"/>
  <c r="G111" i="8"/>
  <c r="G366" i="8"/>
  <c r="J413" i="8"/>
  <c r="K413" i="8"/>
  <c r="G413" i="8"/>
  <c r="J434" i="8"/>
  <c r="I241" i="8"/>
  <c r="K354" i="8"/>
  <c r="G22" i="8"/>
  <c r="I22" i="8"/>
  <c r="J28" i="8"/>
  <c r="G443" i="8"/>
  <c r="K264" i="8"/>
  <c r="G49" i="8"/>
  <c r="K49" i="8"/>
  <c r="I329" i="8"/>
  <c r="G329" i="8"/>
  <c r="I145" i="8"/>
  <c r="G145" i="8"/>
  <c r="K145" i="8"/>
  <c r="I364" i="8"/>
  <c r="G364" i="8"/>
  <c r="K364" i="8"/>
  <c r="G15" i="8"/>
  <c r="I15" i="8"/>
  <c r="K15" i="8"/>
  <c r="J15" i="8"/>
  <c r="K350" i="8"/>
  <c r="I350" i="8"/>
  <c r="G350" i="8"/>
  <c r="K302" i="8"/>
  <c r="I302" i="8"/>
  <c r="G302" i="8"/>
  <c r="J302" i="8"/>
  <c r="G464" i="8"/>
  <c r="I464" i="8"/>
  <c r="K464" i="8"/>
  <c r="I168" i="8"/>
  <c r="G168" i="8"/>
  <c r="K168" i="8"/>
  <c r="I476" i="8"/>
  <c r="K476" i="8"/>
  <c r="G476" i="8"/>
  <c r="I470" i="8"/>
  <c r="G470" i="8"/>
  <c r="K470" i="8"/>
  <c r="J470" i="8"/>
  <c r="G379" i="8"/>
  <c r="K379" i="8"/>
  <c r="I379" i="8"/>
  <c r="I367" i="8"/>
  <c r="G367" i="8"/>
  <c r="K367" i="8"/>
  <c r="K65" i="8"/>
  <c r="G65" i="8"/>
  <c r="I65" i="8"/>
  <c r="I87" i="8"/>
  <c r="G87" i="8"/>
  <c r="J87" i="8"/>
  <c r="K87" i="8"/>
  <c r="I132" i="8"/>
  <c r="G132" i="8"/>
  <c r="K132" i="8"/>
  <c r="I258" i="8"/>
  <c r="G258" i="8"/>
  <c r="K258" i="8"/>
  <c r="J258" i="8"/>
  <c r="G218" i="8"/>
  <c r="K218" i="8"/>
  <c r="I218" i="8"/>
  <c r="K411" i="8"/>
  <c r="I411" i="8"/>
  <c r="G411" i="8"/>
  <c r="J411" i="8"/>
  <c r="K206" i="8"/>
  <c r="I206" i="8"/>
  <c r="G206" i="8"/>
  <c r="K110" i="8"/>
  <c r="I110" i="8"/>
  <c r="G110" i="8"/>
  <c r="J110" i="8"/>
  <c r="I51" i="8"/>
  <c r="K51" i="8"/>
  <c r="G51" i="8"/>
  <c r="K383" i="8"/>
  <c r="I383" i="8"/>
  <c r="G383" i="8"/>
  <c r="G215" i="8"/>
  <c r="I215" i="8"/>
  <c r="K215" i="8"/>
  <c r="I236" i="8"/>
  <c r="K236" i="8"/>
  <c r="G236" i="8"/>
  <c r="I195" i="8"/>
  <c r="G195" i="8"/>
  <c r="K195" i="8"/>
  <c r="J195" i="8"/>
  <c r="K204" i="8"/>
  <c r="I204" i="8"/>
  <c r="G204" i="8"/>
  <c r="J204" i="8"/>
  <c r="K456" i="8"/>
  <c r="G456" i="8"/>
  <c r="I456" i="8"/>
  <c r="G179" i="8"/>
  <c r="I179" i="8"/>
  <c r="K179" i="8"/>
  <c r="G42" i="8"/>
  <c r="K42" i="8"/>
  <c r="I42" i="8"/>
  <c r="J42" i="8"/>
  <c r="I481" i="8"/>
  <c r="G481" i="8"/>
  <c r="K481" i="8"/>
  <c r="K390" i="8"/>
  <c r="I390" i="8"/>
  <c r="G390" i="8"/>
  <c r="G472" i="8"/>
  <c r="K472" i="8"/>
  <c r="I472" i="8"/>
  <c r="K427" i="8"/>
  <c r="I427" i="8"/>
  <c r="G427" i="8"/>
  <c r="I158" i="8"/>
  <c r="K158" i="8"/>
  <c r="G158" i="8"/>
  <c r="J158" i="8"/>
  <c r="K448" i="8"/>
  <c r="I448" i="8"/>
  <c r="G448" i="8"/>
  <c r="K297" i="8"/>
  <c r="I297" i="8"/>
  <c r="G297" i="8"/>
  <c r="J297" i="8"/>
  <c r="K421" i="8"/>
  <c r="G421" i="8"/>
  <c r="I421" i="8"/>
  <c r="G40" i="8"/>
  <c r="I40" i="8"/>
  <c r="K40" i="8"/>
  <c r="K181" i="8"/>
  <c r="G181" i="8"/>
  <c r="I181" i="8"/>
  <c r="J181" i="8"/>
  <c r="I86" i="8"/>
  <c r="G86" i="8"/>
  <c r="K86" i="8"/>
  <c r="K159" i="8"/>
  <c r="I159" i="8"/>
  <c r="G159" i="8"/>
  <c r="I261" i="8"/>
  <c r="G261" i="8"/>
  <c r="J261" i="8"/>
  <c r="K261" i="8"/>
  <c r="K163" i="8"/>
  <c r="I163" i="8"/>
  <c r="G163" i="8"/>
  <c r="I89" i="8"/>
  <c r="K89" i="8"/>
  <c r="G89" i="8"/>
  <c r="K363" i="8"/>
  <c r="G363" i="8"/>
  <c r="I363" i="8"/>
  <c r="J451" i="8"/>
  <c r="G251" i="8"/>
  <c r="I251" i="8"/>
  <c r="K251" i="8"/>
  <c r="K6" i="8"/>
  <c r="I6" i="8"/>
  <c r="G6" i="8"/>
  <c r="G439" i="8"/>
  <c r="I439" i="8"/>
  <c r="K439" i="8"/>
  <c r="J189" i="8"/>
  <c r="J96" i="8"/>
  <c r="G389" i="8"/>
  <c r="K389" i="8"/>
  <c r="I389" i="8"/>
  <c r="J213" i="8"/>
  <c r="I454" i="8"/>
  <c r="G454" i="8"/>
  <c r="K454" i="8"/>
  <c r="J454" i="8"/>
  <c r="J170" i="8"/>
  <c r="G478" i="8"/>
  <c r="K478" i="8"/>
  <c r="I478" i="8"/>
  <c r="J433" i="8"/>
  <c r="I64" i="8"/>
  <c r="K64" i="8"/>
  <c r="G64" i="8"/>
  <c r="I76" i="8"/>
  <c r="K76" i="8"/>
  <c r="G76" i="8"/>
  <c r="J76" i="8"/>
  <c r="K246" i="8"/>
  <c r="G246" i="8"/>
  <c r="I246" i="8"/>
  <c r="I371" i="8"/>
  <c r="G371" i="8"/>
  <c r="K371" i="8"/>
  <c r="K169" i="8"/>
  <c r="I169" i="8"/>
  <c r="G169" i="8"/>
  <c r="G315" i="8"/>
  <c r="I315" i="8"/>
  <c r="K315" i="8"/>
  <c r="K257" i="8"/>
  <c r="G257" i="8"/>
  <c r="I257" i="8"/>
  <c r="J142" i="8"/>
  <c r="I92" i="8"/>
  <c r="K92" i="8"/>
  <c r="G92" i="8"/>
  <c r="K66" i="8"/>
  <c r="I66" i="8"/>
  <c r="G66" i="8"/>
  <c r="I324" i="8"/>
  <c r="G324" i="8"/>
  <c r="K324" i="8"/>
  <c r="G418" i="8"/>
  <c r="K418" i="8"/>
  <c r="I418" i="8"/>
  <c r="J203" i="8"/>
  <c r="K494" i="8"/>
  <c r="G494" i="8"/>
  <c r="I494" i="8"/>
  <c r="K254" i="8"/>
  <c r="G254" i="8"/>
  <c r="I254" i="8"/>
  <c r="J224" i="8"/>
  <c r="J180" i="8"/>
  <c r="J396" i="8"/>
  <c r="I186" i="8"/>
  <c r="K186" i="8"/>
  <c r="G186" i="8"/>
  <c r="K370" i="8"/>
  <c r="I370" i="8"/>
  <c r="G370" i="8"/>
  <c r="G146" i="8"/>
  <c r="K146" i="8"/>
  <c r="I146" i="8"/>
  <c r="I240" i="8"/>
  <c r="G240" i="8"/>
  <c r="K240" i="8"/>
  <c r="G235" i="8"/>
  <c r="I235" i="8"/>
  <c r="K235" i="8"/>
  <c r="J354" i="8"/>
  <c r="J452" i="8"/>
  <c r="J206" i="8"/>
  <c r="K239" i="8"/>
  <c r="G239" i="8"/>
  <c r="I239" i="8"/>
  <c r="I296" i="8"/>
  <c r="K296" i="8"/>
  <c r="G296" i="8"/>
  <c r="J421" i="8"/>
  <c r="K333" i="8"/>
  <c r="I333" i="8"/>
  <c r="G333" i="8"/>
  <c r="K138" i="8"/>
  <c r="I138" i="8"/>
  <c r="G138" i="8"/>
  <c r="I103" i="8"/>
  <c r="G103" i="8"/>
  <c r="K103" i="8"/>
  <c r="K67" i="8"/>
  <c r="I67" i="8"/>
  <c r="G67" i="8"/>
  <c r="K164" i="8"/>
  <c r="G164" i="8"/>
  <c r="I164" i="8"/>
  <c r="G39" i="8"/>
  <c r="K39" i="8"/>
  <c r="I39" i="8"/>
  <c r="J276" i="8"/>
  <c r="J486" i="8"/>
  <c r="K344" i="8"/>
  <c r="G344" i="8"/>
  <c r="I344" i="8"/>
  <c r="J236" i="8"/>
  <c r="G498" i="8"/>
  <c r="I498" i="8"/>
  <c r="K498" i="8"/>
  <c r="G85" i="8"/>
  <c r="I85" i="8"/>
  <c r="K85" i="8"/>
  <c r="I177" i="8"/>
  <c r="G177" i="8"/>
  <c r="K177" i="8"/>
  <c r="J211" i="8"/>
  <c r="I116" i="8"/>
  <c r="K116" i="8"/>
  <c r="G116" i="8"/>
  <c r="I93" i="8"/>
  <c r="G93" i="8"/>
  <c r="K93" i="8"/>
  <c r="J467" i="8"/>
  <c r="K221" i="8"/>
  <c r="G221" i="8"/>
  <c r="I221" i="8"/>
  <c r="J250" i="8"/>
  <c r="J175" i="8"/>
  <c r="J218" i="8"/>
  <c r="K18" i="8"/>
  <c r="G18" i="8"/>
  <c r="I18" i="8"/>
  <c r="J343" i="8"/>
  <c r="I271" i="8"/>
  <c r="G271" i="8"/>
  <c r="K271" i="8"/>
  <c r="J390" i="8"/>
  <c r="K99" i="8"/>
  <c r="I99" i="8"/>
  <c r="G99" i="8"/>
  <c r="J35" i="8"/>
  <c r="G41" i="8"/>
  <c r="K41" i="8"/>
  <c r="I41" i="8"/>
  <c r="J137" i="8"/>
  <c r="J490" i="8"/>
  <c r="J352" i="8"/>
  <c r="G395" i="8"/>
  <c r="K395" i="8"/>
  <c r="I395" i="8"/>
  <c r="J114" i="8"/>
  <c r="J176" i="8"/>
  <c r="K491" i="8"/>
  <c r="G491" i="8"/>
  <c r="I491" i="8"/>
  <c r="J234" i="8"/>
  <c r="J201" i="8"/>
  <c r="I416" i="8"/>
  <c r="K416" i="8"/>
  <c r="G416" i="8"/>
  <c r="K238" i="8"/>
  <c r="I238" i="8"/>
  <c r="G238" i="8"/>
  <c r="J375" i="8"/>
  <c r="K84" i="8"/>
  <c r="G84" i="8"/>
  <c r="I84" i="8"/>
  <c r="J398" i="8"/>
  <c r="J100" i="8"/>
  <c r="J172" i="8"/>
  <c r="G484" i="8"/>
  <c r="K484" i="8"/>
  <c r="I484" i="8"/>
  <c r="J401" i="8"/>
  <c r="J103" i="8"/>
  <c r="G304" i="8"/>
  <c r="K304" i="8"/>
  <c r="I304" i="8"/>
  <c r="J117" i="8"/>
  <c r="J146" i="8"/>
  <c r="J14" i="8"/>
  <c r="I124" i="8"/>
  <c r="K124" i="8"/>
  <c r="G124" i="8"/>
  <c r="G468" i="8"/>
  <c r="I468" i="8"/>
  <c r="K468" i="8"/>
  <c r="J279" i="8"/>
  <c r="J270" i="8"/>
  <c r="J310" i="8"/>
  <c r="G280" i="8"/>
  <c r="I280" i="8"/>
  <c r="K280" i="8"/>
  <c r="J106" i="8"/>
  <c r="J74" i="8"/>
  <c r="J499" i="8"/>
  <c r="J265" i="8"/>
  <c r="J459" i="8"/>
  <c r="K385" i="8"/>
  <c r="I385" i="8"/>
  <c r="G385" i="8"/>
  <c r="J444" i="8"/>
  <c r="J298" i="8"/>
  <c r="I360" i="8"/>
  <c r="K360" i="8"/>
  <c r="G360" i="8"/>
  <c r="I303" i="8"/>
  <c r="K303" i="8"/>
  <c r="G303" i="8"/>
  <c r="J303" i="8"/>
  <c r="J64" i="8"/>
  <c r="I19" i="8"/>
  <c r="J19" i="8"/>
  <c r="G19" i="8"/>
  <c r="K19" i="8"/>
  <c r="I27" i="8"/>
  <c r="G27" i="8"/>
  <c r="K27" i="8"/>
  <c r="K191" i="8"/>
  <c r="G191" i="8"/>
  <c r="I191" i="8"/>
  <c r="J191" i="8"/>
  <c r="J113" i="8"/>
  <c r="J448" i="8"/>
  <c r="J381" i="8"/>
  <c r="J241" i="8"/>
  <c r="J65" i="8"/>
  <c r="J78" i="8"/>
  <c r="J345" i="8"/>
  <c r="J468" i="8"/>
  <c r="K137" i="8"/>
  <c r="I137" i="8"/>
  <c r="G137" i="8"/>
  <c r="K31" i="8"/>
  <c r="I31" i="8"/>
  <c r="G31" i="8"/>
  <c r="J31" i="8"/>
  <c r="G429" i="8"/>
  <c r="K429" i="8"/>
  <c r="I429" i="8"/>
  <c r="G194" i="8"/>
  <c r="I194" i="8"/>
  <c r="K194" i="8"/>
  <c r="I459" i="8"/>
  <c r="K459" i="8"/>
  <c r="G459" i="8"/>
  <c r="J93" i="8"/>
  <c r="K321" i="8"/>
  <c r="G321" i="8"/>
  <c r="I321" i="8"/>
  <c r="K369" i="8"/>
  <c r="G369" i="8"/>
  <c r="I369" i="8"/>
  <c r="J71" i="8"/>
  <c r="K244" i="8"/>
  <c r="G244" i="8"/>
  <c r="I244" i="8"/>
  <c r="J377" i="8"/>
  <c r="I226" i="8"/>
  <c r="G226" i="8"/>
  <c r="K226" i="8"/>
  <c r="J334" i="8"/>
  <c r="I200" i="8"/>
  <c r="K200" i="8"/>
  <c r="G200" i="8"/>
  <c r="J260" i="8"/>
  <c r="J225" i="8"/>
  <c r="G281" i="8"/>
  <c r="K281" i="8"/>
  <c r="I281" i="8"/>
  <c r="J182" i="8"/>
  <c r="J382" i="8"/>
  <c r="J500" i="8"/>
  <c r="J498" i="8"/>
  <c r="I353" i="8"/>
  <c r="G353" i="8"/>
  <c r="K353" i="8"/>
  <c r="J314" i="8"/>
  <c r="I444" i="8"/>
  <c r="G444" i="8"/>
  <c r="K444" i="8"/>
  <c r="K46" i="8"/>
  <c r="I46" i="8"/>
  <c r="G46" i="8"/>
  <c r="J435" i="8"/>
  <c r="J330" i="8"/>
  <c r="J16" i="8"/>
  <c r="J47" i="8"/>
  <c r="K20" i="8"/>
  <c r="G20" i="8"/>
  <c r="I20" i="8"/>
  <c r="I442" i="8"/>
  <c r="K442" i="8"/>
  <c r="G442" i="8"/>
  <c r="J58" i="8"/>
  <c r="G162" i="8"/>
  <c r="K162" i="8"/>
  <c r="I162" i="8"/>
  <c r="J187" i="8"/>
  <c r="J179" i="8"/>
  <c r="J317" i="8"/>
  <c r="J186" i="8"/>
  <c r="J419" i="8"/>
  <c r="J483" i="8"/>
  <c r="J284" i="8"/>
  <c r="K358" i="8"/>
  <c r="I358" i="8"/>
  <c r="G358" i="8"/>
  <c r="J185" i="8"/>
  <c r="G423" i="8"/>
  <c r="K423" i="8"/>
  <c r="I423" i="8"/>
  <c r="K172" i="8"/>
  <c r="I172" i="8"/>
  <c r="G172" i="8"/>
  <c r="G487" i="8"/>
  <c r="K487" i="8"/>
  <c r="I487" i="8"/>
  <c r="J43" i="8"/>
  <c r="G131" i="8"/>
  <c r="K131" i="8"/>
  <c r="I131" i="8"/>
  <c r="I73" i="8"/>
  <c r="K73" i="8"/>
  <c r="J73" i="8"/>
  <c r="G73" i="8"/>
  <c r="I438" i="8"/>
  <c r="G438" i="8"/>
  <c r="K438" i="8"/>
  <c r="K58" i="8"/>
  <c r="I58" i="8"/>
  <c r="G58" i="8"/>
  <c r="K334" i="8"/>
  <c r="I334" i="8"/>
  <c r="G334" i="8"/>
  <c r="K12" i="8"/>
  <c r="G12" i="8"/>
  <c r="I12" i="8"/>
  <c r="J129" i="8"/>
  <c r="J324" i="8"/>
  <c r="J321" i="8"/>
  <c r="I408" i="8"/>
  <c r="G408" i="8"/>
  <c r="K408" i="8"/>
  <c r="G293" i="8"/>
  <c r="I293" i="8"/>
  <c r="K293" i="8"/>
  <c r="J109" i="8"/>
  <c r="J253" i="8"/>
  <c r="K106" i="8"/>
  <c r="G106" i="8"/>
  <c r="I106" i="8"/>
  <c r="I425" i="8"/>
  <c r="G425" i="8"/>
  <c r="K425" i="8"/>
  <c r="G96" i="8"/>
  <c r="K96" i="8"/>
  <c r="I96" i="8"/>
  <c r="J264" i="8"/>
  <c r="J426" i="8"/>
  <c r="I90" i="8"/>
  <c r="K90" i="8"/>
  <c r="G90" i="8"/>
  <c r="J151" i="8"/>
  <c r="I212" i="8"/>
  <c r="K212" i="8"/>
  <c r="G212" i="8"/>
  <c r="J281" i="8"/>
  <c r="J288" i="8"/>
  <c r="J367" i="8"/>
  <c r="I129" i="8"/>
  <c r="G129" i="8"/>
  <c r="K129" i="8"/>
  <c r="J404" i="8"/>
  <c r="J278" i="8"/>
  <c r="G409" i="8"/>
  <c r="K409" i="8"/>
  <c r="I409" i="8"/>
  <c r="J3" i="8"/>
  <c r="J296" i="8"/>
  <c r="I497" i="8"/>
  <c r="G497" i="8"/>
  <c r="K497" i="8"/>
  <c r="J497" i="8"/>
  <c r="J439" i="8"/>
  <c r="K207" i="8"/>
  <c r="G207" i="8"/>
  <c r="I207" i="8"/>
  <c r="J207" i="8"/>
  <c r="J212" i="8"/>
  <c r="I123" i="8"/>
  <c r="G123" i="8"/>
  <c r="K123" i="8"/>
  <c r="K80" i="8"/>
  <c r="I80" i="8"/>
  <c r="G80" i="8"/>
  <c r="J487" i="8"/>
  <c r="G127" i="8"/>
  <c r="K127" i="8"/>
  <c r="I127" i="8"/>
  <c r="G140" i="8"/>
  <c r="I140" i="8"/>
  <c r="K140" i="8"/>
  <c r="J243" i="8"/>
  <c r="J437" i="8"/>
  <c r="J53" i="8"/>
  <c r="J339" i="8"/>
  <c r="G277" i="8"/>
  <c r="I277" i="8"/>
  <c r="K277" i="8"/>
  <c r="J164" i="8"/>
  <c r="J63" i="8"/>
  <c r="G336" i="8"/>
  <c r="K336" i="8"/>
  <c r="I336" i="8"/>
  <c r="K245" i="8"/>
  <c r="I245" i="8"/>
  <c r="G245" i="8"/>
  <c r="J353" i="8"/>
  <c r="K485" i="8"/>
  <c r="G485" i="8"/>
  <c r="I485" i="8"/>
  <c r="G30" i="8"/>
  <c r="K30" i="8"/>
  <c r="I30" i="8"/>
  <c r="J188" i="8"/>
  <c r="K405" i="8"/>
  <c r="I405" i="8"/>
  <c r="G405" i="8"/>
  <c r="G62" i="8"/>
  <c r="K62" i="8"/>
  <c r="I62" i="8"/>
  <c r="J251" i="8"/>
  <c r="G469" i="8"/>
  <c r="K469" i="8"/>
  <c r="I469" i="8"/>
  <c r="I23" i="8"/>
  <c r="K23" i="8"/>
  <c r="G23" i="8"/>
  <c r="I211" i="8"/>
  <c r="K211" i="8"/>
  <c r="G211" i="8"/>
  <c r="J156" i="8"/>
  <c r="I305" i="8"/>
  <c r="K305" i="8"/>
  <c r="G305" i="8"/>
  <c r="J289" i="8"/>
  <c r="J320" i="8"/>
  <c r="J427" i="8"/>
  <c r="J365" i="8"/>
  <c r="J346" i="8"/>
  <c r="J80" i="8"/>
  <c r="J494" i="8"/>
  <c r="I210" i="8"/>
  <c r="K210" i="8"/>
  <c r="G210" i="8"/>
  <c r="I428" i="8"/>
  <c r="K428" i="8"/>
  <c r="G428" i="8"/>
  <c r="J167" i="8"/>
  <c r="K283" i="8"/>
  <c r="I283" i="8"/>
  <c r="G283" i="8"/>
  <c r="J18" i="8"/>
  <c r="J295" i="8"/>
  <c r="K249" i="8"/>
  <c r="I249" i="8"/>
  <c r="G249" i="8"/>
  <c r="J341" i="8"/>
  <c r="J130" i="8"/>
  <c r="K152" i="8"/>
  <c r="G152" i="8"/>
  <c r="I152" i="8"/>
  <c r="J442" i="8"/>
  <c r="K483" i="8"/>
  <c r="G483" i="8"/>
  <c r="I483" i="8"/>
  <c r="J438" i="8"/>
  <c r="J66" i="8"/>
  <c r="I346" i="8"/>
  <c r="K346" i="8"/>
  <c r="G346" i="8"/>
  <c r="J344" i="8"/>
  <c r="J432" i="8"/>
  <c r="J132" i="8"/>
  <c r="J305" i="8"/>
  <c r="J131" i="8"/>
  <c r="J372" i="8"/>
  <c r="I328" i="8"/>
  <c r="K328" i="8"/>
  <c r="G328" i="8"/>
  <c r="K50" i="8"/>
  <c r="G50" i="8"/>
  <c r="I50" i="8"/>
  <c r="I260" i="8"/>
  <c r="G260" i="8"/>
  <c r="K260" i="8"/>
  <c r="K82" i="8"/>
  <c r="I82" i="8"/>
  <c r="G82" i="8"/>
  <c r="J82" i="8"/>
  <c r="G404" i="8"/>
  <c r="I404" i="8"/>
  <c r="K404" i="8"/>
  <c r="J193" i="8"/>
  <c r="I255" i="8"/>
  <c r="G255" i="8"/>
  <c r="K255" i="8"/>
  <c r="J86" i="8"/>
  <c r="J333" i="8"/>
  <c r="J409" i="8"/>
  <c r="J474" i="8"/>
  <c r="J481" i="8"/>
  <c r="K392" i="8"/>
  <c r="I392" i="8"/>
  <c r="G392" i="8"/>
  <c r="J217" i="8"/>
  <c r="K75" i="8"/>
  <c r="I75" i="8"/>
  <c r="G75" i="8"/>
  <c r="J299" i="8"/>
  <c r="G125" i="8"/>
  <c r="I125" i="8"/>
  <c r="K125" i="8"/>
  <c r="J125" i="8"/>
  <c r="J349" i="8"/>
  <c r="J455" i="8"/>
  <c r="J163" i="8"/>
  <c r="J380" i="8"/>
  <c r="K83" i="8"/>
  <c r="G83" i="8"/>
  <c r="I83" i="8"/>
  <c r="J275" i="8"/>
  <c r="K433" i="8"/>
  <c r="I433" i="8"/>
  <c r="G433" i="8"/>
  <c r="G276" i="8"/>
  <c r="I276" i="8"/>
  <c r="K276" i="8"/>
  <c r="G214" i="8"/>
  <c r="K214" i="8"/>
  <c r="I214" i="8"/>
  <c r="J34" i="8"/>
  <c r="J282" i="8"/>
  <c r="J177" i="8"/>
  <c r="J485" i="8"/>
  <c r="J84" i="8"/>
  <c r="G114" i="8"/>
  <c r="K114" i="8"/>
  <c r="I114" i="8"/>
  <c r="I173" i="8"/>
  <c r="K173" i="8"/>
  <c r="G173" i="8"/>
  <c r="K275" i="8"/>
  <c r="I275" i="8"/>
  <c r="G275" i="8"/>
  <c r="K28" i="8"/>
  <c r="G28" i="8"/>
  <c r="I28" i="8"/>
  <c r="J378" i="8"/>
  <c r="K361" i="8"/>
  <c r="G361" i="8"/>
  <c r="I361" i="8"/>
  <c r="J148" i="8"/>
  <c r="K375" i="8"/>
  <c r="G375" i="8"/>
  <c r="I375" i="8"/>
  <c r="K294" i="8"/>
  <c r="G294" i="8"/>
  <c r="I294" i="8"/>
  <c r="G117" i="8"/>
  <c r="I117" i="8"/>
  <c r="K117" i="8"/>
  <c r="J38" i="8"/>
  <c r="I391" i="8"/>
  <c r="G391" i="8"/>
  <c r="K391" i="8"/>
  <c r="K477" i="8"/>
  <c r="G477" i="8"/>
  <c r="I477" i="8"/>
  <c r="J364" i="8"/>
  <c r="J458" i="8"/>
  <c r="J50" i="8"/>
  <c r="J111" i="8"/>
  <c r="G149" i="8"/>
  <c r="I149" i="8"/>
  <c r="K149" i="8"/>
  <c r="G365" i="8"/>
  <c r="I365" i="8"/>
  <c r="K365" i="8"/>
  <c r="G224" i="8"/>
  <c r="K224" i="8"/>
  <c r="I224" i="8"/>
  <c r="K113" i="8"/>
  <c r="I113" i="8"/>
  <c r="G113" i="8"/>
  <c r="J108" i="8"/>
  <c r="G274" i="8"/>
  <c r="I274" i="8"/>
  <c r="K274" i="8"/>
  <c r="J274" i="8"/>
  <c r="J476" i="8"/>
  <c r="G263" i="8"/>
  <c r="I263" i="8"/>
  <c r="K263" i="8"/>
  <c r="I88" i="8"/>
  <c r="K88" i="8"/>
  <c r="G88" i="8"/>
  <c r="J88" i="8"/>
  <c r="G357" i="8"/>
  <c r="I357" i="8"/>
  <c r="K357" i="8"/>
  <c r="J54" i="8"/>
  <c r="I493" i="8"/>
  <c r="K493" i="8"/>
  <c r="G493" i="8"/>
  <c r="J347" i="8"/>
  <c r="J235" i="8"/>
  <c r="J456" i="8"/>
  <c r="J196" i="8"/>
  <c r="J478" i="8"/>
  <c r="I253" i="8"/>
  <c r="G253" i="8"/>
  <c r="K253" i="8"/>
  <c r="J425" i="8"/>
  <c r="I115" i="8"/>
  <c r="G115" i="8"/>
  <c r="K115" i="8"/>
  <c r="J283" i="8"/>
  <c r="J428" i="8"/>
  <c r="J450" i="8"/>
  <c r="G216" i="8"/>
  <c r="K216" i="8"/>
  <c r="I216" i="8"/>
  <c r="J440" i="8"/>
  <c r="G121" i="8"/>
  <c r="K121" i="8"/>
  <c r="I121" i="8"/>
  <c r="J121" i="8"/>
  <c r="J183" i="8"/>
  <c r="I430" i="8"/>
  <c r="G430" i="8"/>
  <c r="K430" i="8"/>
  <c r="G400" i="8"/>
  <c r="I400" i="8"/>
  <c r="K400" i="8"/>
  <c r="J115" i="8"/>
  <c r="J97" i="8"/>
  <c r="J308" i="8"/>
  <c r="G322" i="8"/>
  <c r="I322" i="8"/>
  <c r="K322" i="8"/>
  <c r="I342" i="8"/>
  <c r="K342" i="8"/>
  <c r="G342" i="8"/>
  <c r="J322" i="8"/>
  <c r="J376" i="8"/>
  <c r="J92" i="8"/>
  <c r="J449" i="8"/>
  <c r="J214" i="8"/>
  <c r="K160" i="8"/>
  <c r="G160" i="8"/>
  <c r="I160" i="8"/>
  <c r="G341" i="8"/>
  <c r="K341" i="8"/>
  <c r="I341" i="8"/>
  <c r="G445" i="8"/>
  <c r="I445" i="8"/>
  <c r="K445" i="8"/>
  <c r="K453" i="8"/>
  <c r="I453" i="8"/>
  <c r="G453" i="8"/>
  <c r="G450" i="8"/>
  <c r="I450" i="8"/>
  <c r="K450" i="8"/>
  <c r="J221" i="8"/>
  <c r="K79" i="8"/>
  <c r="G79" i="8"/>
  <c r="I79" i="8"/>
  <c r="K417" i="8"/>
  <c r="I417" i="8"/>
  <c r="G417" i="8"/>
  <c r="J417" i="8"/>
  <c r="J171" i="8"/>
  <c r="J69" i="8"/>
  <c r="J30" i="8"/>
  <c r="I178" i="8"/>
  <c r="K178" i="8"/>
  <c r="G178" i="8"/>
  <c r="J178" i="8"/>
  <c r="J7" i="8"/>
  <c r="J174" i="8"/>
  <c r="K175" i="8"/>
  <c r="I175" i="8"/>
  <c r="G175" i="8"/>
  <c r="G374" i="8"/>
  <c r="I374" i="8"/>
  <c r="K374" i="8"/>
  <c r="K279" i="8"/>
  <c r="G279" i="8"/>
  <c r="I279" i="8"/>
  <c r="J369" i="8"/>
  <c r="J249" i="8"/>
  <c r="I203" i="8"/>
  <c r="K203" i="8"/>
  <c r="G203" i="8"/>
  <c r="K34" i="8"/>
  <c r="G34" i="8"/>
  <c r="I34" i="8"/>
  <c r="G316" i="8"/>
  <c r="I316" i="8"/>
  <c r="K316" i="8"/>
  <c r="J5" i="8"/>
  <c r="J144" i="8"/>
  <c r="J315" i="8"/>
  <c r="K436" i="8"/>
  <c r="G436" i="8"/>
  <c r="I436" i="8"/>
  <c r="J436" i="8"/>
  <c r="J145" i="8"/>
  <c r="I44" i="8"/>
  <c r="G44" i="8"/>
  <c r="K44" i="8"/>
  <c r="G496" i="8"/>
  <c r="K496" i="8"/>
  <c r="I496" i="8"/>
  <c r="J496" i="8"/>
  <c r="J149" i="8"/>
  <c r="I4" i="8"/>
  <c r="K4" i="8"/>
  <c r="G4" i="8"/>
  <c r="G451" i="8"/>
  <c r="I451" i="8"/>
  <c r="K451" i="8"/>
  <c r="K229" i="8"/>
  <c r="G229" i="8"/>
  <c r="I229" i="8"/>
  <c r="J208" i="8"/>
  <c r="J422" i="8"/>
  <c r="J366" i="8"/>
  <c r="J139" i="8"/>
  <c r="J39" i="8"/>
  <c r="J200" i="8"/>
  <c r="I402" i="8"/>
  <c r="K402" i="8"/>
  <c r="G402" i="8"/>
  <c r="J44" i="8"/>
  <c r="J371" i="8"/>
  <c r="K335" i="8"/>
  <c r="I335" i="8"/>
  <c r="G335" i="8"/>
  <c r="G171" i="8"/>
  <c r="K171" i="8"/>
  <c r="I171" i="8"/>
  <c r="I320" i="8"/>
  <c r="K320" i="8"/>
  <c r="G320" i="8"/>
  <c r="K185" i="8"/>
  <c r="I185" i="8"/>
  <c r="G185" i="8"/>
  <c r="I432" i="8"/>
  <c r="G432" i="8"/>
  <c r="K432" i="8"/>
  <c r="G170" i="8"/>
  <c r="K170" i="8"/>
  <c r="I170" i="8"/>
  <c r="G5" i="8"/>
  <c r="K5" i="8"/>
  <c r="I5" i="8"/>
  <c r="I286" i="8"/>
  <c r="G286" i="8"/>
  <c r="K286" i="8"/>
  <c r="J312" i="8"/>
  <c r="J268" i="8"/>
  <c r="J386" i="8"/>
  <c r="G98" i="8"/>
  <c r="K98" i="8"/>
  <c r="I98" i="8"/>
  <c r="G382" i="8"/>
  <c r="I382" i="8"/>
  <c r="K382" i="8"/>
  <c r="J120" i="8"/>
  <c r="G118" i="8"/>
  <c r="I118" i="8"/>
  <c r="K118" i="8"/>
  <c r="J118" i="8"/>
  <c r="I227" i="8"/>
  <c r="G227" i="8"/>
  <c r="K227" i="8"/>
  <c r="J227" i="8"/>
  <c r="G47" i="8"/>
  <c r="K47" i="8"/>
  <c r="I47" i="8"/>
  <c r="G100" i="8"/>
  <c r="K100" i="8"/>
  <c r="I100" i="8"/>
  <c r="J389" i="8"/>
  <c r="G209" i="8"/>
  <c r="K209" i="8"/>
  <c r="I209" i="8"/>
  <c r="J327" i="8"/>
  <c r="J400" i="8"/>
  <c r="G230" i="8"/>
  <c r="K230" i="8"/>
  <c r="I230" i="8"/>
  <c r="J384" i="8"/>
  <c r="J45" i="8"/>
  <c r="I295" i="8"/>
  <c r="G295" i="8"/>
  <c r="K295" i="8"/>
  <c r="I14" i="8"/>
  <c r="K14" i="8"/>
  <c r="G14" i="8"/>
  <c r="G465" i="8"/>
  <c r="K465" i="8"/>
  <c r="I465" i="8"/>
  <c r="K479" i="8"/>
  <c r="I479" i="8"/>
  <c r="G479" i="8"/>
  <c r="G309" i="8"/>
  <c r="I309" i="8"/>
  <c r="K309" i="8"/>
  <c r="K285" i="8"/>
  <c r="I285" i="8"/>
  <c r="G285" i="8"/>
  <c r="K452" i="8"/>
  <c r="I452" i="8"/>
  <c r="G452" i="8"/>
  <c r="G8" i="8"/>
  <c r="K8" i="8"/>
  <c r="I8" i="8"/>
  <c r="J210" i="8"/>
  <c r="K424" i="8"/>
  <c r="G424" i="8"/>
  <c r="I424" i="8"/>
  <c r="G188" i="8"/>
  <c r="K188" i="8"/>
  <c r="I188" i="8"/>
  <c r="I184" i="8"/>
  <c r="G184" i="8"/>
  <c r="K184" i="8"/>
  <c r="G266" i="8"/>
  <c r="K266" i="8"/>
  <c r="I266" i="8"/>
  <c r="K208" i="8"/>
  <c r="I208" i="8"/>
  <c r="G208" i="8"/>
  <c r="I43" i="8"/>
  <c r="G43" i="8"/>
  <c r="K43" i="8"/>
  <c r="J32" i="8"/>
  <c r="J190" i="8"/>
  <c r="K412" i="8"/>
  <c r="I412" i="8"/>
  <c r="G412" i="8"/>
  <c r="K122" i="8"/>
  <c r="I122" i="8"/>
  <c r="G122" i="8"/>
  <c r="I45" i="8"/>
  <c r="G45" i="8"/>
  <c r="K45" i="8"/>
  <c r="G97" i="8"/>
  <c r="K97" i="8"/>
  <c r="I97" i="8"/>
  <c r="K348" i="8"/>
  <c r="I348" i="8"/>
  <c r="G348" i="8"/>
  <c r="K396" i="8"/>
  <c r="G396" i="8"/>
  <c r="I396" i="8"/>
  <c r="I268" i="8"/>
  <c r="G268" i="8"/>
  <c r="K268" i="8"/>
  <c r="K126" i="8"/>
  <c r="I126" i="8"/>
  <c r="G126" i="8"/>
  <c r="J254" i="8"/>
  <c r="J370" i="8"/>
  <c r="I201" i="8"/>
  <c r="K201" i="8"/>
  <c r="G201" i="8"/>
  <c r="G11" i="8"/>
  <c r="K11" i="8"/>
  <c r="I11" i="8"/>
  <c r="J388" i="8"/>
  <c r="I156" i="8"/>
  <c r="K156" i="8"/>
  <c r="G156" i="8"/>
  <c r="I180" i="8"/>
  <c r="G180" i="8"/>
  <c r="K180" i="8"/>
  <c r="K234" i="8"/>
  <c r="G234" i="8"/>
  <c r="I234" i="8"/>
  <c r="J259" i="8"/>
  <c r="J300" i="8"/>
  <c r="J328" i="8"/>
  <c r="J173" i="8"/>
  <c r="G265" i="8"/>
  <c r="K265" i="8"/>
  <c r="I265" i="8"/>
  <c r="J406" i="8"/>
  <c r="J136" i="8"/>
  <c r="J361" i="8"/>
  <c r="K166" i="8"/>
  <c r="G166" i="8"/>
  <c r="I166" i="8"/>
  <c r="G189" i="8"/>
  <c r="I189" i="8"/>
  <c r="K189" i="8"/>
  <c r="J23" i="8"/>
  <c r="I356" i="8"/>
  <c r="G356" i="8"/>
  <c r="K356" i="8"/>
  <c r="K233" i="8"/>
  <c r="I233" i="8"/>
  <c r="G233" i="8"/>
  <c r="I337" i="8"/>
  <c r="G337" i="8"/>
  <c r="K337" i="8"/>
  <c r="J150" i="8"/>
  <c r="J429" i="8"/>
  <c r="J355" i="8"/>
  <c r="J392" i="8"/>
  <c r="I431" i="8"/>
  <c r="G431" i="8"/>
  <c r="K431" i="8"/>
  <c r="G426" i="8"/>
  <c r="K426" i="8"/>
  <c r="I426" i="8"/>
  <c r="I24" i="8"/>
  <c r="K24" i="8"/>
  <c r="G24" i="8"/>
  <c r="K325" i="8"/>
  <c r="I325" i="8"/>
  <c r="G325" i="8"/>
  <c r="J152" i="8"/>
  <c r="J257" i="8"/>
  <c r="J244" i="8"/>
  <c r="J26" i="8"/>
  <c r="G474" i="8"/>
  <c r="I474" i="8"/>
  <c r="K474" i="8"/>
  <c r="G193" i="8"/>
  <c r="I193" i="8"/>
  <c r="K193" i="8"/>
  <c r="J263" i="8"/>
  <c r="K397" i="8"/>
  <c r="G397" i="8"/>
  <c r="I397" i="8"/>
  <c r="I176" i="8"/>
  <c r="G176" i="8"/>
  <c r="K176" i="8"/>
  <c r="K372" i="8"/>
  <c r="G372" i="8"/>
  <c r="I372" i="8"/>
  <c r="G143" i="8"/>
  <c r="K143" i="8"/>
  <c r="I143" i="8"/>
  <c r="J143" i="8"/>
  <c r="K128" i="8"/>
  <c r="G128" i="8"/>
  <c r="I128" i="8"/>
  <c r="J397" i="8"/>
  <c r="I102" i="8"/>
  <c r="G102" i="8"/>
  <c r="K102" i="8"/>
  <c r="J102" i="8"/>
  <c r="J22" i="8"/>
  <c r="G151" i="8"/>
  <c r="K151" i="8"/>
  <c r="I151" i="8"/>
  <c r="G13" i="8"/>
  <c r="I13" i="8"/>
  <c r="K13" i="8"/>
  <c r="J266" i="8"/>
  <c r="K415" i="8"/>
  <c r="I415" i="8"/>
  <c r="G415" i="8"/>
  <c r="J415" i="8"/>
  <c r="G292" i="8"/>
  <c r="I292" i="8"/>
  <c r="K292" i="8"/>
  <c r="J245" i="8"/>
  <c r="G471" i="8"/>
  <c r="K471" i="8"/>
  <c r="I471" i="8"/>
  <c r="I284" i="8"/>
  <c r="K284" i="8"/>
  <c r="G284" i="8"/>
  <c r="J101" i="8"/>
  <c r="J226" i="8"/>
  <c r="J306" i="8"/>
  <c r="K183" i="8"/>
  <c r="G183" i="8"/>
  <c r="I183" i="8"/>
  <c r="I174" i="8"/>
  <c r="K174" i="8"/>
  <c r="G174" i="8"/>
  <c r="G199" i="8"/>
  <c r="I199" i="8"/>
  <c r="K199" i="8"/>
  <c r="J199" i="8"/>
  <c r="J277" i="8"/>
  <c r="J391" i="8"/>
  <c r="K134" i="8"/>
  <c r="G134" i="8"/>
  <c r="I134" i="8"/>
  <c r="J205" i="8"/>
  <c r="G406" i="8"/>
  <c r="I406" i="8"/>
  <c r="K406" i="8"/>
  <c r="J443" i="8"/>
  <c r="K247" i="8"/>
  <c r="I247" i="8"/>
  <c r="G247" i="8"/>
  <c r="J169" i="8"/>
  <c r="J280" i="8"/>
  <c r="K81" i="8"/>
  <c r="I81" i="8"/>
  <c r="G81" i="8"/>
  <c r="K71" i="8"/>
  <c r="G71" i="8"/>
  <c r="I71" i="8"/>
  <c r="I458" i="8"/>
  <c r="K458" i="8"/>
  <c r="G458" i="8"/>
  <c r="G267" i="8"/>
  <c r="K267" i="8"/>
  <c r="I267" i="8"/>
  <c r="G2" i="8"/>
  <c r="I2" i="8"/>
  <c r="K2" i="8"/>
  <c r="J2" i="8"/>
  <c r="G36" i="8"/>
  <c r="K36" i="8"/>
  <c r="I36" i="8"/>
  <c r="K192" i="8"/>
  <c r="I192" i="8"/>
  <c r="G192" i="8"/>
  <c r="J220" i="8"/>
  <c r="K60" i="8"/>
  <c r="I60" i="8"/>
  <c r="G60" i="8"/>
  <c r="I300" i="8"/>
  <c r="G300" i="8"/>
  <c r="K300" i="8"/>
  <c r="J350" i="8"/>
  <c r="J393" i="8"/>
  <c r="I198" i="8"/>
  <c r="G198" i="8"/>
  <c r="K198" i="8"/>
  <c r="I467" i="8"/>
  <c r="G467" i="8"/>
  <c r="K467" i="8"/>
  <c r="I108" i="8"/>
  <c r="G108" i="8"/>
  <c r="K108" i="8"/>
  <c r="J215" i="8"/>
  <c r="G495" i="8"/>
  <c r="K495" i="8"/>
  <c r="I495" i="8"/>
  <c r="J72" i="8"/>
  <c r="I499" i="8"/>
  <c r="K499" i="8"/>
  <c r="G499" i="8"/>
  <c r="I272" i="8"/>
  <c r="G272" i="8"/>
  <c r="K272" i="8"/>
  <c r="G165" i="8"/>
  <c r="K165" i="8"/>
  <c r="I165" i="8"/>
  <c r="K282" i="8"/>
  <c r="I282" i="8"/>
  <c r="G282" i="8"/>
  <c r="I323" i="8"/>
  <c r="G323" i="8"/>
  <c r="K323" i="8"/>
  <c r="I243" i="8"/>
  <c r="G243" i="8"/>
  <c r="K243" i="8"/>
  <c r="G104" i="8"/>
  <c r="K104" i="8"/>
  <c r="I104" i="8"/>
  <c r="J484" i="8"/>
  <c r="J166" i="8"/>
  <c r="G339" i="8"/>
  <c r="I339" i="8"/>
  <c r="K339" i="8"/>
  <c r="J356" i="8"/>
  <c r="J492" i="8"/>
  <c r="G74" i="8"/>
  <c r="K74" i="8"/>
  <c r="I74" i="8"/>
  <c r="J33" i="8"/>
  <c r="K33" i="8"/>
  <c r="I33" i="8"/>
  <c r="G33" i="8"/>
  <c r="J332" i="8"/>
  <c r="G313" i="8"/>
  <c r="I313" i="8"/>
  <c r="K313" i="8"/>
  <c r="J313" i="8"/>
  <c r="K446" i="8"/>
  <c r="G446" i="8"/>
  <c r="I446" i="8"/>
  <c r="J446" i="8"/>
  <c r="J472" i="8"/>
  <c r="J85" i="8"/>
  <c r="J229" i="8"/>
  <c r="I228" i="8"/>
  <c r="K228" i="8"/>
  <c r="G228" i="8"/>
  <c r="J228" i="8"/>
  <c r="J83" i="8"/>
  <c r="J10" i="8"/>
  <c r="J116" i="8"/>
  <c r="K219" i="8"/>
  <c r="I219" i="8"/>
  <c r="G219" i="8"/>
  <c r="J351" i="8"/>
  <c r="G213" i="8"/>
  <c r="I213" i="8"/>
  <c r="K213" i="8"/>
  <c r="J460" i="8"/>
  <c r="K457" i="8"/>
  <c r="G457" i="8"/>
  <c r="I457" i="8"/>
  <c r="J457" i="8"/>
  <c r="I25" i="8"/>
  <c r="K25" i="8"/>
  <c r="G25" i="8"/>
  <c r="I299" i="8"/>
  <c r="G299" i="8"/>
  <c r="K299" i="8"/>
  <c r="J316" i="8"/>
  <c r="K78" i="8"/>
  <c r="I78" i="8"/>
  <c r="G78" i="8"/>
  <c r="G440" i="8"/>
  <c r="I440" i="8"/>
  <c r="K440" i="8"/>
  <c r="J359" i="8"/>
  <c r="G317" i="8"/>
  <c r="K317" i="8"/>
  <c r="I317" i="8"/>
  <c r="J360" i="8"/>
  <c r="J60" i="8"/>
  <c r="J462" i="8"/>
  <c r="I95" i="8"/>
  <c r="K95" i="8"/>
  <c r="G95" i="8"/>
  <c r="G68" i="8"/>
  <c r="I68" i="8"/>
  <c r="K68" i="8"/>
  <c r="J68" i="8"/>
  <c r="I338" i="8"/>
  <c r="K338" i="8"/>
  <c r="G338" i="8"/>
  <c r="J247" i="8"/>
  <c r="I386" i="8"/>
  <c r="G386" i="8"/>
  <c r="K386" i="8"/>
  <c r="I225" i="8"/>
  <c r="G225" i="8"/>
  <c r="K225" i="8"/>
  <c r="I473" i="8"/>
  <c r="K473" i="8"/>
  <c r="G473" i="8"/>
  <c r="K7" i="8"/>
  <c r="G7" i="8"/>
  <c r="I7" i="8"/>
  <c r="J133" i="8"/>
  <c r="J480" i="8"/>
  <c r="I190" i="8"/>
  <c r="G190" i="8"/>
  <c r="K190" i="8"/>
  <c r="G387" i="8"/>
  <c r="K387" i="8"/>
  <c r="I387" i="8"/>
  <c r="K419" i="8"/>
  <c r="G419" i="8"/>
  <c r="I419" i="8"/>
  <c r="I399" i="8"/>
  <c r="K399" i="8"/>
  <c r="G399" i="8"/>
  <c r="K373" i="8"/>
  <c r="I373" i="8"/>
  <c r="J373" i="8"/>
  <c r="G373" i="8"/>
  <c r="G21" i="8"/>
  <c r="I21" i="8"/>
  <c r="K21" i="8"/>
  <c r="J6" i="8"/>
  <c r="G167" i="8"/>
  <c r="K167" i="8"/>
  <c r="I167" i="8"/>
  <c r="J140" i="8"/>
  <c r="K298" i="8"/>
  <c r="G298" i="8"/>
  <c r="I298" i="8"/>
  <c r="G291" i="8"/>
  <c r="K291" i="8"/>
  <c r="I291" i="8"/>
  <c r="K351" i="8"/>
  <c r="I351" i="8"/>
  <c r="G351" i="8"/>
  <c r="G205" i="8"/>
  <c r="K205" i="8"/>
  <c r="I205" i="8"/>
  <c r="J325" i="8"/>
  <c r="I318" i="8"/>
  <c r="G318" i="8"/>
  <c r="K318" i="8"/>
  <c r="G57" i="8"/>
  <c r="I57" i="8"/>
  <c r="K57" i="8"/>
  <c r="G310" i="8"/>
  <c r="I310" i="8"/>
  <c r="K310" i="8"/>
  <c r="K37" i="8"/>
  <c r="G37" i="8"/>
  <c r="I37" i="8"/>
  <c r="I462" i="8"/>
  <c r="G462" i="8"/>
  <c r="K462" i="8"/>
  <c r="G53" i="8"/>
  <c r="I53" i="8"/>
  <c r="K53" i="8"/>
  <c r="J363" i="8"/>
  <c r="J255" i="8"/>
  <c r="J51" i="8"/>
  <c r="K488" i="8"/>
  <c r="G488" i="8"/>
  <c r="I488" i="8"/>
  <c r="J441" i="8"/>
  <c r="J385" i="8"/>
  <c r="J91" i="8"/>
  <c r="J61" i="8"/>
  <c r="J420" i="8"/>
  <c r="G343" i="8"/>
  <c r="K343" i="8"/>
  <c r="I343" i="8"/>
  <c r="J399" i="8"/>
  <c r="J134" i="8"/>
  <c r="J216" i="8"/>
  <c r="J240" i="8"/>
  <c r="J269" i="8"/>
  <c r="J107" i="8"/>
  <c r="J138" i="8"/>
  <c r="J405" i="8"/>
  <c r="J36" i="8"/>
  <c r="J379" i="8"/>
  <c r="J290" i="8"/>
  <c r="J348" i="8"/>
  <c r="J292" i="8"/>
  <c r="J56" i="8"/>
  <c r="J162" i="8"/>
  <c r="J123" i="8"/>
  <c r="J293" i="8"/>
  <c r="I144" i="8"/>
  <c r="K144" i="8"/>
  <c r="G144" i="8"/>
  <c r="J57" i="8"/>
  <c r="J387" i="8"/>
  <c r="J37" i="8"/>
  <c r="J291" i="8"/>
  <c r="K422" i="8"/>
  <c r="G422" i="8"/>
  <c r="I422" i="8"/>
  <c r="J412" i="8"/>
  <c r="J311" i="8"/>
  <c r="I220" i="8"/>
  <c r="G220" i="8"/>
  <c r="K220" i="8"/>
  <c r="J202" i="8"/>
  <c r="I288" i="8"/>
  <c r="G288" i="8"/>
  <c r="K288" i="8"/>
  <c r="J479" i="8"/>
  <c r="I72" i="8"/>
  <c r="G72" i="8"/>
  <c r="K72" i="8"/>
  <c r="K3" i="8"/>
  <c r="I3" i="8"/>
  <c r="G3" i="8"/>
  <c r="J335" i="8"/>
  <c r="J383" i="8"/>
  <c r="G307" i="8"/>
  <c r="I307" i="8"/>
  <c r="K307" i="8"/>
  <c r="J272" i="8"/>
  <c r="K407" i="8"/>
  <c r="I407" i="8"/>
  <c r="G407" i="8"/>
  <c r="G101" i="8"/>
  <c r="I101" i="8"/>
  <c r="K101" i="8"/>
  <c r="J21" i="8"/>
  <c r="G38" i="8"/>
  <c r="K38" i="8"/>
  <c r="I38" i="8"/>
  <c r="K256" i="8"/>
  <c r="I256" i="8"/>
  <c r="G256" i="8"/>
  <c r="G120" i="8"/>
  <c r="K120" i="8"/>
  <c r="I120" i="8"/>
  <c r="J4" i="8"/>
  <c r="J12" i="8"/>
  <c r="J273" i="8"/>
  <c r="K141" i="8"/>
  <c r="I141" i="8"/>
  <c r="G141" i="8"/>
  <c r="J232" i="8"/>
  <c r="J402" i="8"/>
  <c r="J337" i="8"/>
  <c r="J77" i="8"/>
  <c r="K250" i="8"/>
  <c r="G250" i="8"/>
  <c r="I250" i="8"/>
  <c r="J246" i="8"/>
  <c r="J98" i="8"/>
  <c r="J197" i="8"/>
  <c r="J357" i="8"/>
  <c r="J95" i="8"/>
  <c r="I290" i="8"/>
  <c r="G290" i="8"/>
  <c r="K290" i="8"/>
  <c r="J423" i="8"/>
  <c r="J159" i="8"/>
  <c r="J309" i="8"/>
  <c r="G314" i="8"/>
  <c r="K314" i="8"/>
  <c r="I314" i="8"/>
  <c r="J256" i="8"/>
  <c r="J8" i="8"/>
  <c r="I466" i="8"/>
  <c r="G466" i="8"/>
  <c r="K466" i="8"/>
  <c r="J192" i="8"/>
  <c r="J99" i="8"/>
  <c r="J424" i="8"/>
  <c r="J304" i="8"/>
  <c r="J198" i="8"/>
  <c r="J368" i="8"/>
  <c r="K196" i="8"/>
  <c r="G196" i="8"/>
  <c r="I196" i="8"/>
  <c r="K345" i="8"/>
  <c r="I345" i="8"/>
  <c r="G345" i="8"/>
  <c r="K119" i="8"/>
  <c r="I119" i="8"/>
  <c r="G119" i="8"/>
  <c r="J194" i="8"/>
  <c r="K154" i="8"/>
  <c r="G154" i="8"/>
  <c r="I154" i="8"/>
  <c r="I222" i="8"/>
  <c r="K222" i="8"/>
  <c r="G222" i="8"/>
  <c r="I447" i="8"/>
  <c r="K447" i="8"/>
  <c r="G447" i="8"/>
  <c r="J329" i="8"/>
  <c r="I394" i="8"/>
  <c r="J394" i="8"/>
  <c r="G394" i="8"/>
  <c r="K394" i="8"/>
  <c r="K223" i="8"/>
  <c r="I223" i="8"/>
  <c r="G223" i="8"/>
  <c r="J408" i="8"/>
  <c r="J464" i="8"/>
  <c r="I403" i="8"/>
  <c r="K403" i="8"/>
  <c r="G403" i="8"/>
  <c r="J445" i="8"/>
  <c r="J477" i="8"/>
  <c r="J395" i="8"/>
  <c r="I109" i="8"/>
  <c r="G109" i="8"/>
  <c r="K109" i="8"/>
  <c r="J430" i="8"/>
  <c r="J414" i="8"/>
  <c r="K368" i="8"/>
  <c r="G368" i="8"/>
  <c r="I368" i="8"/>
  <c r="J141" i="8"/>
  <c r="K94" i="8"/>
  <c r="I94" i="8"/>
  <c r="G94" i="8"/>
  <c r="J25" i="8"/>
  <c r="J153" i="8"/>
  <c r="J89" i="8"/>
  <c r="K135" i="8"/>
  <c r="G135" i="8"/>
  <c r="I135" i="8"/>
  <c r="J184" i="8"/>
  <c r="J20" i="8"/>
  <c r="J75" i="8"/>
  <c r="J126" i="8"/>
  <c r="J482" i="8"/>
  <c r="G437" i="8"/>
  <c r="I437" i="8"/>
  <c r="K437" i="8"/>
  <c r="J323" i="8"/>
  <c r="J160" i="8"/>
  <c r="J104" i="8"/>
  <c r="J168" i="8"/>
  <c r="J294" i="8"/>
  <c r="K401" i="8"/>
  <c r="G401" i="8"/>
  <c r="I401" i="8"/>
  <c r="J403" i="8"/>
  <c r="J59" i="8"/>
  <c r="J55" i="8"/>
  <c r="J461" i="8"/>
  <c r="J127" i="8"/>
  <c r="J11" i="8"/>
  <c r="I455" i="8"/>
  <c r="K455" i="8"/>
  <c r="G455" i="8"/>
  <c r="J147" i="8"/>
  <c r="J41" i="8"/>
  <c r="J362" i="8"/>
  <c r="J238" i="8"/>
  <c r="J358" i="8"/>
  <c r="J262" i="8"/>
  <c r="I393" i="8"/>
  <c r="G393" i="8"/>
  <c r="K393" i="8"/>
  <c r="J128" i="8"/>
  <c r="K355" i="8"/>
  <c r="I355" i="8"/>
  <c r="G355" i="8"/>
  <c r="I414" i="8"/>
  <c r="K414" i="8"/>
  <c r="G414" i="8"/>
  <c r="I327" i="8"/>
  <c r="G327" i="8"/>
  <c r="K327" i="8"/>
  <c r="K492" i="8"/>
  <c r="I492" i="8"/>
  <c r="G492" i="8"/>
  <c r="J418" i="8"/>
  <c r="G287" i="8"/>
  <c r="K287" i="8"/>
  <c r="I287" i="8"/>
  <c r="J338" i="8"/>
  <c r="J495" i="8"/>
  <c r="G352" i="8"/>
  <c r="K352" i="8"/>
  <c r="I352" i="8"/>
  <c r="K187" i="8"/>
  <c r="G187" i="8"/>
  <c r="I187" i="8"/>
  <c r="J67" i="8"/>
  <c r="J157" i="8"/>
  <c r="J285" i="8"/>
  <c r="K26" i="8"/>
  <c r="G26" i="8"/>
  <c r="J52" i="8"/>
  <c r="J222" i="8"/>
  <c r="J209" i="8"/>
  <c r="J491" i="8"/>
  <c r="J27" i="8"/>
  <c r="J79" i="8"/>
  <c r="J124" i="8"/>
  <c r="J24" i="8"/>
  <c r="J466" i="8"/>
  <c r="J342" i="8"/>
  <c r="J331" i="8"/>
  <c r="K270" i="8"/>
  <c r="I270" i="8"/>
  <c r="G270" i="8"/>
  <c r="G153" i="8"/>
  <c r="K153" i="8"/>
  <c r="I153" i="8"/>
  <c r="J70" i="8"/>
  <c r="J40" i="8"/>
  <c r="J155" i="8"/>
  <c r="J48" i="8"/>
  <c r="J233" i="8"/>
  <c r="J267" i="8"/>
  <c r="J239" i="8"/>
  <c r="J271" i="8"/>
  <c r="J94" i="8"/>
  <c r="J231" i="8"/>
  <c r="J407" i="8"/>
  <c r="J431" i="8"/>
  <c r="J119" i="8"/>
  <c r="J13" i="8"/>
  <c r="I29" i="8"/>
  <c r="K29" i="8"/>
  <c r="G29" i="8"/>
  <c r="I377" i="8"/>
  <c r="K377" i="8"/>
  <c r="G377" i="8"/>
  <c r="K130" i="8"/>
  <c r="G130" i="8"/>
  <c r="I130" i="8"/>
  <c r="J473" i="8"/>
  <c r="J1" i="8" l="1"/>
  <c r="H1" i="8"/>
  <c r="K1" i="8"/>
  <c r="G1" i="8"/>
  <c r="AC22" i="8"/>
  <c r="AC38" i="8"/>
  <c r="AC4" i="8"/>
  <c r="AC31" i="8"/>
  <c r="AC2" i="8"/>
  <c r="AC35" i="8"/>
  <c r="AC42" i="8"/>
  <c r="AC47" i="8"/>
  <c r="AC14" i="8"/>
  <c r="AC34" i="8"/>
  <c r="AC12" i="8"/>
  <c r="AC40" i="8"/>
  <c r="AC43" i="8"/>
  <c r="AC37" i="8"/>
  <c r="AC49" i="8"/>
  <c r="AC19" i="8"/>
  <c r="AC46" i="8"/>
  <c r="AC24" i="8"/>
  <c r="AC5" i="8"/>
  <c r="AC8" i="8"/>
  <c r="AC28" i="8"/>
  <c r="AC6" i="8"/>
  <c r="AC11" i="8"/>
  <c r="AC18" i="8"/>
  <c r="AC23" i="8"/>
  <c r="AC30" i="8"/>
  <c r="AC44" i="8"/>
  <c r="AC3" i="8"/>
  <c r="AC9" i="8"/>
  <c r="AC50" i="8"/>
  <c r="AC36" i="8"/>
  <c r="AC17" i="8"/>
  <c r="AC20" i="8"/>
  <c r="AC16" i="8"/>
  <c r="AC10" i="8"/>
  <c r="AC21" i="8"/>
  <c r="AC15" i="8"/>
  <c r="AC48" i="8"/>
  <c r="AC29" i="8"/>
  <c r="AC32" i="8"/>
  <c r="AC33" i="8"/>
  <c r="AC39" i="8"/>
  <c r="AC26" i="8"/>
  <c r="AC41" i="8"/>
  <c r="AC45" i="8"/>
  <c r="AC1" i="8"/>
  <c r="AC13" i="8"/>
  <c r="AC27" i="8"/>
  <c r="AC25" i="8"/>
  <c r="AC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Trung Nghĩa Trần</author>
  </authors>
  <commentList>
    <comment ref="A1" authorId="0" shapeId="0" xr:uid="{8F3CC042-299F-4A34-A394-45DD1D4D0B2E}">
      <text>
        <r>
          <rPr>
            <b/>
            <sz val="16"/>
            <color indexed="81"/>
            <rFont val="Tahoma"/>
            <family val="2"/>
          </rPr>
          <t>M</t>
        </r>
      </text>
    </comment>
    <comment ref="B1" authorId="0" shapeId="0" xr:uid="{FDA27E9D-3ECD-48F5-8CF5-A76455865978}">
      <text>
        <r>
          <rPr>
            <b/>
            <sz val="20"/>
            <color indexed="81"/>
            <rFont val="Tahoma"/>
            <family val="2"/>
          </rPr>
          <t>X</t>
        </r>
      </text>
    </comment>
    <comment ref="C1" authorId="0" shapeId="0" xr:uid="{68371776-0792-4225-8254-2E50D362577E}">
      <text>
        <r>
          <rPr>
            <b/>
            <sz val="20"/>
            <color indexed="81"/>
            <rFont val="Tahoma"/>
            <family val="2"/>
          </rPr>
          <t>Y_c</t>
        </r>
      </text>
    </comment>
    <comment ref="D1" authorId="0" shapeId="0" xr:uid="{3EF33C2A-996E-4265-9179-26C3263B2EF5}">
      <text>
        <r>
          <rPr>
            <b/>
            <sz val="20"/>
            <color indexed="81"/>
            <rFont val="Tahoma"/>
            <family val="2"/>
          </rPr>
          <t xml:space="preserve">Y_t
</t>
        </r>
      </text>
    </comment>
    <comment ref="E1" authorId="0" shapeId="0" xr:uid="{F98BFD06-8410-45FE-B44F-48DAFCE6BD43}">
      <text>
        <r>
          <rPr>
            <b/>
            <sz val="20"/>
            <color indexed="81"/>
            <rFont val="Tahoma"/>
            <family val="2"/>
          </rPr>
          <t>dY_c/dX</t>
        </r>
      </text>
    </comment>
    <comment ref="F1" authorId="0" shapeId="0" xr:uid="{485D8E1F-A2A2-47B9-9D76-BFD396232B4B}">
      <text>
        <r>
          <rPr>
            <b/>
            <sz val="20"/>
            <color indexed="81"/>
            <rFont val="Tahoma"/>
            <family val="2"/>
          </rPr>
          <t>Theta</t>
        </r>
      </text>
    </comment>
    <comment ref="G1" authorId="0" shapeId="0" xr:uid="{22AEE3C4-F4B3-41C5-87D0-C8A2BE975E7C}">
      <text>
        <r>
          <rPr>
            <b/>
            <sz val="20"/>
            <color indexed="81"/>
            <rFont val="Tahoma"/>
            <family val="2"/>
          </rPr>
          <t>X_u</t>
        </r>
      </text>
    </comment>
    <comment ref="H1" authorId="0" shapeId="0" xr:uid="{387372D3-6032-4223-AB63-902662E4D4B8}">
      <text>
        <r>
          <rPr>
            <b/>
            <sz val="20"/>
            <color indexed="81"/>
            <rFont val="Tahoma"/>
            <family val="2"/>
          </rPr>
          <t>Y_u</t>
        </r>
      </text>
    </comment>
    <comment ref="I1" authorId="0" shapeId="0" xr:uid="{3947382B-2C66-4219-A94D-93ACDF4D7D55}">
      <text>
        <r>
          <rPr>
            <b/>
            <sz val="20"/>
            <color indexed="81"/>
            <rFont val="Tahoma"/>
            <family val="2"/>
          </rPr>
          <t xml:space="preserve">X_l
</t>
        </r>
      </text>
    </comment>
    <comment ref="J1" authorId="0" shapeId="0" xr:uid="{43AFB8AB-D1B5-4BD6-BBE6-9BDB4CBA05D6}">
      <text>
        <r>
          <rPr>
            <b/>
            <sz val="20"/>
            <color indexed="81"/>
            <rFont val="Tahoma"/>
            <family val="2"/>
          </rPr>
          <t xml:space="preserve">Y_l
</t>
        </r>
      </text>
    </comment>
    <comment ref="M1" authorId="0" shapeId="0" xr:uid="{26FC50F1-75B2-4630-BE36-DCBE4EA35FD1}">
      <text>
        <r>
          <rPr>
            <b/>
            <sz val="9"/>
            <color indexed="81"/>
            <rFont val="Tahoma"/>
            <family val="2"/>
          </rPr>
          <t>mean line</t>
        </r>
      </text>
    </comment>
    <comment ref="N1" authorId="0" shapeId="0" xr:uid="{9211DB02-4936-4A7F-8C88-DF948C579197}">
      <text>
        <r>
          <rPr>
            <b/>
            <sz val="9"/>
            <color indexed="81"/>
            <rFont val="Tahoma"/>
            <family val="2"/>
          </rPr>
          <t>1th digit input</t>
        </r>
      </text>
    </comment>
    <comment ref="O1" authorId="0" shapeId="0" xr:uid="{B7DF89BC-BC1B-4D38-80E2-97729D3F0EB5}">
      <text>
        <r>
          <rPr>
            <b/>
            <sz val="9"/>
            <color indexed="81"/>
            <rFont val="Tahoma"/>
            <family val="2"/>
          </rPr>
          <t>first digit</t>
        </r>
      </text>
    </comment>
    <comment ref="P1" authorId="0" shapeId="0" xr:uid="{9537B744-A051-4050-873E-B9052059877E}">
      <text>
        <r>
          <rPr>
            <b/>
            <sz val="9"/>
            <color indexed="81"/>
            <rFont val="Tahoma"/>
            <family val="2"/>
          </rPr>
          <t>airfoil type</t>
        </r>
      </text>
    </comment>
    <comment ref="R1" authorId="0" shapeId="0" xr:uid="{65B1B843-B861-4980-9F14-9EBA66FC0BEF}">
      <text>
        <r>
          <rPr>
            <b/>
            <sz val="9"/>
            <color indexed="81"/>
            <rFont val="Tahoma"/>
            <family val="2"/>
          </rPr>
          <t>alpha(dy/dx_x=0)</t>
        </r>
      </text>
    </comment>
    <comment ref="S1" authorId="0" shapeId="0" xr:uid="{4E7A0CC5-CF29-4736-B910-4003A5A101BA}">
      <text>
        <r>
          <rPr>
            <b/>
            <sz val="9"/>
            <color indexed="81"/>
            <rFont val="Tahoma"/>
            <family val="2"/>
          </rPr>
          <t>phi</t>
        </r>
      </text>
    </comment>
    <comment ref="T1" authorId="0" shapeId="0" xr:uid="{088AD251-4D6A-46F9-A4AF-EC0E6B2DBD56}">
      <text>
        <r>
          <rPr>
            <b/>
            <sz val="9"/>
            <color indexed="81"/>
            <rFont val="Tahoma"/>
            <family val="2"/>
          </rPr>
          <t>x(phi)</t>
        </r>
      </text>
    </comment>
    <comment ref="U1" authorId="0" shapeId="0" xr:uid="{EA84D843-AABE-4ECE-9CDE-EC077F5990E3}">
      <text>
        <r>
          <rPr>
            <b/>
            <sz val="9"/>
            <color indexed="81"/>
            <rFont val="Tahoma"/>
            <family val="2"/>
          </rPr>
          <t>y(phi)</t>
        </r>
      </text>
    </comment>
    <comment ref="A2" authorId="0" shapeId="0" xr:uid="{69EBE16B-419F-429B-B3C8-0EA38C616B6B}">
      <text>
        <r>
          <rPr>
            <b/>
            <sz val="20"/>
            <color indexed="81"/>
            <rFont val="Tahoma"/>
            <family val="2"/>
          </rPr>
          <t>P</t>
        </r>
      </text>
    </comment>
    <comment ref="N2" authorId="0" shapeId="0" xr:uid="{EDC3D972-0F8F-4DC3-86CF-A22A80EAA985}">
      <text>
        <r>
          <rPr>
            <b/>
            <sz val="9"/>
            <color indexed="81"/>
            <rFont val="Tahoma"/>
            <family val="2"/>
          </rPr>
          <t>2nd digit input</t>
        </r>
      </text>
    </comment>
    <comment ref="O2" authorId="0" shapeId="0" xr:uid="{C32A9D99-AA76-4062-A014-09CB245FC60E}">
      <text>
        <r>
          <rPr>
            <b/>
            <sz val="9"/>
            <color indexed="81"/>
            <rFont val="Tahoma"/>
            <family val="2"/>
          </rPr>
          <t>second digit</t>
        </r>
      </text>
    </comment>
    <comment ref="R2" authorId="0" shapeId="0" xr:uid="{841767E7-6DC6-4556-A695-56CC6A8802EA}">
      <text>
        <r>
          <rPr>
            <b/>
            <sz val="9"/>
            <color indexed="81"/>
            <rFont val="Tahoma"/>
            <family val="2"/>
          </rPr>
          <t>leading-edge radius</t>
        </r>
      </text>
    </comment>
    <comment ref="A3" authorId="0" shapeId="0" xr:uid="{EEAFD636-6595-49AA-AB98-53F5A931D188}">
      <text>
        <r>
          <rPr>
            <b/>
            <sz val="20"/>
            <color indexed="81"/>
            <rFont val="Tahoma"/>
            <family val="2"/>
          </rPr>
          <t>T</t>
        </r>
      </text>
    </comment>
    <comment ref="O3" authorId="0" shapeId="0" xr:uid="{9BC42D27-CB6C-4885-BA8E-74EC0F0E3417}">
      <text>
        <r>
          <rPr>
            <b/>
            <sz val="9"/>
            <color indexed="81"/>
            <rFont val="Tahoma"/>
            <family val="2"/>
          </rPr>
          <t>third digit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Trung Nghĩa Trần</author>
  </authors>
  <commentList>
    <comment ref="A1" authorId="0" shapeId="0" xr:uid="{823A4ECA-771B-4274-B3BD-0A9A78AB84DF}">
      <text>
        <r>
          <rPr>
            <b/>
            <sz val="9"/>
            <color indexed="81"/>
            <rFont val="Tahoma"/>
            <family val="2"/>
          </rPr>
          <t>Number of points</t>
        </r>
      </text>
    </comment>
    <comment ref="B1" authorId="0" shapeId="0" xr:uid="{72086D21-8779-41F8-9E7C-240E86A00F7A}">
      <text>
        <r>
          <rPr>
            <b/>
            <sz val="9"/>
            <color indexed="81"/>
            <rFont val="Tahoma"/>
            <family val="2"/>
          </rPr>
          <t>x</t>
        </r>
      </text>
    </comment>
    <comment ref="C1" authorId="0" shapeId="0" xr:uid="{45F73612-0EAC-4B51-B8A1-C82BFAA43501}">
      <text>
        <r>
          <rPr>
            <b/>
            <sz val="9"/>
            <color indexed="81"/>
            <rFont val="Tahoma"/>
            <family val="2"/>
          </rPr>
          <t>Y_t</t>
        </r>
      </text>
    </comment>
    <comment ref="D1" authorId="0" shapeId="0" xr:uid="{38181358-D959-437E-BDAE-3ADBE073C476}">
      <text>
        <r>
          <rPr>
            <b/>
            <sz val="9"/>
            <color indexed="81"/>
            <rFont val="Tahoma"/>
            <family val="2"/>
          </rPr>
          <t xml:space="preserve">Y_c(S)
</t>
        </r>
      </text>
    </comment>
    <comment ref="E1" authorId="0" shapeId="0" xr:uid="{084E1077-2FA3-486B-9687-52362F98403B}">
      <text>
        <r>
          <rPr>
            <b/>
            <sz val="9"/>
            <color indexed="81"/>
            <rFont val="Tahoma"/>
            <family val="2"/>
          </rPr>
          <t>dY_c/dX(S)</t>
        </r>
      </text>
    </comment>
    <comment ref="F1" authorId="0" shapeId="0" xr:uid="{279C3133-B396-41FE-B992-896BFDECC499}">
      <text>
        <r>
          <rPr>
            <b/>
            <sz val="9"/>
            <color indexed="81"/>
            <rFont val="Tahoma"/>
            <family val="2"/>
          </rPr>
          <t>Theta(S)</t>
        </r>
      </text>
    </comment>
    <comment ref="G1" authorId="0" shapeId="0" xr:uid="{9D07D8BD-4A47-41DC-AE02-E6D3507F7058}">
      <text>
        <r>
          <rPr>
            <b/>
            <sz val="9"/>
            <color indexed="81"/>
            <rFont val="Tahoma"/>
            <family val="2"/>
          </rPr>
          <t>Y_c(R)</t>
        </r>
      </text>
    </comment>
    <comment ref="H1" authorId="0" shapeId="0" xr:uid="{94BDB986-A337-4DCD-BBFA-2B16D4861278}">
      <text>
        <r>
          <rPr>
            <b/>
            <sz val="9"/>
            <color indexed="81"/>
            <rFont val="Tahoma"/>
            <family val="2"/>
          </rPr>
          <t>dY_c/dX(R)</t>
        </r>
      </text>
    </comment>
    <comment ref="I1" authorId="0" shapeId="0" xr:uid="{2EEEFC4F-747F-41CD-B491-43F780EAACA0}">
      <text>
        <r>
          <rPr>
            <b/>
            <sz val="9"/>
            <color indexed="81"/>
            <rFont val="Tahoma"/>
            <family val="2"/>
          </rPr>
          <t>Theta(R)</t>
        </r>
      </text>
    </comment>
    <comment ref="J1" authorId="0" shapeId="0" xr:uid="{1F539D51-05ED-48EC-9791-EE5DDE0D375B}">
      <text>
        <r>
          <rPr>
            <b/>
            <sz val="9"/>
            <color indexed="81"/>
            <rFont val="Tahoma"/>
            <family val="2"/>
          </rPr>
          <t>Y_c</t>
        </r>
      </text>
    </comment>
    <comment ref="K1" authorId="0" shapeId="0" xr:uid="{E94E8626-C167-400C-BA23-2045826A3067}">
      <text>
        <r>
          <rPr>
            <b/>
            <sz val="9"/>
            <color indexed="81"/>
            <rFont val="Tahoma"/>
            <family val="2"/>
          </rPr>
          <t>Theta</t>
        </r>
      </text>
    </comment>
    <comment ref="L1" authorId="0" shapeId="0" xr:uid="{4832F7BD-872C-490B-A60B-CDD913DD909B}">
      <text>
        <r>
          <rPr>
            <b/>
            <sz val="9"/>
            <color indexed="81"/>
            <rFont val="Tahoma"/>
            <family val="2"/>
          </rPr>
          <t>X_u</t>
        </r>
      </text>
    </comment>
    <comment ref="M1" authorId="0" shapeId="0" xr:uid="{9FCA5D0F-B763-4123-B052-2075A7557248}">
      <text>
        <r>
          <rPr>
            <b/>
            <sz val="9"/>
            <color indexed="81"/>
            <rFont val="Tahoma"/>
            <family val="2"/>
          </rPr>
          <t>Y_u</t>
        </r>
      </text>
    </comment>
    <comment ref="N1" authorId="0" shapeId="0" xr:uid="{50A30122-D703-4FDD-9F7D-5B084F8F60DE}">
      <text>
        <r>
          <rPr>
            <b/>
            <sz val="9"/>
            <color indexed="81"/>
            <rFont val="Tahoma"/>
            <family val="2"/>
          </rPr>
          <t>X_l</t>
        </r>
      </text>
    </comment>
    <comment ref="O1" authorId="0" shapeId="0" xr:uid="{9D41DC7E-6B66-4F93-840C-20F497AA5AAA}">
      <text>
        <r>
          <rPr>
            <b/>
            <sz val="9"/>
            <color indexed="81"/>
            <rFont val="Tahoma"/>
            <family val="2"/>
          </rPr>
          <t>Y_l</t>
        </r>
      </text>
    </comment>
    <comment ref="P1" authorId="0" shapeId="0" xr:uid="{21777091-37F9-4926-97AE-83103A0B9DED}">
      <text>
        <r>
          <rPr>
            <b/>
            <sz val="9"/>
            <color indexed="81"/>
            <rFont val="Tahoma"/>
            <family val="2"/>
          </rPr>
          <t>equation_ solve r</t>
        </r>
      </text>
    </comment>
    <comment ref="R1" authorId="0" shapeId="0" xr:uid="{098607A7-1987-4324-914A-3DFE8CD0ECC2}">
      <text>
        <r>
          <rPr>
            <b/>
            <sz val="9"/>
            <color indexed="81"/>
            <rFont val="Tahoma"/>
            <family val="2"/>
          </rPr>
          <t>mean line</t>
        </r>
      </text>
    </comment>
    <comment ref="U1" authorId="0" shapeId="0" xr:uid="{2662BDCF-D34B-41B2-AFBB-2D8B2C1BF0A7}">
      <text>
        <r>
          <rPr>
            <b/>
            <sz val="9"/>
            <color indexed="81"/>
            <rFont val="Tahoma"/>
            <family val="2"/>
          </rPr>
          <t>alpha</t>
        </r>
      </text>
    </comment>
    <comment ref="V1" authorId="0" shapeId="0" xr:uid="{ED4E40AC-3F92-46BE-BF1D-8FA12073CD27}">
      <text>
        <r>
          <rPr>
            <b/>
            <sz val="9"/>
            <color indexed="81"/>
            <rFont val="Tahoma"/>
            <family val="2"/>
          </rPr>
          <t>phi</t>
        </r>
      </text>
    </comment>
    <comment ref="W1" authorId="0" shapeId="0" xr:uid="{0DFA3D73-BC89-45B6-9B16-CC9EA932CE20}">
      <text>
        <r>
          <rPr>
            <b/>
            <sz val="9"/>
            <color indexed="81"/>
            <rFont val="Tahoma"/>
            <family val="2"/>
          </rPr>
          <t>x(phi)</t>
        </r>
      </text>
    </comment>
    <comment ref="X1" authorId="0" shapeId="0" xr:uid="{416A5D61-513A-4645-A52D-B2A3B1120C14}">
      <text>
        <r>
          <rPr>
            <b/>
            <sz val="9"/>
            <color indexed="81"/>
            <rFont val="Tahoma"/>
            <family val="2"/>
          </rPr>
          <t>y(phi)</t>
        </r>
      </text>
    </comment>
    <comment ref="A2" authorId="0" shapeId="0" xr:uid="{61F30568-3BA0-42FE-8A93-46E0A7C3AF78}">
      <text>
        <r>
          <rPr>
            <b/>
            <sz val="9"/>
            <color indexed="81"/>
            <rFont val="Tahoma"/>
            <family val="2"/>
          </rPr>
          <t>first digit</t>
        </r>
      </text>
    </comment>
    <comment ref="U2" authorId="0" shapeId="0" xr:uid="{BCBB9B55-9B0C-4128-8DD5-8718A9620BE6}">
      <text>
        <r>
          <rPr>
            <b/>
            <sz val="9"/>
            <color indexed="81"/>
            <rFont val="Tahoma"/>
            <family val="2"/>
          </rPr>
          <t>leading-edge radius</t>
        </r>
      </text>
    </comment>
    <comment ref="A3" authorId="0" shapeId="0" xr:uid="{C63E395B-15E9-4A6E-B10D-F3DD83304DFD}">
      <text>
        <r>
          <rPr>
            <b/>
            <sz val="9"/>
            <color indexed="81"/>
            <rFont val="Tahoma"/>
            <family val="2"/>
          </rPr>
          <t>second digit</t>
        </r>
      </text>
    </comment>
    <comment ref="A4" authorId="0" shapeId="0" xr:uid="{0B5C180D-2392-4E15-AECD-34F6DD74EF6D}">
      <text>
        <r>
          <rPr>
            <b/>
            <sz val="9"/>
            <color indexed="81"/>
            <rFont val="Tahoma"/>
            <family val="2"/>
          </rPr>
          <t>3,4th digit</t>
        </r>
      </text>
    </comment>
    <comment ref="A5" authorId="0" shapeId="0" xr:uid="{3912F05C-A2AA-4ADD-8DF7-7FAD00151F4B}">
      <text>
        <r>
          <rPr>
            <b/>
            <sz val="9"/>
            <color indexed="81"/>
            <rFont val="Tahoma"/>
            <family val="2"/>
          </rPr>
          <t>p</t>
        </r>
      </text>
    </comment>
    <comment ref="A6" authorId="0" shapeId="0" xr:uid="{556CE1BE-2001-4971-AC6A-FA615903A6DF}">
      <text>
        <r>
          <rPr>
            <b/>
            <sz val="9"/>
            <color indexed="81"/>
            <rFont val="Tahoma"/>
            <family val="2"/>
          </rPr>
          <t>maximum camber</t>
        </r>
      </text>
    </comment>
    <comment ref="A7" authorId="0" shapeId="0" xr:uid="{DBD009CC-9C59-4397-AC60-499319B03CA4}">
      <text>
        <r>
          <rPr>
            <b/>
            <sz val="9"/>
            <color indexed="81"/>
            <rFont val="Tahoma"/>
            <family val="2"/>
          </rPr>
          <t>max thickness</t>
        </r>
      </text>
    </comment>
    <comment ref="A8" authorId="0" shapeId="0" xr:uid="{841925D6-DA0F-4B48-BC25-E0690E5CD5A6}">
      <text>
        <r>
          <rPr>
            <b/>
            <sz val="9"/>
            <color indexed="81"/>
            <rFont val="Tahoma"/>
            <family val="2"/>
          </rPr>
          <t>m(S)</t>
        </r>
      </text>
    </comment>
    <comment ref="A9" authorId="0" shapeId="0" xr:uid="{854DD2B5-6B3C-475B-98DD-B2CB50F4580F}">
      <text>
        <r>
          <rPr>
            <b/>
            <sz val="9"/>
            <color indexed="81"/>
            <rFont val="Tahoma"/>
            <family val="2"/>
          </rPr>
          <t>N</t>
        </r>
      </text>
    </comment>
    <comment ref="A10" authorId="0" shapeId="0" xr:uid="{541C410F-7713-4A73-B32F-64F514932CAD}">
      <text>
        <r>
          <rPr>
            <b/>
            <sz val="9"/>
            <color indexed="81"/>
            <rFont val="Tahoma"/>
            <family val="2"/>
          </rPr>
          <t>k1(S)</t>
        </r>
      </text>
    </comment>
    <comment ref="A11" authorId="0" shapeId="0" xr:uid="{16FD7ED6-FB6C-45A1-9906-78B964B51B7F}">
      <text>
        <r>
          <rPr>
            <b/>
            <sz val="9"/>
            <color indexed="81"/>
            <rFont val="Tahoma"/>
            <family val="2"/>
          </rPr>
          <t>m(R)</t>
        </r>
      </text>
    </comment>
    <comment ref="A12" authorId="0" shapeId="0" xr:uid="{5CA504D5-78A8-4DF7-A3C3-CD2F7F1E3BC9}">
      <text>
        <r>
          <rPr>
            <b/>
            <sz val="9"/>
            <color indexed="81"/>
            <rFont val="Tahoma"/>
            <family val="2"/>
          </rPr>
          <t>k1(R)</t>
        </r>
      </text>
    </comment>
    <comment ref="A13" authorId="0" shapeId="0" xr:uid="{6F68FB04-553A-418A-9B76-F26B997F1930}">
      <text>
        <r>
          <rPr>
            <b/>
            <sz val="9"/>
            <color indexed="81"/>
            <rFont val="Tahoma"/>
            <family val="2"/>
          </rPr>
          <t>k2/k1</t>
        </r>
      </text>
    </comment>
    <comment ref="A14" authorId="0" shapeId="0" xr:uid="{200FE43D-97DA-4FA1-B7A0-79F0036A61BD}">
      <text>
        <r>
          <rPr>
            <b/>
            <sz val="9"/>
            <color indexed="81"/>
            <rFont val="Tahoma"/>
            <family val="2"/>
          </rPr>
          <t xml:space="preserve">design lift coefficient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Trung Nghĩa Trần</author>
  </authors>
  <commentList>
    <comment ref="A1" authorId="0" shapeId="0" xr:uid="{C106524A-B8CC-481B-951A-D057309F860A}">
      <text>
        <r>
          <rPr>
            <b/>
            <sz val="9"/>
            <color indexed="81"/>
            <rFont val="Tahoma"/>
            <family val="2"/>
          </rPr>
          <t>m</t>
        </r>
      </text>
    </comment>
    <comment ref="B1" authorId="0" shapeId="0" xr:uid="{17ED6F80-3A90-4F59-AA24-5FE1B49B9A76}">
      <text>
        <r>
          <rPr>
            <b/>
            <sz val="20"/>
            <color indexed="81"/>
            <rFont val="Tahoma"/>
            <family val="2"/>
          </rPr>
          <t>X</t>
        </r>
      </text>
    </comment>
    <comment ref="C1" authorId="0" shapeId="0" xr:uid="{7191031E-6438-48ED-BE7B-BF645892DAE5}">
      <text>
        <r>
          <rPr>
            <b/>
            <sz val="20"/>
            <color indexed="81"/>
            <rFont val="Tahoma"/>
            <family val="2"/>
          </rPr>
          <t>Y_c</t>
        </r>
      </text>
    </comment>
    <comment ref="D1" authorId="0" shapeId="0" xr:uid="{893248CD-1C4F-46DB-9FEC-866AB930A0EB}">
      <text>
        <r>
          <rPr>
            <b/>
            <sz val="9"/>
            <color indexed="81"/>
            <rFont val="Tahoma"/>
            <family val="2"/>
          </rPr>
          <t>yt+</t>
        </r>
      </text>
    </comment>
    <comment ref="E1" authorId="0" shapeId="0" xr:uid="{4F60964D-767C-468A-AC1A-2366343CAB9E}">
      <text>
        <r>
          <rPr>
            <b/>
            <sz val="20"/>
            <color indexed="81"/>
            <rFont val="Tahoma"/>
            <family val="2"/>
          </rPr>
          <t>dY_c/dX</t>
        </r>
      </text>
    </comment>
    <comment ref="F1" authorId="0" shapeId="0" xr:uid="{E40C79FC-F84E-4389-9EAC-B8D33FD6EEC9}">
      <text>
        <r>
          <rPr>
            <b/>
            <sz val="20"/>
            <color indexed="81"/>
            <rFont val="Tahoma"/>
            <family val="2"/>
          </rPr>
          <t>Theta</t>
        </r>
      </text>
    </comment>
    <comment ref="G1" authorId="0" shapeId="0" xr:uid="{21CAFB6A-EBDF-4E2F-B0C7-A3CAE69C892C}">
      <text>
        <r>
          <rPr>
            <b/>
            <sz val="20"/>
            <color indexed="81"/>
            <rFont val="Tahoma"/>
            <family val="2"/>
          </rPr>
          <t>X_u</t>
        </r>
      </text>
    </comment>
    <comment ref="H1" authorId="0" shapeId="0" xr:uid="{ABD61405-74F1-4286-8AC4-D66ABDC46498}">
      <text>
        <r>
          <rPr>
            <b/>
            <sz val="20"/>
            <color indexed="81"/>
            <rFont val="Tahoma"/>
            <family val="2"/>
          </rPr>
          <t>Y_u</t>
        </r>
      </text>
    </comment>
    <comment ref="I1" authorId="0" shapeId="0" xr:uid="{89B242AF-BE4C-4E65-B76C-F6358ADD9999}">
      <text>
        <r>
          <rPr>
            <b/>
            <sz val="20"/>
            <color indexed="81"/>
            <rFont val="Tahoma"/>
            <family val="2"/>
          </rPr>
          <t xml:space="preserve">X_l
</t>
        </r>
      </text>
    </comment>
    <comment ref="J1" authorId="0" shapeId="0" xr:uid="{A916F1BB-F14C-4A28-A488-0235BE8655B8}">
      <text>
        <r>
          <rPr>
            <b/>
            <sz val="20"/>
            <color indexed="81"/>
            <rFont val="Tahoma"/>
            <family val="2"/>
          </rPr>
          <t xml:space="preserve">Y_l
</t>
        </r>
      </text>
    </comment>
    <comment ref="K1" authorId="0" shapeId="0" xr:uid="{666FE444-D7B8-4D2E-8C74-89ED5FA1A3BF}">
      <text>
        <r>
          <rPr>
            <b/>
            <sz val="14"/>
            <color indexed="81"/>
            <rFont val="Tahoma"/>
            <family val="2"/>
          </rPr>
          <t>Thickness yu - yl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494E9738-1E19-47C5-AB93-BCC1C0452000}">
      <text>
        <r>
          <rPr>
            <b/>
            <sz val="9"/>
            <color indexed="81"/>
            <rFont val="Tahoma"/>
            <family val="2"/>
          </rPr>
          <t>I (radius index)</t>
        </r>
      </text>
    </comment>
    <comment ref="N1" authorId="0" shapeId="0" xr:uid="{E4F6096E-1833-4861-90F5-4E124E41E808}">
      <text>
        <r>
          <rPr>
            <b/>
            <sz val="9"/>
            <color indexed="81"/>
            <rFont val="Tahoma"/>
            <family val="2"/>
          </rPr>
          <t xml:space="preserve">m thickness
</t>
        </r>
      </text>
    </comment>
    <comment ref="O1" authorId="0" shapeId="0" xr:uid="{3841D743-030D-4E92-A111-74FB0B9BD9D0}">
      <text>
        <r>
          <rPr>
            <b/>
            <sz val="9"/>
            <color indexed="81"/>
            <rFont val="Tahoma"/>
            <family val="2"/>
          </rPr>
          <t>a0</t>
        </r>
      </text>
    </comment>
    <comment ref="P1" authorId="0" shapeId="0" xr:uid="{02FC17C9-F76A-4D71-9B45-75462567841F}">
      <text>
        <r>
          <rPr>
            <b/>
            <sz val="9"/>
            <color indexed="81"/>
            <rFont val="Tahoma"/>
            <family val="2"/>
          </rPr>
          <t>a1</t>
        </r>
      </text>
    </comment>
    <comment ref="Q1" authorId="0" shapeId="0" xr:uid="{0CB6189E-DC73-49E3-A7CF-1BEA987E0B54}">
      <text>
        <r>
          <rPr>
            <b/>
            <sz val="9"/>
            <color indexed="81"/>
            <rFont val="Tahoma"/>
            <family val="2"/>
          </rPr>
          <t>a2</t>
        </r>
      </text>
    </comment>
    <comment ref="R1" authorId="0" shapeId="0" xr:uid="{518952AF-CDFC-4659-A247-E2EC087BEB13}">
      <text>
        <r>
          <rPr>
            <b/>
            <sz val="9"/>
            <color indexed="81"/>
            <rFont val="Tahoma"/>
            <family val="2"/>
          </rPr>
          <t>a3</t>
        </r>
      </text>
    </comment>
    <comment ref="S1" authorId="0" shapeId="0" xr:uid="{89F2022C-E581-4200-8D4E-DC1199BF216E}">
      <text>
        <r>
          <rPr>
            <b/>
            <sz val="9"/>
            <color indexed="81"/>
            <rFont val="Tahoma"/>
            <family val="2"/>
          </rPr>
          <t>d0</t>
        </r>
      </text>
    </comment>
    <comment ref="T1" authorId="0" shapeId="0" xr:uid="{94EA5812-2496-42CE-BA2C-C67B40B16880}">
      <text>
        <r>
          <rPr>
            <b/>
            <sz val="9"/>
            <color indexed="81"/>
            <rFont val="Tahoma"/>
            <family val="2"/>
          </rPr>
          <t>d1</t>
        </r>
      </text>
    </comment>
    <comment ref="U1" authorId="0" shapeId="0" xr:uid="{CA080217-198F-4E7D-B042-2B5418FB366A}">
      <text>
        <r>
          <rPr>
            <b/>
            <sz val="9"/>
            <color indexed="81"/>
            <rFont val="Tahoma"/>
            <family val="2"/>
          </rPr>
          <t>d2</t>
        </r>
      </text>
    </comment>
    <comment ref="V1" authorId="0" shapeId="0" xr:uid="{F5DE4203-935E-4931-AC8F-7C18FCA7818C}">
      <text>
        <r>
          <rPr>
            <b/>
            <sz val="9"/>
            <color indexed="81"/>
            <rFont val="Tahoma"/>
            <family val="2"/>
          </rPr>
          <t>d3</t>
        </r>
      </text>
    </comment>
    <comment ref="W1" authorId="0" shapeId="0" xr:uid="{A6D2C4B9-2515-4336-B695-19EDC3DDFCAA}">
      <text>
        <r>
          <rPr>
            <b/>
            <sz val="9"/>
            <color indexed="81"/>
            <rFont val="Tahoma"/>
            <family val="2"/>
          </rPr>
          <t>rho1</t>
        </r>
      </text>
    </comment>
    <comment ref="Y1" authorId="0" shapeId="0" xr:uid="{23E3EC2E-2116-4431-B291-8D5B3D5CE686}">
      <text>
        <r>
          <rPr>
            <b/>
            <sz val="9"/>
            <color indexed="81"/>
            <rFont val="Tahoma"/>
            <family val="2"/>
          </rPr>
          <t>mean line</t>
        </r>
      </text>
    </comment>
    <comment ref="AA1" authorId="0" shapeId="0" xr:uid="{09478302-9785-439F-B52D-D83F9CA43808}">
      <text>
        <r>
          <rPr>
            <b/>
            <sz val="9"/>
            <color indexed="81"/>
            <rFont val="Tahoma"/>
            <family val="2"/>
          </rPr>
          <t>alpha</t>
        </r>
      </text>
    </comment>
    <comment ref="AB1" authorId="0" shapeId="0" xr:uid="{5D0A05B4-9D99-4859-B6D3-DD873548E90F}">
      <text>
        <r>
          <rPr>
            <b/>
            <sz val="9"/>
            <color indexed="81"/>
            <rFont val="Tahoma"/>
            <family val="2"/>
          </rPr>
          <t>phi</t>
        </r>
      </text>
    </comment>
    <comment ref="AC1" authorId="0" shapeId="0" xr:uid="{9AAB6E9D-7F66-4E9F-A8CF-FF45417EAA79}">
      <text>
        <r>
          <rPr>
            <b/>
            <sz val="9"/>
            <color indexed="81"/>
            <rFont val="Tahoma"/>
            <family val="2"/>
          </rPr>
          <t>x(phi)</t>
        </r>
      </text>
    </comment>
    <comment ref="AD1" authorId="0" shapeId="0" xr:uid="{175A5266-89F2-4ACD-87AE-A5134D06B567}">
      <text>
        <r>
          <rPr>
            <b/>
            <sz val="9"/>
            <color indexed="81"/>
            <rFont val="Tahoma"/>
            <family val="2"/>
          </rPr>
          <t>y(phi)</t>
        </r>
      </text>
    </comment>
    <comment ref="A2" authorId="0" shapeId="0" xr:uid="{6D7857D2-1BB0-4CE8-9DF2-DA5C510F1460}">
      <text>
        <r>
          <rPr>
            <b/>
            <sz val="9"/>
            <color indexed="81"/>
            <rFont val="Tahoma"/>
            <family val="2"/>
          </rPr>
          <t>p</t>
        </r>
      </text>
    </comment>
    <comment ref="N2" authorId="0" shapeId="0" xr:uid="{533EC4E5-E94D-40BA-A397-2C373D7DB7C4}">
      <text>
        <r>
          <rPr>
            <b/>
            <sz val="9"/>
            <color indexed="81"/>
            <rFont val="Tahoma"/>
            <family val="2"/>
          </rPr>
          <t>thickness position</t>
        </r>
      </text>
    </comment>
    <comment ref="AA2" authorId="0" shapeId="0" xr:uid="{B81A615C-63C7-4A70-B5AE-5D11F0E5AB43}">
      <text>
        <r>
          <rPr>
            <b/>
            <sz val="9"/>
            <color indexed="81"/>
            <rFont val="Tahoma"/>
            <family val="2"/>
          </rPr>
          <t>leading-edge radius</t>
        </r>
      </text>
    </comment>
    <comment ref="A3" authorId="0" shapeId="0" xr:uid="{9411A109-98C3-4055-9A82-90A63B7FEC8E}">
      <text>
        <r>
          <rPr>
            <b/>
            <sz val="9"/>
            <color indexed="81"/>
            <rFont val="Tahoma"/>
            <family val="2"/>
          </rPr>
          <t>t</t>
        </r>
      </text>
    </comment>
    <comment ref="A4" authorId="0" shapeId="0" xr:uid="{37167825-AEA7-4BEE-ABBF-EFA213C83CE6}">
      <text>
        <r>
          <rPr>
            <b/>
            <sz val="9"/>
            <color indexed="81"/>
            <rFont val="Tahoma"/>
            <family val="2"/>
          </rPr>
          <t>first digit</t>
        </r>
      </text>
    </comment>
    <comment ref="A5" authorId="0" shapeId="0" xr:uid="{5996256F-DE01-49F2-8D37-6885E8DF2936}">
      <text>
        <r>
          <rPr>
            <b/>
            <sz val="9"/>
            <color indexed="81"/>
            <rFont val="Tahoma"/>
            <family val="2"/>
          </rPr>
          <t>second digit</t>
        </r>
      </text>
    </comment>
    <comment ref="A6" authorId="0" shapeId="0" xr:uid="{B0CB5D9A-5636-4D7A-AB68-4CC9B00CC47D}">
      <text>
        <r>
          <rPr>
            <b/>
            <sz val="9"/>
            <color indexed="81"/>
            <rFont val="Tahoma"/>
            <family val="2"/>
          </rPr>
          <t>3,4th digit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Trung Nghĩa Trần</author>
  </authors>
  <commentList>
    <comment ref="B1" authorId="0" shapeId="0" xr:uid="{18713641-51B4-4FB3-98C8-AE5DB1A18C49}">
      <text>
        <r>
          <rPr>
            <b/>
            <sz val="9"/>
            <color indexed="81"/>
            <rFont val="Tahoma"/>
            <family val="2"/>
          </rPr>
          <t>x</t>
        </r>
      </text>
    </comment>
    <comment ref="C1" authorId="0" shapeId="0" xr:uid="{98635191-4B0A-435C-B815-E6F638109440}">
      <text>
        <r>
          <rPr>
            <b/>
            <sz val="9"/>
            <color indexed="81"/>
            <rFont val="Tahoma"/>
            <family val="2"/>
          </rPr>
          <t>Y_t</t>
        </r>
      </text>
    </comment>
    <comment ref="D1" authorId="0" shapeId="0" xr:uid="{B510CAEF-D0DC-46B1-827A-512E2DEB8EE7}">
      <text>
        <r>
          <rPr>
            <b/>
            <sz val="9"/>
            <color indexed="81"/>
            <rFont val="Tahoma"/>
            <family val="2"/>
          </rPr>
          <t xml:space="preserve">Y_c(S)
</t>
        </r>
      </text>
    </comment>
    <comment ref="E1" authorId="0" shapeId="0" xr:uid="{C5354AA1-22B5-48BC-A377-DBE9498F5AB3}">
      <text>
        <r>
          <rPr>
            <b/>
            <sz val="9"/>
            <color indexed="81"/>
            <rFont val="Tahoma"/>
            <family val="2"/>
          </rPr>
          <t>dY_c/dX(S)</t>
        </r>
      </text>
    </comment>
    <comment ref="F1" authorId="0" shapeId="0" xr:uid="{1556D6F1-457A-48AF-911D-73BB6029987B}">
      <text>
        <r>
          <rPr>
            <b/>
            <sz val="9"/>
            <color indexed="81"/>
            <rFont val="Tahoma"/>
            <family val="2"/>
          </rPr>
          <t>Theta(S)</t>
        </r>
      </text>
    </comment>
    <comment ref="G1" authorId="0" shapeId="0" xr:uid="{A2A32CE7-C3EE-4471-837D-C308BE05216A}">
      <text>
        <r>
          <rPr>
            <b/>
            <sz val="9"/>
            <color indexed="81"/>
            <rFont val="Tahoma"/>
            <family val="2"/>
          </rPr>
          <t>X_u</t>
        </r>
      </text>
    </comment>
    <comment ref="H1" authorId="0" shapeId="0" xr:uid="{DE52AB4A-CC3C-4812-BBC3-4166F5ED1F6F}">
      <text>
        <r>
          <rPr>
            <b/>
            <sz val="9"/>
            <color indexed="81"/>
            <rFont val="Tahoma"/>
            <family val="2"/>
          </rPr>
          <t>Y_u</t>
        </r>
      </text>
    </comment>
    <comment ref="I1" authorId="0" shapeId="0" xr:uid="{D2AAEC51-A789-4E85-942B-5AA7DB964407}">
      <text>
        <r>
          <rPr>
            <b/>
            <sz val="9"/>
            <color indexed="81"/>
            <rFont val="Tahoma"/>
            <family val="2"/>
          </rPr>
          <t>X_l</t>
        </r>
      </text>
    </comment>
    <comment ref="J1" authorId="0" shapeId="0" xr:uid="{7793636B-FDAC-4BBE-B75A-A2BB3C356D57}">
      <text>
        <r>
          <rPr>
            <b/>
            <sz val="9"/>
            <color indexed="81"/>
            <rFont val="Tahoma"/>
            <family val="2"/>
          </rPr>
          <t>Y_l</t>
        </r>
      </text>
    </comment>
    <comment ref="K1" authorId="0" shapeId="0" xr:uid="{C1C9185F-E8AB-4E65-95C3-8E53444146BA}">
      <text>
        <r>
          <rPr>
            <b/>
            <sz val="9"/>
            <color indexed="81"/>
            <rFont val="Tahoma"/>
            <family val="2"/>
          </rPr>
          <t>equation_ solve r</t>
        </r>
      </text>
    </comment>
    <comment ref="M1" authorId="0" shapeId="0" xr:uid="{90BA1478-0D69-45A1-AF2E-5E1AC867AAA5}">
      <text>
        <r>
          <rPr>
            <b/>
            <sz val="9"/>
            <color indexed="81"/>
            <rFont val="Tahoma"/>
            <family val="2"/>
          </rPr>
          <t>I (radius index)</t>
        </r>
      </text>
    </comment>
    <comment ref="N1" authorId="0" shapeId="0" xr:uid="{B9897B7D-782A-427F-B656-A2630ED9B73D}">
      <text>
        <r>
          <rPr>
            <b/>
            <sz val="9"/>
            <color indexed="81"/>
            <rFont val="Tahoma"/>
            <family val="2"/>
          </rPr>
          <t xml:space="preserve">m thickness
</t>
        </r>
      </text>
    </comment>
    <comment ref="O1" authorId="0" shapeId="0" xr:uid="{10EB7B7B-C70D-42DB-9AFB-F673A362D8A3}">
      <text>
        <r>
          <rPr>
            <b/>
            <sz val="9"/>
            <color indexed="81"/>
            <rFont val="Tahoma"/>
            <family val="2"/>
          </rPr>
          <t>a0</t>
        </r>
      </text>
    </comment>
    <comment ref="P1" authorId="0" shapeId="0" xr:uid="{FA35ADA5-9E7A-4123-9414-CFF5C09D7302}">
      <text>
        <r>
          <rPr>
            <b/>
            <sz val="9"/>
            <color indexed="81"/>
            <rFont val="Tahoma"/>
            <family val="2"/>
          </rPr>
          <t>a1</t>
        </r>
      </text>
    </comment>
    <comment ref="Q1" authorId="0" shapeId="0" xr:uid="{FB8F32ED-9CCD-4D4C-B1A5-EEC5FFAA7002}">
      <text>
        <r>
          <rPr>
            <b/>
            <sz val="9"/>
            <color indexed="81"/>
            <rFont val="Tahoma"/>
            <family val="2"/>
          </rPr>
          <t>a2</t>
        </r>
      </text>
    </comment>
    <comment ref="R1" authorId="0" shapeId="0" xr:uid="{E499BC81-8FD0-43E5-BF0F-D4EC25D26026}">
      <text>
        <r>
          <rPr>
            <b/>
            <sz val="9"/>
            <color indexed="81"/>
            <rFont val="Tahoma"/>
            <family val="2"/>
          </rPr>
          <t>a3</t>
        </r>
      </text>
    </comment>
    <comment ref="S1" authorId="0" shapeId="0" xr:uid="{E4F81C0A-CC96-4083-AE06-C8A7B0124D52}">
      <text>
        <r>
          <rPr>
            <b/>
            <sz val="9"/>
            <color indexed="81"/>
            <rFont val="Tahoma"/>
            <family val="2"/>
          </rPr>
          <t>d0</t>
        </r>
      </text>
    </comment>
    <comment ref="T1" authorId="0" shapeId="0" xr:uid="{368BF6D4-5F83-484A-869D-062366DEEFA6}">
      <text>
        <r>
          <rPr>
            <b/>
            <sz val="9"/>
            <color indexed="81"/>
            <rFont val="Tahoma"/>
            <family val="2"/>
          </rPr>
          <t>d1</t>
        </r>
      </text>
    </comment>
    <comment ref="U1" authorId="0" shapeId="0" xr:uid="{945D53CF-ADFD-4DAC-AF56-8D947B795687}">
      <text>
        <r>
          <rPr>
            <b/>
            <sz val="9"/>
            <color indexed="81"/>
            <rFont val="Tahoma"/>
            <family val="2"/>
          </rPr>
          <t>d2</t>
        </r>
      </text>
    </comment>
    <comment ref="V1" authorId="0" shapeId="0" xr:uid="{56F0565B-CE06-4A7A-9251-FA53B1395A6C}">
      <text>
        <r>
          <rPr>
            <b/>
            <sz val="9"/>
            <color indexed="81"/>
            <rFont val="Tahoma"/>
            <family val="2"/>
          </rPr>
          <t>d3</t>
        </r>
      </text>
    </comment>
    <comment ref="W1" authorId="0" shapeId="0" xr:uid="{EAE64AF7-A6A7-4E01-AA53-CE04D6693E37}">
      <text>
        <r>
          <rPr>
            <b/>
            <sz val="9"/>
            <color indexed="81"/>
            <rFont val="Tahoma"/>
            <family val="2"/>
          </rPr>
          <t>rho1</t>
        </r>
      </text>
    </comment>
    <comment ref="Y1" authorId="0" shapeId="0" xr:uid="{C2A0A17C-24C7-45D8-BEE7-C7D42E53FE5A}">
      <text>
        <r>
          <rPr>
            <b/>
            <sz val="9"/>
            <color indexed="81"/>
            <rFont val="Tahoma"/>
            <family val="2"/>
          </rPr>
          <t>mean line</t>
        </r>
      </text>
    </comment>
    <comment ref="AA1" authorId="0" shapeId="0" xr:uid="{F3597255-321F-4C1B-ADE5-20CE24F45558}">
      <text>
        <r>
          <rPr>
            <b/>
            <sz val="9"/>
            <color indexed="81"/>
            <rFont val="Tahoma"/>
            <family val="2"/>
          </rPr>
          <t>alpha</t>
        </r>
      </text>
    </comment>
    <comment ref="AB1" authorId="0" shapeId="0" xr:uid="{B1AF8056-F0BE-4468-9CEF-1309DF52EE3B}">
      <text>
        <r>
          <rPr>
            <b/>
            <sz val="9"/>
            <color indexed="81"/>
            <rFont val="Tahoma"/>
            <family val="2"/>
          </rPr>
          <t>phi</t>
        </r>
      </text>
    </comment>
    <comment ref="AC1" authorId="0" shapeId="0" xr:uid="{C9E4B17C-C925-4475-ADDF-8E9DCFD03C3D}">
      <text>
        <r>
          <rPr>
            <b/>
            <sz val="9"/>
            <color indexed="81"/>
            <rFont val="Tahoma"/>
            <family val="2"/>
          </rPr>
          <t>x(phi)</t>
        </r>
      </text>
    </comment>
    <comment ref="AD1" authorId="0" shapeId="0" xr:uid="{38C33D21-E4F8-44D7-A3A6-9752F2534827}">
      <text>
        <r>
          <rPr>
            <b/>
            <sz val="9"/>
            <color indexed="81"/>
            <rFont val="Tahoma"/>
            <family val="2"/>
          </rPr>
          <t>y(phi)</t>
        </r>
      </text>
    </comment>
    <comment ref="A2" authorId="0" shapeId="0" xr:uid="{4929C8A1-4715-427A-941E-57EBBAC95E10}">
      <text>
        <r>
          <rPr>
            <b/>
            <sz val="9"/>
            <color indexed="81"/>
            <rFont val="Tahoma"/>
            <family val="2"/>
          </rPr>
          <t>first digit</t>
        </r>
      </text>
    </comment>
    <comment ref="N2" authorId="0" shapeId="0" xr:uid="{44529826-34F8-4B5A-ABAB-D74DD0A95518}">
      <text>
        <r>
          <rPr>
            <b/>
            <sz val="9"/>
            <color indexed="81"/>
            <rFont val="Tahoma"/>
            <family val="2"/>
          </rPr>
          <t>thickness position</t>
        </r>
      </text>
    </comment>
    <comment ref="AA2" authorId="0" shapeId="0" xr:uid="{28E1CA5A-0739-491A-BAD7-2C8E0E4CCDA9}">
      <text>
        <r>
          <rPr>
            <b/>
            <sz val="9"/>
            <color indexed="81"/>
            <rFont val="Tahoma"/>
            <family val="2"/>
          </rPr>
          <t xml:space="preserve">leading-edge radius
</t>
        </r>
      </text>
    </comment>
    <comment ref="A3" authorId="0" shapeId="0" xr:uid="{4356082D-A80F-46E5-B37D-99861AC042B3}">
      <text>
        <r>
          <rPr>
            <b/>
            <sz val="9"/>
            <color indexed="81"/>
            <rFont val="Tahoma"/>
            <family val="2"/>
          </rPr>
          <t>second digit</t>
        </r>
      </text>
    </comment>
    <comment ref="A4" authorId="0" shapeId="0" xr:uid="{04103202-0B3A-453F-B163-B6AF1F4C3360}">
      <text>
        <r>
          <rPr>
            <b/>
            <sz val="9"/>
            <color indexed="81"/>
            <rFont val="Tahoma"/>
            <family val="2"/>
          </rPr>
          <t>4,5th digit</t>
        </r>
      </text>
    </comment>
    <comment ref="A5" authorId="0" shapeId="0" xr:uid="{F8398890-5877-4172-B60D-88A5C93418E3}">
      <text>
        <r>
          <rPr>
            <b/>
            <sz val="9"/>
            <color indexed="81"/>
            <rFont val="Tahoma"/>
            <family val="2"/>
          </rPr>
          <t>p</t>
        </r>
      </text>
    </comment>
    <comment ref="A6" authorId="0" shapeId="0" xr:uid="{903C426F-EF75-48D9-AB3B-0878E43A45F2}">
      <text>
        <r>
          <rPr>
            <b/>
            <sz val="9"/>
            <color indexed="81"/>
            <rFont val="Tahoma"/>
            <family val="2"/>
          </rPr>
          <t>maximum camber</t>
        </r>
      </text>
    </comment>
    <comment ref="A7" authorId="0" shapeId="0" xr:uid="{9F281B97-8CF3-4B77-8AF6-107CCC71A112}">
      <text>
        <r>
          <rPr>
            <b/>
            <sz val="9"/>
            <color indexed="81"/>
            <rFont val="Tahoma"/>
            <family val="2"/>
          </rPr>
          <t>max thickness</t>
        </r>
      </text>
    </comment>
    <comment ref="A8" authorId="0" shapeId="0" xr:uid="{A30A7662-982A-4077-9216-867A01D3566F}">
      <text>
        <r>
          <rPr>
            <b/>
            <sz val="9"/>
            <color indexed="81"/>
            <rFont val="Tahoma"/>
            <family val="2"/>
          </rPr>
          <t>m(S)</t>
        </r>
      </text>
    </comment>
    <comment ref="A9" authorId="0" shapeId="0" xr:uid="{253F6B3F-6F0E-4008-B47E-E58FDFCC26B4}">
      <text>
        <r>
          <rPr>
            <b/>
            <sz val="9"/>
            <color indexed="81"/>
            <rFont val="Tahoma"/>
            <family val="2"/>
          </rPr>
          <t>N</t>
        </r>
      </text>
    </comment>
    <comment ref="A10" authorId="0" shapeId="0" xr:uid="{2AA2EDB0-258C-411E-83E3-D5182E3429E9}">
      <text>
        <r>
          <rPr>
            <b/>
            <sz val="9"/>
            <color indexed="81"/>
            <rFont val="Tahoma"/>
            <family val="2"/>
          </rPr>
          <t>k1(S)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Trung Nghĩa Trần</author>
  </authors>
  <commentList>
    <comment ref="A1" authorId="0" shapeId="0" xr:uid="{2CE152A6-EC2E-4303-B4C4-A11C4B8D3554}">
      <text>
        <r>
          <rPr>
            <b/>
            <sz val="9"/>
            <color indexed="81"/>
            <rFont val="Tahoma"/>
            <family val="2"/>
          </rPr>
          <t>m</t>
        </r>
      </text>
    </comment>
    <comment ref="B1" authorId="0" shapeId="0" xr:uid="{C5BDC53C-673C-4346-967F-182CBBC39B43}">
      <text>
        <r>
          <rPr>
            <b/>
            <sz val="20"/>
            <color indexed="81"/>
            <rFont val="Tahoma"/>
            <family val="2"/>
          </rPr>
          <t>X</t>
        </r>
      </text>
    </comment>
    <comment ref="C1" authorId="0" shapeId="0" xr:uid="{9C0C436A-9CF7-4FD7-904E-1A3697175306}">
      <text>
        <r>
          <rPr>
            <b/>
            <sz val="20"/>
            <color indexed="81"/>
            <rFont val="Tahoma"/>
            <family val="2"/>
          </rPr>
          <t>Y_c</t>
        </r>
      </text>
    </comment>
    <comment ref="D1" authorId="0" shapeId="0" xr:uid="{A74BF50B-373E-4B87-B7EF-C5FE44C8FBB7}">
      <text>
        <r>
          <rPr>
            <b/>
            <sz val="9"/>
            <color indexed="81"/>
            <rFont val="Tahoma"/>
            <family val="2"/>
          </rPr>
          <t>yt+</t>
        </r>
      </text>
    </comment>
    <comment ref="E1" authorId="0" shapeId="0" xr:uid="{0D5E0344-EEC9-4944-AF26-D2645C9A90C7}">
      <text>
        <r>
          <rPr>
            <b/>
            <sz val="20"/>
            <color indexed="81"/>
            <rFont val="Tahoma"/>
            <family val="2"/>
          </rPr>
          <t>dY_c/dX</t>
        </r>
      </text>
    </comment>
    <comment ref="F1" authorId="0" shapeId="0" xr:uid="{3D70FD8A-23BB-40D9-9CCD-41991ACD5500}">
      <text>
        <r>
          <rPr>
            <b/>
            <sz val="20"/>
            <color indexed="81"/>
            <rFont val="Tahoma"/>
            <family val="2"/>
          </rPr>
          <t>Theta</t>
        </r>
      </text>
    </comment>
    <comment ref="G1" authorId="0" shapeId="0" xr:uid="{B24BBF3E-F5A0-425D-9940-0FF0EABF578E}">
      <text>
        <r>
          <rPr>
            <b/>
            <sz val="20"/>
            <color indexed="81"/>
            <rFont val="Tahoma"/>
            <family val="2"/>
          </rPr>
          <t>X_u</t>
        </r>
      </text>
    </comment>
    <comment ref="H1" authorId="0" shapeId="0" xr:uid="{64640976-DE28-4D8C-A2A7-332881C9EB97}">
      <text>
        <r>
          <rPr>
            <b/>
            <sz val="20"/>
            <color indexed="81"/>
            <rFont val="Tahoma"/>
            <family val="2"/>
          </rPr>
          <t>Y_u</t>
        </r>
      </text>
    </comment>
    <comment ref="I1" authorId="0" shapeId="0" xr:uid="{DFCE0F06-82A7-4C12-8477-F0188A6CD6E9}">
      <text>
        <r>
          <rPr>
            <b/>
            <sz val="20"/>
            <color indexed="81"/>
            <rFont val="Tahoma"/>
            <family val="2"/>
          </rPr>
          <t xml:space="preserve">X_l
</t>
        </r>
      </text>
    </comment>
    <comment ref="J1" authorId="0" shapeId="0" xr:uid="{6FA63D36-84EF-4EFF-8B43-EAF864E48A38}">
      <text>
        <r>
          <rPr>
            <b/>
            <sz val="20"/>
            <color indexed="81"/>
            <rFont val="Tahoma"/>
            <family val="2"/>
          </rPr>
          <t xml:space="preserve">Y_l
</t>
        </r>
      </text>
    </comment>
    <comment ref="K1" authorId="0" shapeId="0" xr:uid="{F8524C79-941C-403E-A470-C87855D669C5}">
      <text>
        <r>
          <rPr>
            <b/>
            <sz val="14"/>
            <color indexed="81"/>
            <rFont val="Tahoma"/>
            <family val="2"/>
          </rPr>
          <t>Thickness yu - yl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CB4DA7F8-3BFA-4B1E-82F5-70B0B8B6BB94}">
      <text>
        <r>
          <rPr>
            <b/>
            <sz val="9"/>
            <color indexed="81"/>
            <rFont val="Tahoma"/>
            <family val="2"/>
          </rPr>
          <t>desisgn lift coefficient</t>
        </r>
      </text>
    </comment>
    <comment ref="M1" authorId="0" shapeId="0" xr:uid="{5BDCBCE7-EFA4-4489-B968-10ACDFE6F057}">
      <text>
        <r>
          <rPr>
            <b/>
            <sz val="9"/>
            <color indexed="81"/>
            <rFont val="Tahoma"/>
            <family val="2"/>
          </rPr>
          <t>I</t>
        </r>
      </text>
    </comment>
    <comment ref="N1" authorId="0" shapeId="0" xr:uid="{D8A63E1E-B29E-48BF-B491-96FF27FF127D}">
      <text>
        <r>
          <rPr>
            <b/>
            <sz val="9"/>
            <color indexed="81"/>
            <rFont val="Tahoma"/>
            <family val="2"/>
          </rPr>
          <t>m</t>
        </r>
      </text>
    </comment>
    <comment ref="O1" authorId="0" shapeId="0" xr:uid="{C526E7E6-A930-4D6A-801F-64C93D4ADA3D}">
      <text>
        <r>
          <rPr>
            <b/>
            <sz val="9"/>
            <color indexed="81"/>
            <rFont val="Tahoma"/>
            <family val="2"/>
          </rPr>
          <t>a0</t>
        </r>
      </text>
    </comment>
    <comment ref="P1" authorId="0" shapeId="0" xr:uid="{2B6075E4-5837-4C8A-BEB2-3EC6AF63A2D8}">
      <text>
        <r>
          <rPr>
            <b/>
            <sz val="9"/>
            <color indexed="81"/>
            <rFont val="Tahoma"/>
            <family val="2"/>
          </rPr>
          <t>a1</t>
        </r>
      </text>
    </comment>
    <comment ref="Q1" authorId="0" shapeId="0" xr:uid="{7DC2CE72-6B04-46C2-8E4A-ED602E36A26F}">
      <text>
        <r>
          <rPr>
            <b/>
            <sz val="9"/>
            <color indexed="81"/>
            <rFont val="Tahoma"/>
            <family val="2"/>
          </rPr>
          <t>a2</t>
        </r>
      </text>
    </comment>
    <comment ref="R1" authorId="0" shapeId="0" xr:uid="{D3266E6C-94A1-451E-A9D6-865F5FD5B290}">
      <text>
        <r>
          <rPr>
            <b/>
            <sz val="9"/>
            <color indexed="81"/>
            <rFont val="Tahoma"/>
            <family val="2"/>
          </rPr>
          <t>a3</t>
        </r>
      </text>
    </comment>
    <comment ref="S1" authorId="0" shapeId="0" xr:uid="{C0A62053-DB25-47F2-A03B-0B3A888909AB}">
      <text>
        <r>
          <rPr>
            <b/>
            <sz val="9"/>
            <color indexed="81"/>
            <rFont val="Tahoma"/>
            <family val="2"/>
          </rPr>
          <t>d0</t>
        </r>
      </text>
    </comment>
    <comment ref="T1" authorId="0" shapeId="0" xr:uid="{5817A1AD-1B83-457F-992F-05CB6A130C4F}">
      <text>
        <r>
          <rPr>
            <b/>
            <sz val="9"/>
            <color indexed="81"/>
            <rFont val="Tahoma"/>
            <family val="2"/>
          </rPr>
          <t>d1</t>
        </r>
      </text>
    </comment>
    <comment ref="U1" authorId="0" shapeId="0" xr:uid="{BA3F76AA-EF70-4D64-8B65-7B6C89F81FC5}">
      <text>
        <r>
          <rPr>
            <b/>
            <sz val="9"/>
            <color indexed="81"/>
            <rFont val="Tahoma"/>
            <family val="2"/>
          </rPr>
          <t>d2</t>
        </r>
      </text>
    </comment>
    <comment ref="V1" authorId="0" shapeId="0" xr:uid="{05B22E0B-0574-425D-B281-B49FC2312F87}">
      <text>
        <r>
          <rPr>
            <b/>
            <sz val="9"/>
            <color indexed="81"/>
            <rFont val="Tahoma"/>
            <family val="2"/>
          </rPr>
          <t>d3</t>
        </r>
      </text>
    </comment>
    <comment ref="W1" authorId="0" shapeId="0" xr:uid="{F58E50CD-C3A2-4659-B76D-3E75683B758E}">
      <text>
        <r>
          <rPr>
            <b/>
            <sz val="9"/>
            <color indexed="81"/>
            <rFont val="Tahoma"/>
            <family val="2"/>
          </rPr>
          <t>rho1</t>
        </r>
      </text>
    </comment>
    <comment ref="Y1" authorId="0" shapeId="0" xr:uid="{19677F17-1911-4564-9A72-1BECAB0E9605}">
      <text>
        <r>
          <rPr>
            <b/>
            <sz val="9"/>
            <color indexed="81"/>
            <rFont val="Tahoma"/>
            <family val="2"/>
          </rPr>
          <t>mean line</t>
        </r>
      </text>
    </comment>
    <comment ref="AA1" authorId="0" shapeId="0" xr:uid="{28AAF63C-A05D-45E5-A361-417A83CFF8DD}">
      <text>
        <r>
          <rPr>
            <b/>
            <sz val="9"/>
            <color indexed="81"/>
            <rFont val="Tahoma"/>
            <family val="2"/>
          </rPr>
          <t>alpha</t>
        </r>
      </text>
    </comment>
    <comment ref="AB1" authorId="0" shapeId="0" xr:uid="{DE6460DB-188A-4796-B424-A12D58CC21EC}">
      <text>
        <r>
          <rPr>
            <b/>
            <sz val="9"/>
            <color indexed="81"/>
            <rFont val="Tahoma"/>
            <family val="2"/>
          </rPr>
          <t>phi</t>
        </r>
      </text>
    </comment>
    <comment ref="AC1" authorId="0" shapeId="0" xr:uid="{AFF6A872-29E7-4E3A-A0D3-71A7FA0408D0}">
      <text>
        <r>
          <rPr>
            <b/>
            <sz val="9"/>
            <color indexed="81"/>
            <rFont val="Tahoma"/>
            <family val="2"/>
          </rPr>
          <t>x(phi)</t>
        </r>
      </text>
    </comment>
    <comment ref="AD1" authorId="0" shapeId="0" xr:uid="{82514459-C2C4-4F91-867F-7CAB0A430383}">
      <text>
        <r>
          <rPr>
            <b/>
            <sz val="9"/>
            <color indexed="81"/>
            <rFont val="Tahoma"/>
            <family val="2"/>
          </rPr>
          <t>y(phi)</t>
        </r>
      </text>
    </comment>
    <comment ref="A2" authorId="0" shapeId="0" xr:uid="{9F6460B0-54AB-4E7B-98BE-3D37B11A682C}">
      <text>
        <r>
          <rPr>
            <b/>
            <sz val="9"/>
            <color indexed="81"/>
            <rFont val="Tahoma"/>
            <family val="2"/>
          </rPr>
          <t>p</t>
        </r>
      </text>
    </comment>
    <comment ref="AA2" authorId="0" shapeId="0" xr:uid="{90924714-3773-46B6-95CF-234EB80A195B}">
      <text>
        <r>
          <rPr>
            <b/>
            <sz val="9"/>
            <color indexed="81"/>
            <rFont val="Tahoma"/>
            <family val="2"/>
          </rPr>
          <t>leading-edge radius</t>
        </r>
      </text>
    </comment>
    <comment ref="A3" authorId="0" shapeId="0" xr:uid="{F0DBAB42-A5C5-4FC9-905D-B6561C062DED}">
      <text>
        <r>
          <rPr>
            <b/>
            <sz val="9"/>
            <color indexed="81"/>
            <rFont val="Tahoma"/>
            <family val="2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<sst xmlns="http://schemas.openxmlformats.org/spreadsheetml/2006/main" count="39" uniqueCount="19">
  <si>
    <t>Leading-Edge Radius</t>
  </si>
  <si>
    <t>Name</t>
  </si>
  <si>
    <t xml:space="preserve">Maximum Camber </t>
  </si>
  <si>
    <t>Position of  Camber</t>
  </si>
  <si>
    <t xml:space="preserve">Name </t>
  </si>
  <si>
    <t>Indication of Camber</t>
  </si>
  <si>
    <t>Position of Camber</t>
  </si>
  <si>
    <t>Position of Maximum Thickness</t>
  </si>
  <si>
    <t>Maximum Thickness</t>
  </si>
  <si>
    <t xml:space="preserve">Maximum Thickness </t>
  </si>
  <si>
    <t xml:space="preserve">Position of Camber </t>
  </si>
  <si>
    <t>Leading-edge Radius Index</t>
  </si>
  <si>
    <t>Trailing-Edge Angle</t>
  </si>
  <si>
    <t xml:space="preserve">Trailing-Edge Angle </t>
  </si>
  <si>
    <t>Maximum Camber</t>
  </si>
  <si>
    <t>Leading-edge Index</t>
  </si>
  <si>
    <t>BACK</t>
  </si>
  <si>
    <t xml:space="preserve">Position of  Camber </t>
  </si>
  <si>
    <t>Design Lift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</si>
</sst>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00"/>
    <numFmt numFmtId="165" formatCode="0.0000"/>
    <numFmt numFmtId="166" formatCode="0.000000"/>
    <numFmt numFmtId="167" formatCode="0.000"/>
    <numFmt numFmtId="168" formatCode="0.0"/>
    <numFmt numFmtId="169" formatCode="####\-##"/>
    <numFmt numFmtId="170" formatCode="&quot;NACA &quot;0000"/>
    <numFmt numFmtId="171" formatCode="&quot;NACA &quot;00000"/>
    <numFmt numFmtId="172" formatCode="&quot;NACA &quot;####\-##"/>
    <numFmt numFmtId="173" formatCode="0.00000"/>
    <numFmt numFmtId="174" formatCode="&quot;NACA 16-&quot;#000"/>
    <numFmt numFmtId="175" formatCode="0&quot;0%&quot;"/>
    <numFmt numFmtId="176" formatCode="#,##0.0\ _₫"/>
    <numFmt numFmtId="177" formatCode="0.0&quot;°&quot;"/>
  </numFmts>
  <fonts count="25" x14ac:knownFonts="1">
    <font>
      <sz val="11"/>
      <color theme="1"/>
      <name val="Aptos Narrow"/>
      <family val="2"/>
      <charset val="163"/>
      <scheme val="minor"/>
    </font>
    <font>
      <sz val="20"/>
      <color theme="1"/>
      <name val="Aptos Narrow"/>
      <family val="2"/>
      <charset val="163"/>
      <scheme val="minor"/>
    </font>
    <font>
      <b/>
      <sz val="20"/>
      <color indexed="81"/>
      <name val="Tahoma"/>
      <family val="2"/>
    </font>
    <font>
      <b/>
      <sz val="14"/>
      <color indexed="81"/>
      <name val="Tahoma"/>
      <family val="2"/>
    </font>
    <font>
      <b/>
      <sz val="16"/>
      <color indexed="81"/>
      <name val="Tahoma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theme="0"/>
      <name val="Calibri"/>
      <family val="2"/>
    </font>
    <font>
      <sz val="9"/>
      <color indexed="81"/>
      <name val="Tahoma"/>
      <family val="2"/>
    </font>
    <font>
      <sz val="8"/>
      <color rgb="FF000000"/>
      <name val="Segoe UI"/>
      <family val="2"/>
    </font>
    <font>
      <i/>
      <sz val="10"/>
      <color theme="2" tint="-9.9978637043366805E-2"/>
      <name val="Calibri"/>
      <family val="2"/>
    </font>
    <font>
      <b/>
      <sz val="9"/>
      <color indexed="81"/>
      <name val="Tahoma"/>
      <family val="2"/>
    </font>
    <font>
      <sz val="9"/>
      <color theme="1" tint="0.14999847407452621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  <font>
      <sz val="10"/>
      <color theme="0" tint="-4.9989318521683403E-2"/>
      <name val="Calibri"/>
      <family val="2"/>
    </font>
    <font>
      <sz val="9"/>
      <color theme="1"/>
      <name val="Calibri"/>
      <family val="2"/>
    </font>
    <font>
      <sz val="11"/>
      <color theme="1" tint="0.14999847407452621"/>
      <name val="Aptos Narrow"/>
      <family val="2"/>
      <charset val="163"/>
      <scheme val="minor"/>
    </font>
    <font>
      <sz val="8.6"/>
      <color theme="1" tint="0.14999847407452621"/>
      <name val="Calibri"/>
      <family val="2"/>
    </font>
    <font>
      <sz val="8.6"/>
      <color theme="1"/>
      <name val="Calibri"/>
      <family val="2"/>
    </font>
    <font>
      <sz val="8.6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  <font>
      <u/>
      <sz val="9"/>
      <color theme="0"/>
      <name val="Calibri"/>
      <family val="2"/>
    </font>
    <font>
      <sz val="9"/>
      <color theme="1"/>
      <name val="Aptos Narrow"/>
      <family val="2"/>
      <charset val="163"/>
      <scheme val="minor"/>
    </font>
    <font>
      <sz val="8.5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 tint="0.79998168889431442"/>
      </patternFill>
    </fill>
  </fills>
  <borders count="54">
    <border>
      <left/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2" tint="-0.499984740745262"/>
      </right>
      <top/>
      <bottom style="thin">
        <color indexed="64"/>
      </bottom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indexed="64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0.499984740745262"/>
      </left>
      <right style="thin">
        <color theme="1" tint="0.34998626667073579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 tint="4.9989318521683403E-2"/>
      </right>
      <top/>
      <bottom/>
      <diagonal/>
    </border>
    <border>
      <left/>
      <right style="thin">
        <color theme="1"/>
      </right>
      <top/>
      <bottom style="thin">
        <color theme="1" tint="4.9989318521683403E-2"/>
      </bottom>
      <diagonal/>
    </border>
    <border>
      <left style="thin">
        <color theme="1"/>
      </left>
      <right style="thin">
        <color theme="1"/>
      </right>
      <top/>
      <bottom style="thin">
        <color theme="1" tint="4.9989318521683403E-2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499984740745262"/>
      </bottom>
      <diagonal/>
    </border>
    <border>
      <left/>
      <right style="thin">
        <color theme="1" tint="0.34998626667073579"/>
      </right>
      <top/>
      <bottom style="thin">
        <color theme="1" tint="0.499984740745262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 tint="0.34998626667073579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 tint="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theme="2" tint="-0.499984740745262"/>
      </left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2" tint="-0.499984740745262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60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0" fillId="0" borderId="0" xfId="0" applyAlignment="1" applyProtection="1">
      <alignment horizontal="center"/>
      <protection hidden="1"/>
    </xf>
    <xf numFmtId="166" fontId="0" fillId="0" borderId="0" xfId="0" applyNumberFormat="1" applyProtection="1">
      <protection hidden="1"/>
    </xf>
    <xf numFmtId="0" fontId="0" fillId="0" borderId="0" xfId="0" applyProtection="1">
      <protection hidden="1"/>
    </xf>
    <xf numFmtId="165" fontId="0" fillId="0" borderId="0" xfId="0" applyNumberFormat="1" applyProtection="1">
      <protection hidden="1"/>
    </xf>
    <xf numFmtId="1" fontId="0" fillId="0" borderId="0" xfId="0" applyNumberFormat="1" applyAlignment="1" applyProtection="1">
      <alignment horizontal="center" vertical="center"/>
      <protection locked="0"/>
    </xf>
    <xf numFmtId="166" fontId="0" fillId="0" borderId="0" xfId="0" applyNumberFormat="1"/>
    <xf numFmtId="0" fontId="0" fillId="2" borderId="0" xfId="0" applyFill="1"/>
    <xf numFmtId="0" fontId="0" fillId="0" borderId="8" xfId="0" applyBorder="1"/>
    <xf numFmtId="0" fontId="0" fillId="0" borderId="0" xfId="0" applyProtection="1">
      <protection locked="0"/>
    </xf>
    <xf numFmtId="0" fontId="0" fillId="0" borderId="15" xfId="0" applyBorder="1"/>
    <xf numFmtId="0" fontId="0" fillId="0" borderId="1" xfId="0" applyBorder="1"/>
    <xf numFmtId="0" fontId="0" fillId="0" borderId="16" xfId="0" applyBorder="1"/>
    <xf numFmtId="0" fontId="0" fillId="0" borderId="17" xfId="0" applyBorder="1"/>
    <xf numFmtId="0" fontId="0" fillId="0" borderId="20" xfId="0" applyBorder="1"/>
    <xf numFmtId="1" fontId="0" fillId="0" borderId="0" xfId="0" applyNumberFormat="1" applyAlignment="1" applyProtection="1">
      <alignment horizontal="center" vertical="center"/>
      <protection hidden="1"/>
    </xf>
    <xf numFmtId="0" fontId="15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right"/>
    </xf>
    <xf numFmtId="0" fontId="0" fillId="0" borderId="26" xfId="0" applyBorder="1"/>
    <xf numFmtId="0" fontId="12" fillId="4" borderId="12" xfId="0" applyFont="1" applyFill="1" applyBorder="1" applyAlignment="1">
      <alignment horizontal="center" vertical="center"/>
    </xf>
    <xf numFmtId="169" fontId="13" fillId="0" borderId="29" xfId="0" applyNumberFormat="1" applyFont="1" applyBorder="1" applyAlignment="1">
      <alignment horizontal="left" vertical="center"/>
    </xf>
    <xf numFmtId="0" fontId="17" fillId="4" borderId="0" xfId="0" applyFont="1" applyFill="1"/>
    <xf numFmtId="0" fontId="17" fillId="4" borderId="31" xfId="0" applyFont="1" applyFill="1" applyBorder="1"/>
    <xf numFmtId="0" fontId="0" fillId="0" borderId="31" xfId="0" applyBorder="1"/>
    <xf numFmtId="2" fontId="12" fillId="4" borderId="11" xfId="0" applyNumberFormat="1" applyFont="1" applyFill="1" applyBorder="1" applyAlignment="1">
      <alignment horizontal="center" vertical="center"/>
    </xf>
    <xf numFmtId="2" fontId="12" fillId="4" borderId="12" xfId="0" applyNumberFormat="1" applyFont="1" applyFill="1" applyBorder="1" applyAlignment="1">
      <alignment horizontal="center" vertical="center"/>
    </xf>
    <xf numFmtId="2" fontId="12" fillId="4" borderId="7" xfId="0" applyNumberFormat="1" applyFont="1" applyFill="1" applyBorder="1" applyAlignment="1">
      <alignment horizontal="center" vertical="center"/>
    </xf>
    <xf numFmtId="2" fontId="0" fillId="0" borderId="0" xfId="0" applyNumberFormat="1" applyAlignment="1" applyProtection="1">
      <alignment horizontal="center"/>
      <protection hidden="1"/>
    </xf>
    <xf numFmtId="167" fontId="0" fillId="0" borderId="0" xfId="0" applyNumberFormat="1"/>
    <xf numFmtId="0" fontId="5" fillId="4" borderId="0" xfId="0" applyFont="1" applyFill="1" applyAlignment="1">
      <alignment horizontal="center" vertical="center" wrapText="1"/>
    </xf>
    <xf numFmtId="0" fontId="0" fillId="4" borderId="0" xfId="0" applyFill="1"/>
    <xf numFmtId="164" fontId="0" fillId="4" borderId="0" xfId="0" applyNumberFormat="1" applyFill="1"/>
    <xf numFmtId="0" fontId="0" fillId="4" borderId="0" xfId="0" applyFill="1" applyAlignment="1">
      <alignment horizontal="center" vertical="center"/>
    </xf>
    <xf numFmtId="164" fontId="0" fillId="4" borderId="1" xfId="0" applyNumberFormat="1" applyFill="1" applyBorder="1"/>
    <xf numFmtId="165" fontId="0" fillId="4" borderId="0" xfId="0" applyNumberFormat="1" applyFill="1"/>
    <xf numFmtId="0" fontId="0" fillId="4" borderId="6" xfId="0" applyFill="1" applyBorder="1"/>
    <xf numFmtId="0" fontId="10" fillId="4" borderId="0" xfId="0" applyFont="1" applyFill="1" applyAlignment="1">
      <alignment horizontal="right"/>
    </xf>
    <xf numFmtId="0" fontId="0" fillId="0" borderId="14" xfId="0" applyBorder="1"/>
    <xf numFmtId="165" fontId="0" fillId="0" borderId="14" xfId="0" applyNumberFormat="1" applyBorder="1"/>
    <xf numFmtId="0" fontId="0" fillId="0" borderId="6" xfId="0" applyBorder="1"/>
    <xf numFmtId="0" fontId="0" fillId="0" borderId="14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6" fillId="0" borderId="30" xfId="0" applyFont="1" applyBorder="1"/>
    <xf numFmtId="0" fontId="0" fillId="0" borderId="29" xfId="0" applyBorder="1"/>
    <xf numFmtId="0" fontId="7" fillId="4" borderId="34" xfId="0" applyFont="1" applyFill="1" applyBorder="1" applyAlignment="1" applyProtection="1">
      <alignment horizontal="center" vertical="center" wrapText="1"/>
      <protection hidden="1"/>
    </xf>
    <xf numFmtId="0" fontId="0" fillId="0" borderId="38" xfId="0" applyBorder="1"/>
    <xf numFmtId="165" fontId="16" fillId="4" borderId="40" xfId="0" applyNumberFormat="1" applyFont="1" applyFill="1" applyBorder="1" applyAlignment="1" applyProtection="1">
      <alignment horizontal="center" vertical="center"/>
      <protection hidden="1"/>
    </xf>
    <xf numFmtId="0" fontId="5" fillId="4" borderId="29" xfId="0" applyFont="1" applyFill="1" applyBorder="1" applyAlignment="1" applyProtection="1">
      <alignment horizontal="center" vertical="center" wrapText="1"/>
      <protection hidden="1"/>
    </xf>
    <xf numFmtId="0" fontId="16" fillId="4" borderId="35" xfId="0" applyFont="1" applyFill="1" applyBorder="1" applyAlignment="1" applyProtection="1">
      <alignment horizontal="center" vertical="center" wrapText="1"/>
      <protection hidden="1"/>
    </xf>
    <xf numFmtId="165" fontId="0" fillId="4" borderId="36" xfId="0" applyNumberFormat="1" applyFill="1" applyBorder="1" applyProtection="1">
      <protection hidden="1"/>
    </xf>
    <xf numFmtId="165" fontId="0" fillId="4" borderId="36" xfId="0" applyNumberFormat="1" applyFill="1" applyBorder="1" applyAlignment="1" applyProtection="1">
      <alignment horizontal="center" vertical="center"/>
      <protection hidden="1"/>
    </xf>
    <xf numFmtId="0" fontId="16" fillId="4" borderId="41" xfId="0" applyFont="1" applyFill="1" applyBorder="1" applyAlignment="1" applyProtection="1">
      <alignment horizontal="center" vertical="center" wrapText="1"/>
      <protection hidden="1"/>
    </xf>
    <xf numFmtId="165" fontId="16" fillId="4" borderId="43" xfId="0" applyNumberFormat="1" applyFont="1" applyFill="1" applyBorder="1" applyAlignment="1" applyProtection="1">
      <alignment horizontal="center" vertical="center"/>
      <protection hidden="1"/>
    </xf>
    <xf numFmtId="0" fontId="16" fillId="4" borderId="43" xfId="0" applyFont="1" applyFill="1" applyBorder="1" applyAlignment="1" applyProtection="1">
      <alignment horizontal="center" vertical="center" wrapText="1"/>
      <protection hidden="1"/>
    </xf>
    <xf numFmtId="0" fontId="0" fillId="6" borderId="0" xfId="0" applyFill="1"/>
    <xf numFmtId="0" fontId="18" fillId="4" borderId="9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9" fillId="4" borderId="37" xfId="0" applyFont="1" applyFill="1" applyBorder="1" applyAlignment="1" applyProtection="1">
      <alignment horizontal="center" vertical="center" wrapText="1"/>
      <protection hidden="1"/>
    </xf>
    <xf numFmtId="0" fontId="19" fillId="4" borderId="39" xfId="0" applyFont="1" applyFill="1" applyBorder="1" applyAlignment="1" applyProtection="1">
      <alignment horizontal="center" vertical="center" wrapText="1"/>
      <protection hidden="1"/>
    </xf>
    <xf numFmtId="0" fontId="18" fillId="4" borderId="42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 vertical="center" wrapText="1"/>
    </xf>
    <xf numFmtId="0" fontId="18" fillId="4" borderId="46" xfId="0" applyFont="1" applyFill="1" applyBorder="1" applyAlignment="1">
      <alignment horizontal="center" vertical="center" wrapText="1"/>
    </xf>
    <xf numFmtId="2" fontId="18" fillId="4" borderId="42" xfId="0" applyNumberFormat="1" applyFont="1" applyFill="1" applyBorder="1" applyAlignment="1">
      <alignment horizontal="center" vertical="center"/>
    </xf>
    <xf numFmtId="2" fontId="18" fillId="4" borderId="47" xfId="0" applyNumberFormat="1" applyFont="1" applyFill="1" applyBorder="1" applyAlignment="1">
      <alignment horizontal="center" vertical="center"/>
    </xf>
    <xf numFmtId="1" fontId="18" fillId="4" borderId="46" xfId="0" applyNumberFormat="1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2" fontId="18" fillId="4" borderId="41" xfId="0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5" xfId="0" applyFill="1" applyBorder="1"/>
    <xf numFmtId="0" fontId="5" fillId="4" borderId="35" xfId="0" applyFont="1" applyFill="1" applyBorder="1" applyAlignment="1">
      <alignment horizontal="center" vertical="center" wrapText="1"/>
    </xf>
    <xf numFmtId="0" fontId="0" fillId="4" borderId="48" xfId="0" applyFill="1" applyBorder="1"/>
    <xf numFmtId="0" fontId="0" fillId="4" borderId="46" xfId="0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165" fontId="0" fillId="0" borderId="45" xfId="0" applyNumberFormat="1" applyBorder="1"/>
    <xf numFmtId="165" fontId="0" fillId="0" borderId="48" xfId="0" applyNumberFormat="1" applyBorder="1"/>
    <xf numFmtId="0" fontId="16" fillId="4" borderId="45" xfId="0" applyFont="1" applyFill="1" applyBorder="1" applyAlignment="1" applyProtection="1">
      <alignment horizontal="center" vertical="center"/>
      <protection hidden="1"/>
    </xf>
    <xf numFmtId="0" fontId="0" fillId="0" borderId="45" xfId="0" applyBorder="1"/>
    <xf numFmtId="0" fontId="16" fillId="0" borderId="45" xfId="0" applyFont="1" applyBorder="1" applyAlignment="1" applyProtection="1">
      <alignment horizontal="center" vertical="center"/>
      <protection hidden="1"/>
    </xf>
    <xf numFmtId="0" fontId="0" fillId="0" borderId="35" xfId="0" applyBorder="1"/>
    <xf numFmtId="0" fontId="0" fillId="0" borderId="46" xfId="0" applyBorder="1"/>
    <xf numFmtId="0" fontId="0" fillId="0" borderId="48" xfId="0" applyBorder="1"/>
    <xf numFmtId="0" fontId="19" fillId="4" borderId="3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2" fontId="19" fillId="0" borderId="19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9" xfId="0" applyBorder="1"/>
    <xf numFmtId="0" fontId="17" fillId="4" borderId="35" xfId="0" applyFont="1" applyFill="1" applyBorder="1"/>
    <xf numFmtId="0" fontId="18" fillId="4" borderId="2" xfId="0" applyFont="1" applyFill="1" applyBorder="1" applyAlignment="1" applyProtection="1">
      <alignment horizontal="center" vertical="center" wrapText="1"/>
      <protection hidden="1"/>
    </xf>
    <xf numFmtId="2" fontId="18" fillId="4" borderId="2" xfId="0" applyNumberFormat="1" applyFont="1" applyFill="1" applyBorder="1" applyAlignment="1" applyProtection="1">
      <alignment horizontal="center" vertical="center"/>
      <protection hidden="1"/>
    </xf>
    <xf numFmtId="0" fontId="18" fillId="5" borderId="3" xfId="0" applyFont="1" applyFill="1" applyBorder="1" applyAlignment="1" applyProtection="1">
      <alignment horizontal="center" vertical="center" wrapText="1"/>
      <protection hidden="1"/>
    </xf>
    <xf numFmtId="2" fontId="18" fillId="5" borderId="3" xfId="0" applyNumberFormat="1" applyFont="1" applyFill="1" applyBorder="1" applyAlignment="1" applyProtection="1">
      <alignment horizontal="center" vertical="center"/>
      <protection hidden="1"/>
    </xf>
    <xf numFmtId="0" fontId="18" fillId="4" borderId="3" xfId="0" applyFont="1" applyFill="1" applyBorder="1" applyAlignment="1" applyProtection="1">
      <alignment horizontal="center" vertical="center" wrapText="1"/>
      <protection hidden="1"/>
    </xf>
    <xf numFmtId="2" fontId="18" fillId="4" borderId="3" xfId="0" applyNumberFormat="1" applyFont="1" applyFill="1" applyBorder="1" applyAlignment="1">
      <alignment horizontal="center" vertical="center"/>
    </xf>
    <xf numFmtId="0" fontId="0" fillId="0" borderId="50" xfId="0" applyBorder="1"/>
    <xf numFmtId="2" fontId="16" fillId="4" borderId="51" xfId="0" applyNumberFormat="1" applyFont="1" applyFill="1" applyBorder="1" applyAlignment="1" applyProtection="1">
      <alignment horizontal="center" vertical="center"/>
      <protection hidden="1"/>
    </xf>
    <xf numFmtId="165" fontId="0" fillId="4" borderId="29" xfId="0" applyNumberFormat="1" applyFill="1" applyBorder="1" applyProtection="1">
      <protection hidden="1"/>
    </xf>
    <xf numFmtId="2" fontId="16" fillId="4" borderId="14" xfId="0" applyNumberFormat="1" applyFont="1" applyFill="1" applyBorder="1" applyAlignment="1" applyProtection="1">
      <alignment horizontal="center" vertical="center"/>
      <protection hidden="1"/>
    </xf>
    <xf numFmtId="0" fontId="0" fillId="0" borderId="52" xfId="0" applyBorder="1"/>
    <xf numFmtId="173" fontId="0" fillId="0" borderId="0" xfId="0" applyNumberFormat="1" applyProtection="1">
      <protection hidden="1"/>
    </xf>
    <xf numFmtId="168" fontId="0" fillId="0" borderId="0" xfId="0" applyNumberFormat="1" applyAlignment="1" applyProtection="1">
      <alignment horizontal="center"/>
      <protection hidden="1"/>
    </xf>
    <xf numFmtId="168" fontId="0" fillId="0" borderId="0" xfId="0" applyNumberFormat="1" applyProtection="1">
      <protection hidden="1"/>
    </xf>
    <xf numFmtId="173" fontId="0" fillId="0" borderId="0" xfId="0" applyNumberFormat="1" applyAlignment="1">
      <alignment horizontal="center"/>
    </xf>
    <xf numFmtId="173" fontId="0" fillId="0" borderId="0" xfId="0" applyNumberFormat="1"/>
    <xf numFmtId="165" fontId="20" fillId="0" borderId="18" xfId="0" applyNumberFormat="1" applyFont="1" applyBorder="1" applyAlignment="1">
      <alignment horizontal="center" vertical="center"/>
    </xf>
    <xf numFmtId="172" fontId="15" fillId="3" borderId="25" xfId="0" applyNumberFormat="1" applyFont="1" applyFill="1" applyBorder="1" applyAlignment="1">
      <alignment horizontal="center" vertical="center"/>
    </xf>
    <xf numFmtId="1" fontId="0" fillId="0" borderId="0" xfId="0" applyNumberForma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right"/>
      <protection locked="0"/>
    </xf>
    <xf numFmtId="0" fontId="22" fillId="7" borderId="0" xfId="1" applyFont="1" applyFill="1" applyAlignment="1">
      <alignment horizontal="center" vertical="center"/>
    </xf>
    <xf numFmtId="0" fontId="22" fillId="7" borderId="0" xfId="1" applyFont="1" applyFill="1" applyAlignment="1" applyProtection="1">
      <alignment horizontal="center" vertical="center"/>
    </xf>
    <xf numFmtId="0" fontId="0" fillId="0" borderId="0" xfId="0" applyAlignment="1">
      <alignment horizontal="right"/>
    </xf>
    <xf numFmtId="168" fontId="0" fillId="0" borderId="0" xfId="0" applyNumberFormat="1"/>
    <xf numFmtId="0" fontId="2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75" fontId="16" fillId="0" borderId="0" xfId="0" applyNumberFormat="1" applyFont="1" applyAlignment="1">
      <alignment horizontal="center" vertical="center"/>
    </xf>
    <xf numFmtId="0" fontId="19" fillId="0" borderId="53" xfId="0" applyFont="1" applyBorder="1"/>
    <xf numFmtId="0" fontId="19" fillId="0" borderId="33" xfId="0" applyFont="1" applyBorder="1"/>
    <xf numFmtId="176" fontId="19" fillId="0" borderId="19" xfId="0" applyNumberFormat="1" applyFont="1" applyBorder="1" applyAlignment="1">
      <alignment horizontal="center" vertical="center"/>
    </xf>
    <xf numFmtId="0" fontId="6" fillId="0" borderId="0" xfId="0" applyFont="1"/>
    <xf numFmtId="165" fontId="24" fillId="0" borderId="18" xfId="0" applyNumberFormat="1" applyFont="1" applyBorder="1" applyAlignment="1">
      <alignment horizontal="center" vertical="center"/>
    </xf>
    <xf numFmtId="177" fontId="20" fillId="4" borderId="32" xfId="0" applyNumberFormat="1" applyFont="1" applyFill="1" applyBorder="1" applyAlignment="1">
      <alignment horizontal="center" vertical="center"/>
    </xf>
    <xf numFmtId="177" fontId="16" fillId="4" borderId="41" xfId="0" applyNumberFormat="1" applyFont="1" applyFill="1" applyBorder="1" applyAlignment="1" applyProtection="1">
      <alignment horizontal="center" vertical="center"/>
      <protection hidden="1"/>
    </xf>
    <xf numFmtId="177" fontId="16" fillId="4" borderId="44" xfId="0" applyNumberFormat="1" applyFont="1" applyFill="1" applyBorder="1" applyAlignment="1" applyProtection="1">
      <alignment horizontal="center" vertical="center"/>
      <protection hidden="1"/>
    </xf>
    <xf numFmtId="177" fontId="24" fillId="4" borderId="32" xfId="0" applyNumberFormat="1" applyFont="1" applyFill="1" applyBorder="1" applyAlignment="1">
      <alignment horizontal="center" vertical="center"/>
    </xf>
    <xf numFmtId="0" fontId="14" fillId="7" borderId="28" xfId="0" applyFont="1" applyFill="1" applyBorder="1" applyAlignment="1">
      <alignment horizontal="center" vertical="center"/>
    </xf>
    <xf numFmtId="174" fontId="14" fillId="7" borderId="27" xfId="0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172" fontId="14" fillId="7" borderId="27" xfId="0" applyNumberFormat="1" applyFont="1" applyFill="1" applyBorder="1" applyAlignment="1">
      <alignment horizontal="center" vertical="center"/>
    </xf>
    <xf numFmtId="171" fontId="15" fillId="7" borderId="25" xfId="0" applyNumberFormat="1" applyFont="1" applyFill="1" applyBorder="1" applyAlignment="1">
      <alignment horizontal="center" vertical="center"/>
    </xf>
    <xf numFmtId="0" fontId="14" fillId="8" borderId="4" xfId="0" applyFont="1" applyFill="1" applyBorder="1" applyAlignment="1" applyProtection="1">
      <alignment horizontal="center" vertical="center" wrapText="1"/>
      <protection hidden="1"/>
    </xf>
    <xf numFmtId="170" fontId="14" fillId="8" borderId="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51" xfId="0" applyBorder="1"/>
    <xf numFmtId="0" fontId="16" fillId="4" borderId="0" xfId="0" applyFont="1" applyFill="1" applyProtection="1">
      <protection hidden="1"/>
    </xf>
    <xf numFmtId="166" fontId="16" fillId="4" borderId="46" xfId="0" applyNumberFormat="1" applyFont="1" applyFill="1" applyBorder="1" applyAlignment="1" applyProtection="1">
      <alignment horizontal="center" vertical="center"/>
      <protection hidden="1"/>
    </xf>
    <xf numFmtId="166" fontId="16" fillId="0" borderId="46" xfId="0" applyNumberFormat="1" applyFont="1" applyBorder="1" applyAlignment="1" applyProtection="1">
      <alignment horizontal="center" vertical="center"/>
      <protection hidden="1"/>
    </xf>
    <xf numFmtId="0" fontId="16" fillId="0" borderId="0" xfId="0" applyFont="1" applyProtection="1">
      <protection hidden="1"/>
    </xf>
    <xf numFmtId="0" fontId="16" fillId="0" borderId="51" xfId="0" applyFont="1" applyBorder="1" applyProtection="1"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B4"/>
      <color rgb="FF0000FF"/>
      <color rgb="FFEAEAEA"/>
      <color rgb="FF0000CC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 b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NACA 4-Digit S</a:t>
            </a:r>
            <a:r>
              <a:rPr lang="en-GB" sz="1400" b="0" baseline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eries</a:t>
            </a:r>
            <a:endParaRPr lang="en-GB" sz="1400" b="0">
              <a:solidFill>
                <a:schemeClr val="bg2">
                  <a:lumMod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9933637181880877"/>
          <c:y val="8.584179258611983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1686019389207035E-2"/>
          <c:y val="9.591714566180766E-2"/>
          <c:w val="0.9707695430263783"/>
          <c:h val="0.82961665257579287"/>
        </c:manualLayout>
      </c:layout>
      <c:scatterChart>
        <c:scatterStyle val="smoothMarker"/>
        <c:varyColors val="0"/>
        <c:ser>
          <c:idx val="1"/>
          <c:order val="0"/>
          <c:tx>
            <c:v>Upper Camber</c:v>
          </c:tx>
          <c:spPr>
            <a:ln w="15875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Data1!$G$1:$G$500</c:f>
              <c:numCache>
                <c:formatCode>0.000000</c:formatCode>
                <c:ptCount val="500"/>
                <c:pt idx="0">
                  <c:v>0</c:v>
                </c:pt>
                <c:pt idx="1">
                  <c:v>-9.7881963364943896E-5</c:v>
                </c:pt>
                <c:pt idx="2">
                  <c:v>-1.8565257210828673E-4</c:v>
                </c:pt>
                <c:pt idx="3">
                  <c:v>-2.6330423388660693E-4</c:v>
                </c:pt>
                <c:pt idx="4">
                  <c:v>-3.3082945276532083E-4</c:v>
                </c:pt>
                <c:pt idx="5">
                  <c:v>-3.8822082937847052E-4</c:v>
                </c:pt>
                <c:pt idx="6">
                  <c:v>-4.3547106110834429E-4</c:v>
                </c:pt>
                <c:pt idx="7">
                  <c:v>-4.7257294227788873E-4</c:v>
                </c:pt>
                <c:pt idx="8">
                  <c:v>-4.9951936435885778E-4</c:v>
                </c:pt>
                <c:pt idx="9">
                  <c:v>-5.1630331619522893E-4</c:v>
                </c:pt>
                <c:pt idx="10">
                  <c:v>-5.2291788424158026E-4</c:v>
                </c:pt>
                <c:pt idx="11">
                  <c:v>-5.1935625281658853E-4</c:v>
                </c:pt>
                <c:pt idx="12">
                  <c:v>-5.0561170437152746E-4</c:v>
                </c:pt>
                <c:pt idx="13">
                  <c:v>-4.8167761977385053E-4</c:v>
                </c:pt>
                <c:pt idx="14">
                  <c:v>-4.4754747860566981E-4</c:v>
                </c:pt>
                <c:pt idx="15">
                  <c:v>-4.0321485947712558E-4</c:v>
                </c:pt>
                <c:pt idx="16">
                  <c:v>-3.4867344035487331E-4</c:v>
                </c:pt>
                <c:pt idx="17">
                  <c:v>-2.83916998904906E-4</c:v>
                </c:pt>
                <c:pt idx="18">
                  <c:v>-2.0893941285071238E-4</c:v>
                </c:pt>
                <c:pt idx="19">
                  <c:v>-1.2373466034548632E-4</c:v>
                </c:pt>
                <c:pt idx="20">
                  <c:v>-2.8296820359618047E-5</c:v>
                </c:pt>
                <c:pt idx="21">
                  <c:v>7.7379926917853486E-5</c:v>
                </c:pt>
                <c:pt idx="22">
                  <c:v>1.9330129966302822E-4</c:v>
                </c:pt>
                <c:pt idx="23">
                  <c:v>3.1947291398671867E-4</c:v>
                </c:pt>
                <c:pt idx="24">
                  <c:v>4.5590028348947839E-4</c:v>
                </c:pt>
                <c:pt idx="25">
                  <c:v>6.0258881880294888E-4</c:v>
                </c:pt>
                <c:pt idx="26">
                  <c:v>7.5954382711638417E-4</c:v>
                </c:pt>
                <c:pt idx="27">
                  <c:v>9.2677051169013118E-4</c:v>
                </c:pt>
                <c:pt idx="28">
                  <c:v>1.1042739713544069E-3</c:v>
                </c:pt>
                <c:pt idx="29">
                  <c:v>1.2920591999947277E-3</c:v>
                </c:pt>
                <c:pt idx="30">
                  <c:v>1.4901310860239774E-3</c:v>
                </c:pt>
                <c:pt idx="31">
                  <c:v>1.6984944118399281E-3</c:v>
                </c:pt>
                <c:pt idx="32">
                  <c:v>1.9171538532708481E-3</c:v>
                </c:pt>
                <c:pt idx="33">
                  <c:v>2.146113979006813E-3</c:v>
                </c:pt>
                <c:pt idx="34">
                  <c:v>2.3853792500180835E-3</c:v>
                </c:pt>
                <c:pt idx="35">
                  <c:v>2.6349540189606925E-3</c:v>
                </c:pt>
                <c:pt idx="36">
                  <c:v>2.8948425295693965E-3</c:v>
                </c:pt>
                <c:pt idx="37">
                  <c:v>3.1650489160375077E-3</c:v>
                </c:pt>
                <c:pt idx="38">
                  <c:v>3.445577202384384E-3</c:v>
                </c:pt>
                <c:pt idx="39">
                  <c:v>3.7364313018107527E-3</c:v>
                </c:pt>
                <c:pt idx="40">
                  <c:v>4.0376150160416372E-3</c:v>
                </c:pt>
                <c:pt idx="41">
                  <c:v>4.34913203465743E-3</c:v>
                </c:pt>
                <c:pt idx="42">
                  <c:v>4.6709859344128222E-3</c:v>
                </c:pt>
                <c:pt idx="43">
                  <c:v>5.0031801785442353E-3</c:v>
                </c:pt>
                <c:pt idx="44">
                  <c:v>5.3457181160659695E-3</c:v>
                </c:pt>
                <c:pt idx="45">
                  <c:v>5.6986029810547146E-3</c:v>
                </c:pt>
                <c:pt idx="46">
                  <c:v>6.0618378919231591E-3</c:v>
                </c:pt>
                <c:pt idx="47">
                  <c:v>6.435425850682225E-3</c:v>
                </c:pt>
                <c:pt idx="48">
                  <c:v>6.8193697421935094E-3</c:v>
                </c:pt>
                <c:pt idx="49">
                  <c:v>7.2136723334099697E-3</c:v>
                </c:pt>
                <c:pt idx="50">
                  <c:v>7.6183362726073671E-3</c:v>
                </c:pt>
                <c:pt idx="51">
                  <c:v>8.0333640886048295E-3</c:v>
                </c:pt>
                <c:pt idx="52">
                  <c:v>8.4587581899760525E-3</c:v>
                </c:pt>
                <c:pt idx="53">
                  <c:v>8.8945208642505092E-3</c:v>
                </c:pt>
                <c:pt idx="54">
                  <c:v>9.3406542771047787E-3</c:v>
                </c:pt>
                <c:pt idx="55">
                  <c:v>9.797160471545838E-3</c:v>
                </c:pt>
                <c:pt idx="56">
                  <c:v>1.0264041367083809E-2</c:v>
                </c:pt>
                <c:pt idx="57">
                  <c:v>1.0741298758897169E-2</c:v>
                </c:pt>
                <c:pt idx="58">
                  <c:v>1.1228934316988497E-2</c:v>
                </c:pt>
                <c:pt idx="59">
                  <c:v>1.1726949585332377E-2</c:v>
                </c:pt>
                <c:pt idx="60">
                  <c:v>1.2235345981015232E-2</c:v>
                </c:pt>
                <c:pt idx="61">
                  <c:v>1.2754124793366777E-2</c:v>
                </c:pt>
                <c:pt idx="62">
                  <c:v>1.3283287183084582E-2</c:v>
                </c:pt>
                <c:pt idx="63">
                  <c:v>1.3822834181350788E-2</c:v>
                </c:pt>
                <c:pt idx="64">
                  <c:v>1.4372766688941489E-2</c:v>
                </c:pt>
                <c:pt idx="65">
                  <c:v>1.493308547533035E-2</c:v>
                </c:pt>
                <c:pt idx="66">
                  <c:v>1.5503791177784096E-2</c:v>
                </c:pt>
                <c:pt idx="67">
                  <c:v>1.6084884300452771E-2</c:v>
                </c:pt>
                <c:pt idx="68">
                  <c:v>1.6676365213453677E-2</c:v>
                </c:pt>
                <c:pt idx="69">
                  <c:v>1.7278234151949005E-2</c:v>
                </c:pt>
                <c:pt idx="70">
                  <c:v>1.7890491215218889E-2</c:v>
                </c:pt>
                <c:pt idx="71">
                  <c:v>1.8513136365727691E-2</c:v>
                </c:pt>
                <c:pt idx="72">
                  <c:v>1.9146169428187133E-2</c:v>
                </c:pt>
                <c:pt idx="73">
                  <c:v>1.9789590088612825E-2</c:v>
                </c:pt>
                <c:pt idx="74">
                  <c:v>2.0443397893377974E-2</c:v>
                </c:pt>
                <c:pt idx="75">
                  <c:v>2.1107592248261663E-2</c:v>
                </c:pt>
                <c:pt idx="76">
                  <c:v>2.1782172417493553E-2</c:v>
                </c:pt>
                <c:pt idx="77">
                  <c:v>2.2467137522795937E-2</c:v>
                </c:pt>
                <c:pt idx="78">
                  <c:v>2.3162486542420566E-2</c:v>
                </c:pt>
                <c:pt idx="79">
                  <c:v>2.3868218310184406E-2</c:v>
                </c:pt>
                <c:pt idx="80">
                  <c:v>2.4584331514501036E-2</c:v>
                </c:pt>
                <c:pt idx="81">
                  <c:v>2.5310824697410673E-2</c:v>
                </c:pt>
                <c:pt idx="82">
                  <c:v>2.6047696253607408E-2</c:v>
                </c:pt>
                <c:pt idx="83">
                  <c:v>2.6794944429464743E-2</c:v>
                </c:pt>
                <c:pt idx="84">
                  <c:v>2.7552567322059553E-2</c:v>
                </c:pt>
                <c:pt idx="85">
                  <c:v>2.8320562878194497E-2</c:v>
                </c:pt>
                <c:pt idx="86">
                  <c:v>2.9098928893420001E-2</c:v>
                </c:pt>
                <c:pt idx="87">
                  <c:v>2.9887663011054763E-2</c:v>
                </c:pt>
                <c:pt idx="88">
                  <c:v>3.0686762721206504E-2</c:v>
                </c:pt>
                <c:pt idx="89">
                  <c:v>3.1496225359792365E-2</c:v>
                </c:pt>
                <c:pt idx="90">
                  <c:v>3.2316048107559059E-2</c:v>
                </c:pt>
                <c:pt idx="91">
                  <c:v>3.3146227989104368E-2</c:v>
                </c:pt>
                <c:pt idx="92">
                  <c:v>3.3986761871899078E-2</c:v>
                </c:pt>
                <c:pt idx="93">
                  <c:v>3.4837646465309416E-2</c:v>
                </c:pt>
                <c:pt idx="94">
                  <c:v>3.5698878319621756E-2</c:v>
                </c:pt>
                <c:pt idx="95">
                  <c:v>3.6570453825068835E-2</c:v>
                </c:pt>
                <c:pt idx="96">
                  <c:v>3.7452369210857372E-2</c:v>
                </c:pt>
                <c:pt idx="97">
                  <c:v>3.8344620544198606E-2</c:v>
                </c:pt>
                <c:pt idx="98">
                  <c:v>3.9247203729341762E-2</c:v>
                </c:pt>
                <c:pt idx="99">
                  <c:v>4.016011450660939E-2</c:v>
                </c:pt>
                <c:pt idx="100">
                  <c:v>4.1083348451436734E-2</c:v>
                </c:pt>
                <c:pt idx="101">
                  <c:v>4.2016900973414491E-2</c:v>
                </c:pt>
                <c:pt idx="102">
                  <c:v>4.2960767315335401E-2</c:v>
                </c:pt>
                <c:pt idx="103">
                  <c:v>4.3914942552245026E-2</c:v>
                </c:pt>
                <c:pt idx="104">
                  <c:v>4.4879421590496682E-2</c:v>
                </c:pt>
                <c:pt idx="105">
                  <c:v>4.585419916681148E-2</c:v>
                </c:pt>
                <c:pt idx="106">
                  <c:v>4.6839269847343407E-2</c:v>
                </c:pt>
                <c:pt idx="107">
                  <c:v>4.7834628026749454E-2</c:v>
                </c:pt>
                <c:pt idx="108">
                  <c:v>4.8840267927266243E-2</c:v>
                </c:pt>
                <c:pt idx="109">
                  <c:v>4.9856183597791148E-2</c:v>
                </c:pt>
                <c:pt idx="110">
                  <c:v>5.0882368912971584E-2</c:v>
                </c:pt>
                <c:pt idx="111">
                  <c:v>5.1918817572298867E-2</c:v>
                </c:pt>
                <c:pt idx="112">
                  <c:v>5.2965523099211029E-2</c:v>
                </c:pt>
                <c:pt idx="113">
                  <c:v>5.4022478840200991E-2</c:v>
                </c:pt>
                <c:pt idx="114">
                  <c:v>5.5089677963933333E-2</c:v>
                </c:pt>
                <c:pt idx="115">
                  <c:v>5.6167113460368373E-2</c:v>
                </c:pt>
                <c:pt idx="116">
                  <c:v>5.725477813989472E-2</c:v>
                </c:pt>
                <c:pt idx="117">
                  <c:v>5.8352664632469561E-2</c:v>
                </c:pt>
                <c:pt idx="118">
                  <c:v>5.9460765386768019E-2</c:v>
                </c:pt>
                <c:pt idx="119">
                  <c:v>6.0579072669341816E-2</c:v>
                </c:pt>
                <c:pt idx="120">
                  <c:v>6.1707578563786468E-2</c:v>
                </c:pt>
                <c:pt idx="121">
                  <c:v>6.2846274969918361E-2</c:v>
                </c:pt>
                <c:pt idx="122">
                  <c:v>6.3995153602961444E-2</c:v>
                </c:pt>
                <c:pt idx="123">
                  <c:v>6.5154205992744546E-2</c:v>
                </c:pt>
                <c:pt idx="124">
                  <c:v>6.632342348290865E-2</c:v>
                </c:pt>
                <c:pt idx="125">
                  <c:v>6.750279723012477E-2</c:v>
                </c:pt>
                <c:pt idx="126">
                  <c:v>6.8692318203322847E-2</c:v>
                </c:pt>
                <c:pt idx="127">
                  <c:v>6.9891977182932288E-2</c:v>
                </c:pt>
                <c:pt idx="128">
                  <c:v>7.1101764760133218E-2</c:v>
                </c:pt>
                <c:pt idx="129">
                  <c:v>7.2321671336120261E-2</c:v>
                </c:pt>
                <c:pt idx="130">
                  <c:v>7.3551687121377995E-2</c:v>
                </c:pt>
                <c:pt idx="131">
                  <c:v>7.479180213496861E-2</c:v>
                </c:pt>
                <c:pt idx="132">
                  <c:v>7.6042006203832072E-2</c:v>
                </c:pt>
                <c:pt idx="133">
                  <c:v>7.7302288962099938E-2</c:v>
                </c:pt>
                <c:pt idx="134">
                  <c:v>7.8572639850421025E-2</c:v>
                </c:pt>
                <c:pt idx="135">
                  <c:v>7.9853048115301362E-2</c:v>
                </c:pt>
                <c:pt idx="136">
                  <c:v>8.1143502808457293E-2</c:v>
                </c:pt>
                <c:pt idx="137">
                  <c:v>8.2443992786182405E-2</c:v>
                </c:pt>
                <c:pt idx="138">
                  <c:v>8.3754506708729179E-2</c:v>
                </c:pt>
                <c:pt idx="139">
                  <c:v>8.5075033039703749E-2</c:v>
                </c:pt>
                <c:pt idx="140">
                  <c:v>8.6405560045476712E-2</c:v>
                </c:pt>
                <c:pt idx="141">
                  <c:v>8.7746075794607553E-2</c:v>
                </c:pt>
                <c:pt idx="142">
                  <c:v>8.909656815728477E-2</c:v>
                </c:pt>
                <c:pt idx="143">
                  <c:v>9.0457024804780739E-2</c:v>
                </c:pt>
                <c:pt idx="144">
                  <c:v>9.1827433208923143E-2</c:v>
                </c:pt>
                <c:pt idx="145">
                  <c:v>9.3207780641580806E-2</c:v>
                </c:pt>
                <c:pt idx="146">
                  <c:v>9.4598054174166168E-2</c:v>
                </c:pt>
                <c:pt idx="147">
                  <c:v>9.5998240677154331E-2</c:v>
                </c:pt>
                <c:pt idx="148">
                  <c:v>9.7408326819617225E-2</c:v>
                </c:pt>
                <c:pt idx="149">
                  <c:v>9.8828299068775771E-2</c:v>
                </c:pt>
                <c:pt idx="150">
                  <c:v>0.10025814368956795</c:v>
                </c:pt>
                <c:pt idx="151">
                  <c:v>0.10169784674423403</c:v>
                </c:pt>
                <c:pt idx="152">
                  <c:v>0.10314739409191905</c:v>
                </c:pt>
                <c:pt idx="153">
                  <c:v>0.1046067713882928</c:v>
                </c:pt>
                <c:pt idx="154">
                  <c:v>0.10607596408518717</c:v>
                </c:pt>
                <c:pt idx="155">
                  <c:v>0.10755495743025134</c:v>
                </c:pt>
                <c:pt idx="156">
                  <c:v>0.10904373646662471</c:v>
                </c:pt>
                <c:pt idx="157">
                  <c:v>0.11054228603262833</c:v>
                </c:pt>
                <c:pt idx="158">
                  <c:v>0.11205059076147394</c:v>
                </c:pt>
                <c:pt idx="159">
                  <c:v>0.11356863508099255</c:v>
                </c:pt>
                <c:pt idx="160">
                  <c:v>0.11509640321337999</c:v>
                </c:pt>
                <c:pt idx="161">
                  <c:v>0.11663387917496294</c:v>
                </c:pt>
                <c:pt idx="162">
                  <c:v>0.11818104677598285</c:v>
                </c:pt>
                <c:pt idx="163">
                  <c:v>0.11973788962039845</c:v>
                </c:pt>
                <c:pt idx="164">
                  <c:v>0.12130439110570949</c:v>
                </c:pt>
                <c:pt idx="165">
                  <c:v>0.12288053442279677</c:v>
                </c:pt>
                <c:pt idx="166">
                  <c:v>0.12446630255578472</c:v>
                </c:pt>
                <c:pt idx="167">
                  <c:v>0.1260616782819213</c:v>
                </c:pt>
                <c:pt idx="168">
                  <c:v>0.12766664417147885</c:v>
                </c:pt>
                <c:pt idx="169">
                  <c:v>0.1292811825876741</c:v>
                </c:pt>
                <c:pt idx="170">
                  <c:v>0.13090527568660831</c:v>
                </c:pt>
                <c:pt idx="171">
                  <c:v>0.13253890541722796</c:v>
                </c:pt>
                <c:pt idx="172">
                  <c:v>0.13418205352130486</c:v>
                </c:pt>
                <c:pt idx="173">
                  <c:v>0.13583470153343669</c:v>
                </c:pt>
                <c:pt idx="174">
                  <c:v>0.13749683078106803</c:v>
                </c:pt>
                <c:pt idx="175">
                  <c:v>0.13916842238453198</c:v>
                </c:pt>
                <c:pt idx="176">
                  <c:v>0.14084945725711173</c:v>
                </c:pt>
                <c:pt idx="177">
                  <c:v>0.14253991610512323</c:v>
                </c:pt>
                <c:pt idx="178">
                  <c:v>0.14423977942801808</c:v>
                </c:pt>
                <c:pt idx="179">
                  <c:v>0.14594902751850761</c:v>
                </c:pt>
                <c:pt idx="180">
                  <c:v>0.14766764046270706</c:v>
                </c:pt>
                <c:pt idx="181">
                  <c:v>0.14939559814030146</c:v>
                </c:pt>
                <c:pt idx="182">
                  <c:v>0.15113288022473159</c:v>
                </c:pt>
                <c:pt idx="183">
                  <c:v>0.15287946618340129</c:v>
                </c:pt>
                <c:pt idx="184">
                  <c:v>0.15463533527790502</c:v>
                </c:pt>
                <c:pt idx="185">
                  <c:v>0.15640046656427795</c:v>
                </c:pt>
                <c:pt idx="186">
                  <c:v>0.15817483889326495</c:v>
                </c:pt>
                <c:pt idx="187">
                  <c:v>0.15995843091061249</c:v>
                </c:pt>
                <c:pt idx="188">
                  <c:v>0.16175122105738032</c:v>
                </c:pt>
                <c:pt idx="189">
                  <c:v>0.16355318757027479</c:v>
                </c:pt>
                <c:pt idx="190">
                  <c:v>0.16536430848200312</c:v>
                </c:pt>
                <c:pt idx="191">
                  <c:v>0.16718456162164841</c:v>
                </c:pt>
                <c:pt idx="192">
                  <c:v>0.16901392461506601</c:v>
                </c:pt>
                <c:pt idx="193">
                  <c:v>0.17085237488530108</c:v>
                </c:pt>
                <c:pt idx="194">
                  <c:v>0.1726998896530263</c:v>
                </c:pt>
                <c:pt idx="195">
                  <c:v>0.17455644593700143</c:v>
                </c:pt>
                <c:pt idx="196">
                  <c:v>0.17642202055455358</c:v>
                </c:pt>
                <c:pt idx="197">
                  <c:v>0.17829659012207799</c:v>
                </c:pt>
                <c:pt idx="198">
                  <c:v>0.18018013105556011</c:v>
                </c:pt>
                <c:pt idx="199">
                  <c:v>0.18207261957111803</c:v>
                </c:pt>
                <c:pt idx="200">
                  <c:v>0.18397403168556656</c:v>
                </c:pt>
                <c:pt idx="201">
                  <c:v>0.18588434321700023</c:v>
                </c:pt>
                <c:pt idx="202">
                  <c:v>0.18780352978539927</c:v>
                </c:pt>
                <c:pt idx="203">
                  <c:v>0.18973156681325415</c:v>
                </c:pt>
                <c:pt idx="204">
                  <c:v>0.19166842952621113</c:v>
                </c:pt>
                <c:pt idx="205">
                  <c:v>0.19361409295373924</c:v>
                </c:pt>
                <c:pt idx="206">
                  <c:v>0.1955685319298153</c:v>
                </c:pt>
                <c:pt idx="207">
                  <c:v>0.1975317210936319</c:v>
                </c:pt>
                <c:pt idx="208">
                  <c:v>0.19950363489032322</c:v>
                </c:pt>
                <c:pt idx="209">
                  <c:v>0.2014842475717116</c:v>
                </c:pt>
                <c:pt idx="210">
                  <c:v>0.20347353319707467</c:v>
                </c:pt>
                <c:pt idx="211">
                  <c:v>0.20547146563393068</c:v>
                </c:pt>
                <c:pt idx="212">
                  <c:v>0.20747801855884518</c:v>
                </c:pt>
                <c:pt idx="213">
                  <c:v>0.20949316545825578</c:v>
                </c:pt>
                <c:pt idx="214">
                  <c:v>0.21151687962931703</c:v>
                </c:pt>
                <c:pt idx="215">
                  <c:v>0.21354913418076429</c:v>
                </c:pt>
                <c:pt idx="216">
                  <c:v>0.21558990203379666</c:v>
                </c:pt>
                <c:pt idx="217">
                  <c:v>0.2176391559229785</c:v>
                </c:pt>
                <c:pt idx="218">
                  <c:v>0.21969686839716063</c:v>
                </c:pt>
                <c:pt idx="219">
                  <c:v>0.22176301182041916</c:v>
                </c:pt>
                <c:pt idx="220">
                  <c:v>0.22383755837301275</c:v>
                </c:pt>
                <c:pt idx="221">
                  <c:v>0.22592048005235882</c:v>
                </c:pt>
                <c:pt idx="222">
                  <c:v>0.22801174867402718</c:v>
                </c:pt>
                <c:pt idx="223">
                  <c:v>0.23011133587275218</c:v>
                </c:pt>
                <c:pt idx="224">
                  <c:v>0.2322192131034613</c:v>
                </c:pt>
                <c:pt idx="225">
                  <c:v>0.23433535164232297</c:v>
                </c:pt>
                <c:pt idx="226">
                  <c:v>0.23645972258780981</c:v>
                </c:pt>
                <c:pt idx="227">
                  <c:v>0.2385922968617806</c:v>
                </c:pt>
                <c:pt idx="228">
                  <c:v>0.24073304521057765</c:v>
                </c:pt>
                <c:pt idx="229">
                  <c:v>0.24288193820614226</c:v>
                </c:pt>
                <c:pt idx="230">
                  <c:v>0.24503894624714539</c:v>
                </c:pt>
                <c:pt idx="231">
                  <c:v>0.24720403956013492</c:v>
                </c:pt>
                <c:pt idx="232">
                  <c:v>0.24937718820069926</c:v>
                </c:pt>
                <c:pt idx="233">
                  <c:v>0.25155836205464593</c:v>
                </c:pt>
                <c:pt idx="234">
                  <c:v>0.25374753083919643</c:v>
                </c:pt>
                <c:pt idx="235">
                  <c:v>0.25594466410419581</c:v>
                </c:pt>
                <c:pt idx="236">
                  <c:v>0.25814973123333723</c:v>
                </c:pt>
                <c:pt idx="237">
                  <c:v>0.26036270144540136</c:v>
                </c:pt>
                <c:pt idx="238">
                  <c:v>0.2625835437955103</c:v>
                </c:pt>
                <c:pt idx="239">
                  <c:v>0.26481222717639608</c:v>
                </c:pt>
                <c:pt idx="240">
                  <c:v>0.26704872031968169</c:v>
                </c:pt>
                <c:pt idx="241">
                  <c:v>0.26929299179717775</c:v>
                </c:pt>
                <c:pt idx="242">
                  <c:v>0.27154501002219056</c:v>
                </c:pt>
                <c:pt idx="243">
                  <c:v>0.2738047432508452</c:v>
                </c:pt>
                <c:pt idx="244">
                  <c:v>0.27607215958341957</c:v>
                </c:pt>
                <c:pt idx="245">
                  <c:v>0.27834722696569258</c:v>
                </c:pt>
                <c:pt idx="246">
                  <c:v>0.28062991319030295</c:v>
                </c:pt>
                <c:pt idx="247">
                  <c:v>0.28292018589812196</c:v>
                </c:pt>
                <c:pt idx="248">
                  <c:v>0.28521801257963508</c:v>
                </c:pt>
                <c:pt idx="249">
                  <c:v>0.28752336057633832</c:v>
                </c:pt>
                <c:pt idx="250">
                  <c:v>0.28983619708214209</c:v>
                </c:pt>
                <c:pt idx="251">
                  <c:v>0.29215648914478848</c:v>
                </c:pt>
                <c:pt idx="252">
                  <c:v>0.2944842036672774</c:v>
                </c:pt>
                <c:pt idx="253">
                  <c:v>0.29681930740930323</c:v>
                </c:pt>
                <c:pt idx="254">
                  <c:v>0.29916176698870151</c:v>
                </c:pt>
                <c:pt idx="255">
                  <c:v>0.30151154888290432</c:v>
                </c:pt>
                <c:pt idx="256">
                  <c:v>0.3038686194304055</c:v>
                </c:pt>
                <c:pt idx="257">
                  <c:v>0.30623294483223401</c:v>
                </c:pt>
                <c:pt idx="258">
                  <c:v>0.30860449115343591</c:v>
                </c:pt>
                <c:pt idx="259">
                  <c:v>0.31098322432456466</c:v>
                </c:pt>
                <c:pt idx="260">
                  <c:v>0.31336911014317892</c:v>
                </c:pt>
                <c:pt idx="261">
                  <c:v>0.31576211427534762</c:v>
                </c:pt>
                <c:pt idx="262">
                  <c:v>0.31816220225716241</c:v>
                </c:pt>
                <c:pt idx="263">
                  <c:v>0.32056933949625571</c:v>
                </c:pt>
                <c:pt idx="264">
                  <c:v>0.32298349127332771</c:v>
                </c:pt>
                <c:pt idx="265">
                  <c:v>0.3254046227436761</c:v>
                </c:pt>
                <c:pt idx="266">
                  <c:v>0.32783269893873362</c:v>
                </c:pt>
                <c:pt idx="267">
                  <c:v>0.33026768476761009</c:v>
                </c:pt>
                <c:pt idx="268">
                  <c:v>0.3327095450186397</c:v>
                </c:pt>
                <c:pt idx="269">
                  <c:v>0.33515824436093217</c:v>
                </c:pt>
                <c:pt idx="270">
                  <c:v>0.33761374734592919</c:v>
                </c:pt>
                <c:pt idx="271">
                  <c:v>0.3400760184089639</c:v>
                </c:pt>
                <c:pt idx="272">
                  <c:v>0.34254502187082375</c:v>
                </c:pt>
                <c:pt idx="273">
                  <c:v>0.34502072193931688</c:v>
                </c:pt>
                <c:pt idx="274">
                  <c:v>0.34750308271084135</c:v>
                </c:pt>
                <c:pt idx="275">
                  <c:v>0.34999206817195611</c:v>
                </c:pt>
                <c:pt idx="276">
                  <c:v>0.35248764220095458</c:v>
                </c:pt>
                <c:pt idx="277">
                  <c:v>0.35498976856943937</c:v>
                </c:pt>
                <c:pt idx="278">
                  <c:v>0.35749841094389895</c:v>
                </c:pt>
                <c:pt idx="279">
                  <c:v>0.36001353288728366</c:v>
                </c:pt>
                <c:pt idx="280">
                  <c:v>0.36253509786058452</c:v>
                </c:pt>
                <c:pt idx="281">
                  <c:v>0.36506306922441023</c:v>
                </c:pt>
                <c:pt idx="282">
                  <c:v>0.36759741024056486</c:v>
                </c:pt>
                <c:pt idx="283">
                  <c:v>0.37013808407362447</c:v>
                </c:pt>
                <c:pt idx="284">
                  <c:v>0.37268505379251304</c:v>
                </c:pt>
                <c:pt idx="285">
                  <c:v>0.37523828237207707</c:v>
                </c:pt>
                <c:pt idx="286">
                  <c:v>0.37779773269465844</c:v>
                </c:pt>
                <c:pt idx="287">
                  <c:v>0.38036336755166472</c:v>
                </c:pt>
                <c:pt idx="288">
                  <c:v>0.38293514964513764</c:v>
                </c:pt>
                <c:pt idx="289">
                  <c:v>0.3855130415893181</c:v>
                </c:pt>
                <c:pt idx="290">
                  <c:v>0.38809700591220825</c:v>
                </c:pt>
                <c:pt idx="291">
                  <c:v>0.39068700505713055</c:v>
                </c:pt>
                <c:pt idx="292">
                  <c:v>0.39328300138428157</c:v>
                </c:pt>
                <c:pt idx="293">
                  <c:v>0.39588495717228228</c:v>
                </c:pt>
                <c:pt idx="294">
                  <c:v>0.39849283461972435</c:v>
                </c:pt>
                <c:pt idx="295">
                  <c:v>0.40108405761773863</c:v>
                </c:pt>
                <c:pt idx="296">
                  <c:v>0.40365043155388347</c:v>
                </c:pt>
                <c:pt idx="297">
                  <c:v>0.40622267016333496</c:v>
                </c:pt>
                <c:pt idx="298">
                  <c:v>0.40880074267652983</c:v>
                </c:pt>
                <c:pt idx="299">
                  <c:v>0.41138461825992478</c:v>
                </c:pt>
                <c:pt idx="300">
                  <c:v>0.4139742660167543</c:v>
                </c:pt>
                <c:pt idx="301">
                  <c:v>0.41656965498778886</c:v>
                </c:pt>
                <c:pt idx="302">
                  <c:v>0.41917075415208577</c:v>
                </c:pt>
                <c:pt idx="303">
                  <c:v>0.42177753242773863</c:v>
                </c:pt>
                <c:pt idx="304">
                  <c:v>0.42438995867262147</c:v>
                </c:pt>
                <c:pt idx="305">
                  <c:v>0.42700800168512892</c:v>
                </c:pt>
                <c:pt idx="306">
                  <c:v>0.42963163020491246</c:v>
                </c:pt>
                <c:pt idx="307">
                  <c:v>0.43226081291361229</c:v>
                </c:pt>
                <c:pt idx="308">
                  <c:v>0.43489551843558344</c:v>
                </c:pt>
                <c:pt idx="309">
                  <c:v>0.43753571533861935</c:v>
                </c:pt>
                <c:pt idx="310">
                  <c:v>0.44018137213466757</c:v>
                </c:pt>
                <c:pt idx="311">
                  <c:v>0.44283245728054371</c:v>
                </c:pt>
                <c:pt idx="312">
                  <c:v>0.44548893917863797</c:v>
                </c:pt>
                <c:pt idx="313">
                  <c:v>0.44815078617761706</c:v>
                </c:pt>
                <c:pt idx="314">
                  <c:v>0.45081796657312134</c:v>
                </c:pt>
                <c:pt idx="315">
                  <c:v>0.45349044860845533</c:v>
                </c:pt>
                <c:pt idx="316">
                  <c:v>0.45616820047527351</c:v>
                </c:pt>
                <c:pt idx="317">
                  <c:v>0.45885119031426014</c:v>
                </c:pt>
                <c:pt idx="318">
                  <c:v>0.46153938621580304</c:v>
                </c:pt>
                <c:pt idx="319">
                  <c:v>0.46423275622066096</c:v>
                </c:pt>
                <c:pt idx="320">
                  <c:v>0.46693126832062642</c:v>
                </c:pt>
                <c:pt idx="321">
                  <c:v>0.46963489045917955</c:v>
                </c:pt>
                <c:pt idx="322">
                  <c:v>0.47234359053213887</c:v>
                </c:pt>
                <c:pt idx="323">
                  <c:v>0.47505733638830272</c:v>
                </c:pt>
                <c:pt idx="324">
                  <c:v>0.4777760958300859</c:v>
                </c:pt>
                <c:pt idx="325">
                  <c:v>0.48049983661414952</c:v>
                </c:pt>
                <c:pt idx="326">
                  <c:v>0.48322852645202252</c:v>
                </c:pt>
                <c:pt idx="327">
                  <c:v>0.48596213301071883</c:v>
                </c:pt>
                <c:pt idx="328">
                  <c:v>0.48870062391334446</c:v>
                </c:pt>
                <c:pt idx="329">
                  <c:v>0.49144396673970109</c:v>
                </c:pt>
                <c:pt idx="330">
                  <c:v>0.49419212902687881</c:v>
                </c:pt>
                <c:pt idx="331">
                  <c:v>0.49694507826984513</c:v>
                </c:pt>
                <c:pt idx="332">
                  <c:v>0.49970278192202311</c:v>
                </c:pt>
                <c:pt idx="333">
                  <c:v>0.50246520739586498</c:v>
                </c:pt>
                <c:pt idx="334">
                  <c:v>0.50523232206341684</c:v>
                </c:pt>
                <c:pt idx="335">
                  <c:v>0.50800409325687557</c:v>
                </c:pt>
                <c:pt idx="336">
                  <c:v>0.51078048826913891</c:v>
                </c:pt>
                <c:pt idx="337">
                  <c:v>0.51356147435434663</c:v>
                </c:pt>
                <c:pt idx="338">
                  <c:v>0.51634701872841549</c:v>
                </c:pt>
                <c:pt idx="339">
                  <c:v>0.51913708856956375</c:v>
                </c:pt>
                <c:pt idx="340">
                  <c:v>0.52193165101883077</c:v>
                </c:pt>
                <c:pt idx="341">
                  <c:v>0.52473067318058642</c:v>
                </c:pt>
                <c:pt idx="342">
                  <c:v>0.52753412212303252</c:v>
                </c:pt>
                <c:pt idx="343">
                  <c:v>0.53034196487869667</c:v>
                </c:pt>
                <c:pt idx="344">
                  <c:v>0.53315416844491803</c:v>
                </c:pt>
                <c:pt idx="345">
                  <c:v>0.53597069978432421</c:v>
                </c:pt>
                <c:pt idx="346">
                  <c:v>0.53879152582529954</c:v>
                </c:pt>
                <c:pt idx="347">
                  <c:v>0.54161661346244661</c:v>
                </c:pt>
                <c:pt idx="348">
                  <c:v>0.54444592955703652</c:v>
                </c:pt>
                <c:pt idx="349">
                  <c:v>0.54727944093745362</c:v>
                </c:pt>
                <c:pt idx="350">
                  <c:v>0.55011711439962896</c:v>
                </c:pt>
                <c:pt idx="351">
                  <c:v>0.55295891670746866</c:v>
                </c:pt>
                <c:pt idx="352">
                  <c:v>0.55580481459326925</c:v>
                </c:pt>
                <c:pt idx="353">
                  <c:v>0.55865477475812775</c:v>
                </c:pt>
                <c:pt idx="354">
                  <c:v>0.56150876387234216</c:v>
                </c:pt>
                <c:pt idx="355">
                  <c:v>0.56436674857580194</c:v>
                </c:pt>
                <c:pt idx="356">
                  <c:v>0.56722869547837262</c:v>
                </c:pt>
                <c:pt idx="357">
                  <c:v>0.57009457116026785</c:v>
                </c:pt>
                <c:pt idx="358">
                  <c:v>0.57296434217241676</c:v>
                </c:pt>
                <c:pt idx="359">
                  <c:v>0.575837975036818</c:v>
                </c:pt>
                <c:pt idx="360">
                  <c:v>0.57871543624689048</c:v>
                </c:pt>
                <c:pt idx="361">
                  <c:v>0.58159669226780952</c:v>
                </c:pt>
                <c:pt idx="362">
                  <c:v>0.58448170953683898</c:v>
                </c:pt>
                <c:pt idx="363">
                  <c:v>0.58737045446365144</c:v>
                </c:pt>
                <c:pt idx="364">
                  <c:v>0.59026289343064042</c:v>
                </c:pt>
                <c:pt idx="365">
                  <c:v>0.59315899279322593</c:v>
                </c:pt>
                <c:pt idx="366">
                  <c:v>0.59605871888014683</c:v>
                </c:pt>
                <c:pt idx="367">
                  <c:v>0.59896203799374892</c:v>
                </c:pt>
                <c:pt idx="368">
                  <c:v>0.60186891641026097</c:v>
                </c:pt>
                <c:pt idx="369">
                  <c:v>0.60477932038006432</c:v>
                </c:pt>
                <c:pt idx="370">
                  <c:v>0.60769321612795124</c:v>
                </c:pt>
                <c:pt idx="371">
                  <c:v>0.61061056985337825</c:v>
                </c:pt>
                <c:pt idx="372">
                  <c:v>0.61353134773070617</c:v>
                </c:pt>
                <c:pt idx="373">
                  <c:v>0.61645551590943559</c:v>
                </c:pt>
                <c:pt idx="374">
                  <c:v>0.61938304051443105</c:v>
                </c:pt>
                <c:pt idx="375">
                  <c:v>0.62231388764613771</c:v>
                </c:pt>
                <c:pt idx="376">
                  <c:v>0.62524802338079033</c:v>
                </c:pt>
                <c:pt idx="377">
                  <c:v>0.62818541377061088</c:v>
                </c:pt>
                <c:pt idx="378">
                  <c:v>0.63112602484400193</c:v>
                </c:pt>
                <c:pt idx="379">
                  <c:v>0.63406982260572697</c:v>
                </c:pt>
                <c:pt idx="380">
                  <c:v>0.63701677303708593</c:v>
                </c:pt>
                <c:pt idx="381">
                  <c:v>0.63996684209608123</c:v>
                </c:pt>
                <c:pt idx="382">
                  <c:v>0.64291999571757508</c:v>
                </c:pt>
                <c:pt idx="383">
                  <c:v>0.64587619981343891</c:v>
                </c:pt>
                <c:pt idx="384">
                  <c:v>0.64883542027269558</c:v>
                </c:pt>
                <c:pt idx="385">
                  <c:v>0.65179762296165145</c:v>
                </c:pt>
                <c:pt idx="386">
                  <c:v>0.65476277372402303</c:v>
                </c:pt>
                <c:pt idx="387">
                  <c:v>0.65773083838105384</c:v>
                </c:pt>
                <c:pt idx="388">
                  <c:v>0.66070178273162428</c:v>
                </c:pt>
                <c:pt idx="389">
                  <c:v>0.66367557255235365</c:v>
                </c:pt>
                <c:pt idx="390">
                  <c:v>0.66665217359769358</c:v>
                </c:pt>
                <c:pt idx="391">
                  <c:v>0.66963155160001664</c:v>
                </c:pt>
                <c:pt idx="392">
                  <c:v>0.67261367226969326</c:v>
                </c:pt>
                <c:pt idx="393">
                  <c:v>0.67559850129516552</c:v>
                </c:pt>
                <c:pt idx="394">
                  <c:v>0.6785860043430102</c:v>
                </c:pt>
                <c:pt idx="395">
                  <c:v>0.68157614705799774</c:v>
                </c:pt>
                <c:pt idx="396">
                  <c:v>0.68456889506314067</c:v>
                </c:pt>
                <c:pt idx="397">
                  <c:v>0.68756421395973799</c:v>
                </c:pt>
                <c:pt idx="398">
                  <c:v>0.69056206932741226</c:v>
                </c:pt>
                <c:pt idx="399">
                  <c:v>0.69356242672413737</c:v>
                </c:pt>
                <c:pt idx="400">
                  <c:v>0.6965652516862636</c:v>
                </c:pt>
                <c:pt idx="401">
                  <c:v>0.69957050972853196</c:v>
                </c:pt>
                <c:pt idx="402">
                  <c:v>0.70257816634408665</c:v>
                </c:pt>
                <c:pt idx="403">
                  <c:v>0.70558818700447667</c:v>
                </c:pt>
                <c:pt idx="404">
                  <c:v>0.70860053715965532</c:v>
                </c:pt>
                <c:pt idx="405">
                  <c:v>0.71161518223796971</c:v>
                </c:pt>
                <c:pt idx="406">
                  <c:v>0.71463208764614872</c:v>
                </c:pt>
                <c:pt idx="407">
                  <c:v>0.71765121876928128</c:v>
                </c:pt>
                <c:pt idx="408">
                  <c:v>0.72067254097079081</c:v>
                </c:pt>
                <c:pt idx="409">
                  <c:v>0.72369601959240515</c:v>
                </c:pt>
                <c:pt idx="410">
                  <c:v>0.72672161995411877</c:v>
                </c:pt>
                <c:pt idx="411">
                  <c:v>0.72974930735415167</c:v>
                </c:pt>
                <c:pt idx="412">
                  <c:v>0.73277904706890218</c:v>
                </c:pt>
                <c:pt idx="413">
                  <c:v>0.73581080435289592</c:v>
                </c:pt>
                <c:pt idx="414">
                  <c:v>0.73884454443872816</c:v>
                </c:pt>
                <c:pt idx="415">
                  <c:v>0.74188023253700464</c:v>
                </c:pt>
                <c:pt idx="416">
                  <c:v>0.74491783383627352</c:v>
                </c:pt>
                <c:pt idx="417">
                  <c:v>0.7479573135029578</c:v>
                </c:pt>
                <c:pt idx="418">
                  <c:v>0.7509986366812802</c:v>
                </c:pt>
                <c:pt idx="419">
                  <c:v>0.75404176849318594</c:v>
                </c:pt>
                <c:pt idx="420">
                  <c:v>0.75708667403826091</c:v>
                </c:pt>
                <c:pt idx="421">
                  <c:v>0.76013331839364551</c:v>
                </c:pt>
                <c:pt idx="422">
                  <c:v>0.76318166661394748</c:v>
                </c:pt>
                <c:pt idx="423">
                  <c:v>0.76623168373114836</c:v>
                </c:pt>
                <c:pt idx="424">
                  <c:v>0.76928333475451027</c:v>
                </c:pt>
                <c:pt idx="425">
                  <c:v>0.77233658467047528</c:v>
                </c:pt>
                <c:pt idx="426">
                  <c:v>0.77539139844256744</c:v>
                </c:pt>
                <c:pt idx="427">
                  <c:v>0.77844774101128733</c:v>
                </c:pt>
                <c:pt idx="428">
                  <c:v>0.78150557729400683</c:v>
                </c:pt>
                <c:pt idx="429">
                  <c:v>0.78456487218486248</c:v>
                </c:pt>
                <c:pt idx="430">
                  <c:v>0.78762559055464365</c:v>
                </c:pt>
                <c:pt idx="431">
                  <c:v>0.79068769725068255</c:v>
                </c:pt>
                <c:pt idx="432">
                  <c:v>0.79375115709673894</c:v>
                </c:pt>
                <c:pt idx="433">
                  <c:v>0.79681593489288771</c:v>
                </c:pt>
                <c:pt idx="434">
                  <c:v>0.7998819954154005</c:v>
                </c:pt>
                <c:pt idx="435">
                  <c:v>0.80294930341663051</c:v>
                </c:pt>
                <c:pt idx="436">
                  <c:v>0.80601782362489316</c:v>
                </c:pt>
                <c:pt idx="437">
                  <c:v>0.80908752074434864</c:v>
                </c:pt>
                <c:pt idx="438">
                  <c:v>0.81215835945488168</c:v>
                </c:pt>
                <c:pt idx="439">
                  <c:v>0.81523030441198319</c:v>
                </c:pt>
                <c:pt idx="440">
                  <c:v>0.81830332024663099</c:v>
                </c:pt>
                <c:pt idx="441">
                  <c:v>0.82137737156516977</c:v>
                </c:pt>
                <c:pt idx="442">
                  <c:v>0.82445242294919308</c:v>
                </c:pt>
                <c:pt idx="443">
                  <c:v>0.82752843895542449</c:v>
                </c:pt>
                <c:pt idx="444">
                  <c:v>0.83060538411560114</c:v>
                </c:pt>
                <c:pt idx="445">
                  <c:v>0.83368322293635511</c:v>
                </c:pt>
                <c:pt idx="446">
                  <c:v>0.83676191989910154</c:v>
                </c:pt>
                <c:pt idx="447">
                  <c:v>0.83984143945992074</c:v>
                </c:pt>
                <c:pt idx="448">
                  <c:v>0.84292174604944925</c:v>
                </c:pt>
                <c:pt idx="449">
                  <c:v>0.84600280407276773</c:v>
                </c:pt>
                <c:pt idx="450">
                  <c:v>0.84908457790929215</c:v>
                </c:pt>
                <c:pt idx="451">
                  <c:v>0.8521670319126694</c:v>
                </c:pt>
                <c:pt idx="452">
                  <c:v>0.85525013041067177</c:v>
                </c:pt>
                <c:pt idx="453">
                  <c:v>0.85833383770509686</c:v>
                </c:pt>
                <c:pt idx="454">
                  <c:v>0.86141811807166901</c:v>
                </c:pt>
                <c:pt idx="455">
                  <c:v>0.86450293575994519</c:v>
                </c:pt>
                <c:pt idx="456">
                  <c:v>0.8675882549932219</c:v>
                </c:pt>
                <c:pt idx="457">
                  <c:v>0.87067403996844839</c:v>
                </c:pt>
                <c:pt idx="458">
                  <c:v>0.87376025485614095</c:v>
                </c:pt>
                <c:pt idx="459">
                  <c:v>0.87684686380030408</c:v>
                </c:pt>
                <c:pt idx="460">
                  <c:v>0.87993383091835264</c:v>
                </c:pt>
                <c:pt idx="461">
                  <c:v>0.88302112030104074</c:v>
                </c:pt>
                <c:pt idx="462">
                  <c:v>0.88610869601239561</c:v>
                </c:pt>
                <c:pt idx="463">
                  <c:v>0.88919652208965227</c:v>
                </c:pt>
                <c:pt idx="464">
                  <c:v>0.89228456254320043</c:v>
                </c:pt>
                <c:pt idx="465">
                  <c:v>0.89537278135652831</c:v>
                </c:pt>
                <c:pt idx="466">
                  <c:v>0.89846114248617959</c:v>
                </c:pt>
                <c:pt idx="467">
                  <c:v>0.90154960986170951</c:v>
                </c:pt>
                <c:pt idx="468">
                  <c:v>0.90463814738565318</c:v>
                </c:pt>
                <c:pt idx="469">
                  <c:v>0.90772671893349366</c:v>
                </c:pt>
                <c:pt idx="470">
                  <c:v>0.91081528835364189</c:v>
                </c:pt>
                <c:pt idx="471">
                  <c:v>0.91390381946741972</c:v>
                </c:pt>
                <c:pt idx="472">
                  <c:v>0.9169922760690512</c:v>
                </c:pt>
                <c:pt idx="473">
                  <c:v>0.92008062192566042</c:v>
                </c:pt>
                <c:pt idx="474">
                  <c:v>0.92316882077727636</c:v>
                </c:pt>
                <c:pt idx="475">
                  <c:v>0.92625683633684663</c:v>
                </c:pt>
                <c:pt idx="476">
                  <c:v>0.92934463229025588</c:v>
                </c:pt>
                <c:pt idx="477">
                  <c:v>0.93243217229635544</c:v>
                </c:pt>
                <c:pt idx="478">
                  <c:v>0.93551941998699795</c:v>
                </c:pt>
                <c:pt idx="479">
                  <c:v>0.93860633896708323</c:v>
                </c:pt>
                <c:pt idx="480">
                  <c:v>0.94169289281460944</c:v>
                </c:pt>
                <c:pt idx="481">
                  <c:v>0.94477904508073585</c:v>
                </c:pt>
                <c:pt idx="482">
                  <c:v>0.94786475928985237</c:v>
                </c:pt>
                <c:pt idx="483">
                  <c:v>0.95094999893965904</c:v>
                </c:pt>
                <c:pt idx="484">
                  <c:v>0.95403472750125473</c:v>
                </c:pt>
                <c:pt idx="485">
                  <c:v>0.95711890841923519</c:v>
                </c:pt>
                <c:pt idx="486">
                  <c:v>0.9602025051118015</c:v>
                </c:pt>
                <c:pt idx="487">
                  <c:v>0.96328548097087618</c:v>
                </c:pt>
                <c:pt idx="488">
                  <c:v>0.96636779936223283</c:v>
                </c:pt>
                <c:pt idx="489">
                  <c:v>0.96944942362563202</c:v>
                </c:pt>
                <c:pt idx="490">
                  <c:v>0.9725303170749714</c:v>
                </c:pt>
                <c:pt idx="491">
                  <c:v>0.97561044299844379</c:v>
                </c:pt>
                <c:pt idx="492">
                  <c:v>0.97868976465870694</c:v>
                </c:pt>
                <c:pt idx="493">
                  <c:v>0.98176824529306539</c:v>
                </c:pt>
                <c:pt idx="494">
                  <c:v>0.98484584811366072</c:v>
                </c:pt>
                <c:pt idx="495">
                  <c:v>0.98792253630767712</c:v>
                </c:pt>
                <c:pt idx="496">
                  <c:v>0.99099827303755417</c:v>
                </c:pt>
                <c:pt idx="497">
                  <c:v>0.99407302144121534</c:v>
                </c:pt>
                <c:pt idx="498">
                  <c:v>0.99714674463230524</c:v>
                </c:pt>
                <c:pt idx="499">
                  <c:v>1.0002194057004412</c:v>
                </c:pt>
              </c:numCache>
            </c:numRef>
          </c:xVal>
          <c:yVal>
            <c:numRef>
              <c:f>Data1!$H$1:$H$500</c:f>
              <c:numCache>
                <c:formatCode>0.000000</c:formatCode>
                <c:ptCount val="500"/>
                <c:pt idx="0">
                  <c:v>0</c:v>
                </c:pt>
                <c:pt idx="1">
                  <c:v>6.8632874396027234E-4</c:v>
                </c:pt>
                <c:pt idx="2">
                  <c:v>1.3728466138222782E-3</c:v>
                </c:pt>
                <c:pt idx="3">
                  <c:v>2.05955253413561E-3</c:v>
                </c:pt>
                <c:pt idx="4">
                  <c:v>2.7464450975604412E-3</c:v>
                </c:pt>
                <c:pt idx="5">
                  <c:v>3.4335225647923809E-3</c:v>
                </c:pt>
                <c:pt idx="6">
                  <c:v>4.1207828645689042E-3</c:v>
                </c:pt>
                <c:pt idx="7">
                  <c:v>4.8082235936960632E-3</c:v>
                </c:pt>
                <c:pt idx="8">
                  <c:v>5.4958420171204829E-3</c:v>
                </c:pt>
                <c:pt idx="9">
                  <c:v>6.1836350680451084E-3</c:v>
                </c:pt>
                <c:pt idx="10">
                  <c:v>6.8715993480837467E-3</c:v>
                </c:pt>
                <c:pt idx="11">
                  <c:v>7.5597311274586548E-3</c:v>
                </c:pt>
                <c:pt idx="12">
                  <c:v>8.2480263452367614E-3</c:v>
                </c:pt>
                <c:pt idx="13">
                  <c:v>8.9364806096075382E-3</c:v>
                </c:pt>
                <c:pt idx="14">
                  <c:v>9.6250891982037623E-3</c:v>
                </c:pt>
                <c:pt idx="15">
                  <c:v>1.0313847058461669E-2</c:v>
                </c:pt>
                <c:pt idx="16">
                  <c:v>1.1002748808019129E-2</c:v>
                </c:pt>
                <c:pt idx="17">
                  <c:v>1.1691788735161501E-2</c:v>
                </c:pt>
                <c:pt idx="18">
                  <c:v>1.2380960799300044E-2</c:v>
                </c:pt>
                <c:pt idx="19">
                  <c:v>1.307025863149832E-2</c:v>
                </c:pt>
                <c:pt idx="20">
                  <c:v>1.3759675535032318E-2</c:v>
                </c:pt>
                <c:pt idx="21">
                  <c:v>1.4449204485996479E-2</c:v>
                </c:pt>
                <c:pt idx="22">
                  <c:v>1.5138838133946973E-2</c:v>
                </c:pt>
                <c:pt idx="23">
                  <c:v>1.582856880258654E-2</c:v>
                </c:pt>
                <c:pt idx="24">
                  <c:v>1.651838849048775E-2</c:v>
                </c:pt>
                <c:pt idx="25">
                  <c:v>1.7208288871859038E-2</c:v>
                </c:pt>
                <c:pt idx="26">
                  <c:v>1.7898261297346754E-2</c:v>
                </c:pt>
                <c:pt idx="27">
                  <c:v>1.8588296794881529E-2</c:v>
                </c:pt>
                <c:pt idx="28">
                  <c:v>1.9278386070560125E-2</c:v>
                </c:pt>
                <c:pt idx="29">
                  <c:v>1.9968519509568912E-2</c:v>
                </c:pt>
                <c:pt idx="30">
                  <c:v>2.0658687177147323E-2</c:v>
                </c:pt>
                <c:pt idx="31">
                  <c:v>2.1348878819586921E-2</c:v>
                </c:pt>
                <c:pt idx="32">
                  <c:v>2.2039083865274534E-2</c:v>
                </c:pt>
                <c:pt idx="33">
                  <c:v>2.2729291425770685E-2</c:v>
                </c:pt>
                <c:pt idx="34">
                  <c:v>2.3419490296927362E-2</c:v>
                </c:pt>
                <c:pt idx="35">
                  <c:v>2.4109668960044871E-2</c:v>
                </c:pt>
                <c:pt idx="36">
                  <c:v>2.4799815583067621E-2</c:v>
                </c:pt>
                <c:pt idx="37">
                  <c:v>2.5489918021816691E-2</c:v>
                </c:pt>
                <c:pt idx="38">
                  <c:v>2.6179963821261011E-2</c:v>
                </c:pt>
                <c:pt idx="39">
                  <c:v>2.6869940216826833E-2</c:v>
                </c:pt>
                <c:pt idx="40">
                  <c:v>2.7559834135744202E-2</c:v>
                </c:pt>
                <c:pt idx="41">
                  <c:v>2.8249632198431383E-2</c:v>
                </c:pt>
                <c:pt idx="42">
                  <c:v>2.8939320719915691E-2</c:v>
                </c:pt>
                <c:pt idx="43">
                  <c:v>2.9628885711291873E-2</c:v>
                </c:pt>
                <c:pt idx="44">
                  <c:v>3.031831288121763E-2</c:v>
                </c:pt>
                <c:pt idx="45">
                  <c:v>3.1007587637445114E-2</c:v>
                </c:pt>
                <c:pt idx="46">
                  <c:v>3.1696695088389008E-2</c:v>
                </c:pt>
                <c:pt idx="47">
                  <c:v>3.238562004473014E-2</c:v>
                </c:pt>
                <c:pt idx="48">
                  <c:v>3.3074347021056605E-2</c:v>
                </c:pt>
                <c:pt idx="49">
                  <c:v>3.3762860237538189E-2</c:v>
                </c:pt>
                <c:pt idx="50">
                  <c:v>3.4451143621638314E-2</c:v>
                </c:pt>
                <c:pt idx="51">
                  <c:v>3.5139180809859692E-2</c:v>
                </c:pt>
                <c:pt idx="52">
                  <c:v>3.5826955149525871E-2</c:v>
                </c:pt>
                <c:pt idx="53">
                  <c:v>3.6514449700596724E-2</c:v>
                </c:pt>
                <c:pt idx="54">
                  <c:v>3.7201647237517961E-2</c:v>
                </c:pt>
                <c:pt idx="55">
                  <c:v>3.7888530251106424E-2</c:v>
                </c:pt>
                <c:pt idx="56">
                  <c:v>3.8575080950466814E-2</c:v>
                </c:pt>
                <c:pt idx="57">
                  <c:v>3.9261281264944159E-2</c:v>
                </c:pt>
                <c:pt idx="58">
                  <c:v>3.994711284610792E-2</c:v>
                </c:pt>
                <c:pt idx="59">
                  <c:v>4.0632557069769822E-2</c:v>
                </c:pt>
                <c:pt idx="60">
                  <c:v>4.1317595038034588E-2</c:v>
                </c:pt>
                <c:pt idx="61">
                  <c:v>4.2002207581382095E-2</c:v>
                </c:pt>
                <c:pt idx="62">
                  <c:v>4.2686375260782568E-2</c:v>
                </c:pt>
                <c:pt idx="63">
                  <c:v>4.3370078369843121E-2</c:v>
                </c:pt>
                <c:pt idx="64">
                  <c:v>4.405329693698519E-2</c:v>
                </c:pt>
                <c:pt idx="65">
                  <c:v>4.4736010727654672E-2</c:v>
                </c:pt>
                <c:pt idx="66">
                  <c:v>4.5418199246560813E-2</c:v>
                </c:pt>
                <c:pt idx="67">
                  <c:v>4.6099841739947162E-2</c:v>
                </c:pt>
                <c:pt idx="68">
                  <c:v>4.6780917197892138E-2</c:v>
                </c:pt>
                <c:pt idx="69">
                  <c:v>4.7461404356638981E-2</c:v>
                </c:pt>
                <c:pt idx="70">
                  <c:v>4.8141281700956384E-2</c:v>
                </c:pt>
                <c:pt idx="71">
                  <c:v>4.8820527466526334E-2</c:v>
                </c:pt>
                <c:pt idx="72">
                  <c:v>4.949911964236306E-2</c:v>
                </c:pt>
                <c:pt idx="73">
                  <c:v>5.0177035973258212E-2</c:v>
                </c:pt>
                <c:pt idx="74">
                  <c:v>5.0854253962256062E-2</c:v>
                </c:pt>
                <c:pt idx="75">
                  <c:v>5.1530750873154826E-2</c:v>
                </c:pt>
                <c:pt idx="76">
                  <c:v>5.2206503733036008E-2</c:v>
                </c:pt>
                <c:pt idx="77">
                  <c:v>5.2881489334821563E-2</c:v>
                </c:pt>
                <c:pt idx="78">
                  <c:v>5.3555684239855697E-2</c:v>
                </c:pt>
                <c:pt idx="79">
                  <c:v>5.4229064780515132E-2</c:v>
                </c:pt>
                <c:pt idx="80">
                  <c:v>5.4901607062843395E-2</c:v>
                </c:pt>
                <c:pt idx="81">
                  <c:v>5.5573286969211877E-2</c:v>
                </c:pt>
                <c:pt idx="82">
                  <c:v>5.6244080161005294E-2</c:v>
                </c:pt>
                <c:pt idx="83">
                  <c:v>5.6913962081332002E-2</c:v>
                </c:pt>
                <c:pt idx="84">
                  <c:v>5.7582907957758812E-2</c:v>
                </c:pt>
                <c:pt idx="85">
                  <c:v>5.8250892805069274E-2</c:v>
                </c:pt>
                <c:pt idx="86">
                  <c:v>5.8917891428046279E-2</c:v>
                </c:pt>
                <c:pt idx="87">
                  <c:v>5.9583878424276662E-2</c:v>
                </c:pt>
                <c:pt idx="88">
                  <c:v>6.0248828186979506E-2</c:v>
                </c:pt>
                <c:pt idx="89">
                  <c:v>6.0912714907856366E-2</c:v>
                </c:pt>
                <c:pt idx="90">
                  <c:v>6.1575512579962827E-2</c:v>
                </c:pt>
                <c:pt idx="91">
                  <c:v>6.2237195000602499E-2</c:v>
                </c:pt>
                <c:pt idx="92">
                  <c:v>6.2897735774241598E-2</c:v>
                </c:pt>
                <c:pt idx="93">
                  <c:v>6.3557108315443672E-2</c:v>
                </c:pt>
                <c:pt idx="94">
                  <c:v>6.4215285851825274E-2</c:v>
                </c:pt>
                <c:pt idx="95">
                  <c:v>6.4872241427030963E-2</c:v>
                </c:pt>
                <c:pt idx="96">
                  <c:v>6.5527947903727693E-2</c:v>
                </c:pt>
                <c:pt idx="97">
                  <c:v>6.618237796661787E-2</c:v>
                </c:pt>
                <c:pt idx="98">
                  <c:v>6.6835504125471623E-2</c:v>
                </c:pt>
                <c:pt idx="99">
                  <c:v>6.748729871817595E-2</c:v>
                </c:pt>
                <c:pt idx="100">
                  <c:v>6.8137733913802206E-2</c:v>
                </c:pt>
                <c:pt idx="101">
                  <c:v>6.878678171569047E-2</c:v>
                </c:pt>
                <c:pt idx="102">
                  <c:v>6.9434413964550565E-2</c:v>
                </c:pt>
                <c:pt idx="103">
                  <c:v>7.0080602341579395E-2</c:v>
                </c:pt>
                <c:pt idx="104">
                  <c:v>7.0725318371593557E-2</c:v>
                </c:pt>
                <c:pt idx="105">
                  <c:v>7.1368533426177924E-2</c:v>
                </c:pt>
                <c:pt idx="106">
                  <c:v>7.2010218726848582E-2</c:v>
                </c:pt>
                <c:pt idx="107">
                  <c:v>7.2650345348230116E-2</c:v>
                </c:pt>
                <c:pt idx="108">
                  <c:v>7.3288884221247394E-2</c:v>
                </c:pt>
                <c:pt idx="109">
                  <c:v>7.392580613632968E-2</c:v>
                </c:pt>
                <c:pt idx="110">
                  <c:v>7.4561081746628954E-2</c:v>
                </c:pt>
                <c:pt idx="111">
                  <c:v>7.519468157124945E-2</c:v>
                </c:pt>
                <c:pt idx="112">
                  <c:v>7.5826575998490603E-2</c:v>
                </c:pt>
                <c:pt idx="113">
                  <c:v>7.6456735289100131E-2</c:v>
                </c:pt>
                <c:pt idx="114">
                  <c:v>7.7085129579539211E-2</c:v>
                </c:pt>
                <c:pt idx="115">
                  <c:v>7.771172888525768E-2</c:v>
                </c:pt>
                <c:pt idx="116">
                  <c:v>7.8336503103979591E-2</c:v>
                </c:pt>
                <c:pt idx="117">
                  <c:v>7.8959422018998249E-2</c:v>
                </c:pt>
                <c:pt idx="118">
                  <c:v>7.958045530248023E-2</c:v>
                </c:pt>
                <c:pt idx="119">
                  <c:v>8.0199572518778559E-2</c:v>
                </c:pt>
                <c:pt idx="120">
                  <c:v>8.0816743127753582E-2</c:v>
                </c:pt>
                <c:pt idx="121">
                  <c:v>8.1431936488101361E-2</c:v>
                </c:pt>
                <c:pt idx="122">
                  <c:v>8.2045121860689796E-2</c:v>
                </c:pt>
                <c:pt idx="123">
                  <c:v>8.2656268411900921E-2</c:v>
                </c:pt>
                <c:pt idx="124">
                  <c:v>8.3265345216979827E-2</c:v>
                </c:pt>
                <c:pt idx="125">
                  <c:v>8.3872321263388755E-2</c:v>
                </c:pt>
                <c:pt idx="126">
                  <c:v>8.4477165454166767E-2</c:v>
                </c:pt>
                <c:pt idx="127">
                  <c:v>8.5079846611294058E-2</c:v>
                </c:pt>
                <c:pt idx="128">
                  <c:v>8.5680333479060289E-2</c:v>
                </c:pt>
                <c:pt idx="129">
                  <c:v>8.6278594727436903E-2</c:v>
                </c:pt>
                <c:pt idx="130">
                  <c:v>8.6874598955452298E-2</c:v>
                </c:pt>
                <c:pt idx="131">
                  <c:v>8.7468314694569976E-2</c:v>
                </c:pt>
                <c:pt idx="132">
                  <c:v>8.805971041206874E-2</c:v>
                </c:pt>
                <c:pt idx="133">
                  <c:v>8.8648754514424735E-2</c:v>
                </c:pt>
                <c:pt idx="134">
                  <c:v>8.9235415350694416E-2</c:v>
                </c:pt>
                <c:pt idx="135">
                  <c:v>8.9819661215898516E-2</c:v>
                </c:pt>
                <c:pt idx="136">
                  <c:v>9.0401460354406035E-2</c:v>
                </c:pt>
                <c:pt idx="137">
                  <c:v>9.0980780963317812E-2</c:v>
                </c:pt>
                <c:pt idx="138">
                  <c:v>9.1557591195849594E-2</c:v>
                </c:pt>
                <c:pt idx="139">
                  <c:v>9.213185916471342E-2</c:v>
                </c:pt>
                <c:pt idx="140">
                  <c:v>9.2703552945497564E-2</c:v>
                </c:pt>
                <c:pt idx="141">
                  <c:v>9.3272640580043642E-2</c:v>
                </c:pt>
                <c:pt idx="142">
                  <c:v>9.3839090079821386E-2</c:v>
                </c:pt>
                <c:pt idx="143">
                  <c:v>9.4402869429299735E-2</c:v>
                </c:pt>
                <c:pt idx="144">
                  <c:v>9.4963946589314341E-2</c:v>
                </c:pt>
                <c:pt idx="145">
                  <c:v>9.5522289500430693E-2</c:v>
                </c:pt>
                <c:pt idx="146">
                  <c:v>9.6077866086301797E-2</c:v>
                </c:pt>
                <c:pt idx="147">
                  <c:v>9.6630644257021753E-2</c:v>
                </c:pt>
                <c:pt idx="148">
                  <c:v>9.7180591912472108E-2</c:v>
                </c:pt>
                <c:pt idx="149">
                  <c:v>9.7727676945662909E-2</c:v>
                </c:pt>
                <c:pt idx="150">
                  <c:v>9.827186724606625E-2</c:v>
                </c:pt>
                <c:pt idx="151">
                  <c:v>9.8813130702942828E-2</c:v>
                </c:pt>
                <c:pt idx="152">
                  <c:v>9.9351435208660382E-2</c:v>
                </c:pt>
                <c:pt idx="153">
                  <c:v>9.9886748662004143E-2</c:v>
                </c:pt>
                <c:pt idx="154">
                  <c:v>0.10041903897147801</c:v>
                </c:pt>
                <c:pt idx="155">
                  <c:v>0.10094827405859669</c:v>
                </c:pt>
                <c:pt idx="156">
                  <c:v>0.10147442186116795</c:v>
                </c:pt>
                <c:pt idx="157">
                  <c:v>0.10199745033656445</c:v>
                </c:pt>
                <c:pt idx="158">
                  <c:v>0.10251732746498464</c:v>
                </c:pt>
                <c:pt idx="159">
                  <c:v>0.10303402125270288</c:v>
                </c:pt>
                <c:pt idx="160">
                  <c:v>0.10354749973530704</c:v>
                </c:pt>
                <c:pt idx="161">
                  <c:v>0.10405773098092441</c:v>
                </c:pt>
                <c:pt idx="162">
                  <c:v>0.1045646830934345</c:v>
                </c:pt>
                <c:pt idx="163">
                  <c:v>0.10506832421566845</c:v>
                </c:pt>
                <c:pt idx="164">
                  <c:v>0.10556862253259547</c:v>
                </c:pt>
                <c:pt idx="165">
                  <c:v>0.10606554627449394</c:v>
                </c:pt>
                <c:pt idx="166">
                  <c:v>0.10655906372010882</c:v>
                </c:pt>
                <c:pt idx="167">
                  <c:v>0.10704914319979314</c:v>
                </c:pt>
                <c:pt idx="168">
                  <c:v>0.1075357530986345</c:v>
                </c:pt>
                <c:pt idx="169">
                  <c:v>0.10801886185956491</c:v>
                </c:pt>
                <c:pt idx="170">
                  <c:v>0.10849843798645409</c:v>
                </c:pt>
                <c:pt idx="171">
                  <c:v>0.10897445004718632</c:v>
                </c:pt>
                <c:pt idx="172">
                  <c:v>0.10944686667671902</c:v>
                </c:pt>
                <c:pt idx="173">
                  <c:v>0.10991565658012373</c:v>
                </c:pt>
                <c:pt idx="174">
                  <c:v>0.1103807885356085</c:v>
                </c:pt>
                <c:pt idx="175">
                  <c:v>0.11084223139752176</c:v>
                </c:pt>
                <c:pt idx="176">
                  <c:v>0.1112999540993362</c:v>
                </c:pt>
                <c:pt idx="177">
                  <c:v>0.11175392565661346</c:v>
                </c:pt>
                <c:pt idx="178">
                  <c:v>0.11220411516994813</c:v>
                </c:pt>
                <c:pt idx="179">
                  <c:v>0.11265049182789147</c:v>
                </c:pt>
                <c:pt idx="180">
                  <c:v>0.11309302490985351</c:v>
                </c:pt>
                <c:pt idx="181">
                  <c:v>0.11353168378898412</c:v>
                </c:pt>
                <c:pt idx="182">
                  <c:v>0.11396643793503161</c:v>
                </c:pt>
                <c:pt idx="183">
                  <c:v>0.11439725691717914</c:v>
                </c:pt>
                <c:pt idx="184">
                  <c:v>0.11482411040685825</c:v>
                </c:pt>
                <c:pt idx="185">
                  <c:v>0.11524696818053906</c:v>
                </c:pt>
                <c:pt idx="186">
                  <c:v>0.11566580012249673</c:v>
                </c:pt>
                <c:pt idx="187">
                  <c:v>0.11608057622755376</c:v>
                </c:pt>
                <c:pt idx="188">
                  <c:v>0.11649126660379806</c:v>
                </c:pt>
                <c:pt idx="189">
                  <c:v>0.11689784147527563</c:v>
                </c:pt>
                <c:pt idx="190">
                  <c:v>0.11730027118465806</c:v>
                </c:pt>
                <c:pt idx="191">
                  <c:v>0.11769852619588464</c:v>
                </c:pt>
                <c:pt idx="192">
                  <c:v>0.11809257709677741</c:v>
                </c:pt>
                <c:pt idx="193">
                  <c:v>0.11848239460163089</c:v>
                </c:pt>
                <c:pt idx="194">
                  <c:v>0.11886794955377378</c:v>
                </c:pt>
                <c:pt idx="195">
                  <c:v>0.11924921292810393</c:v>
                </c:pt>
                <c:pt idx="196">
                  <c:v>0.11962615583359552</c:v>
                </c:pt>
                <c:pt idx="197">
                  <c:v>0.11999874951577819</c:v>
                </c:pt>
                <c:pt idx="198">
                  <c:v>0.12036696535918735</c:v>
                </c:pt>
                <c:pt idx="199">
                  <c:v>0.12073077488978645</c:v>
                </c:pt>
                <c:pt idx="200">
                  <c:v>0.1210901497773593</c:v>
                </c:pt>
                <c:pt idx="201">
                  <c:v>0.12144506183787329</c:v>
                </c:pt>
                <c:pt idx="202">
                  <c:v>0.1217954830358126</c:v>
                </c:pt>
                <c:pt idx="203">
                  <c:v>0.12214138548648146</c:v>
                </c:pt>
                <c:pt idx="204">
                  <c:v>0.12248274145827621</c:v>
                </c:pt>
                <c:pt idx="205">
                  <c:v>0.12281952337492733</c:v>
                </c:pt>
                <c:pt idx="206">
                  <c:v>0.12315170381770912</c:v>
                </c:pt>
                <c:pt idx="207">
                  <c:v>0.12347925552761936</c:v>
                </c:pt>
                <c:pt idx="208">
                  <c:v>0.12380215140752542</c:v>
                </c:pt>
                <c:pt idx="209">
                  <c:v>0.12412036452427935</c:v>
                </c:pt>
                <c:pt idx="210">
                  <c:v>0.12443386811080001</c:v>
                </c:pt>
                <c:pt idx="211">
                  <c:v>0.12474263556812251</c:v>
                </c:pt>
                <c:pt idx="212">
                  <c:v>0.12504664046741445</c:v>
                </c:pt>
                <c:pt idx="213">
                  <c:v>0.12534585655195887</c:v>
                </c:pt>
                <c:pt idx="214">
                  <c:v>0.12564025773910345</c:v>
                </c:pt>
                <c:pt idx="215">
                  <c:v>0.12592981812217574</c:v>
                </c:pt>
                <c:pt idx="216">
                  <c:v>0.12621451197236441</c:v>
                </c:pt>
                <c:pt idx="217">
                  <c:v>0.1264943137405653</c:v>
                </c:pt>
                <c:pt idx="218">
                  <c:v>0.12676919805919373</c:v>
                </c:pt>
                <c:pt idx="219">
                  <c:v>0.12703913974396083</c:v>
                </c:pt>
                <c:pt idx="220">
                  <c:v>0.12730411379561515</c:v>
                </c:pt>
                <c:pt idx="221">
                  <c:v>0.12756409540164865</c:v>
                </c:pt>
                <c:pt idx="222">
                  <c:v>0.12781905993796666</c:v>
                </c:pt>
                <c:pt idx="223">
                  <c:v>0.12806898297052238</c:v>
                </c:pt>
                <c:pt idx="224">
                  <c:v>0.12831384025691459</c:v>
                </c:pt>
                <c:pt idx="225">
                  <c:v>0.12855360774794936</c:v>
                </c:pt>
                <c:pt idx="226">
                  <c:v>0.12878826158916484</c:v>
                </c:pt>
                <c:pt idx="227">
                  <c:v>0.12901777812231949</c:v>
                </c:pt>
                <c:pt idx="228">
                  <c:v>0.12924213388684286</c:v>
                </c:pt>
                <c:pt idx="229">
                  <c:v>0.1294613056212495</c:v>
                </c:pt>
                <c:pt idx="230">
                  <c:v>0.12967527026451539</c:v>
                </c:pt>
                <c:pt idx="231">
                  <c:v>0.12988400495741653</c:v>
                </c:pt>
                <c:pt idx="232">
                  <c:v>0.13008748704382991</c:v>
                </c:pt>
                <c:pt idx="233">
                  <c:v>0.13028569407199667</c:v>
                </c:pt>
                <c:pt idx="234">
                  <c:v>0.13047860379574702</c:v>
                </c:pt>
                <c:pt idx="235">
                  <c:v>0.13066619417568684</c:v>
                </c:pt>
                <c:pt idx="236">
                  <c:v>0.13084844338034612</c:v>
                </c:pt>
                <c:pt idx="237">
                  <c:v>0.1310253297872887</c:v>
                </c:pt>
                <c:pt idx="238">
                  <c:v>0.13119683198418328</c:v>
                </c:pt>
                <c:pt idx="239">
                  <c:v>0.13136292876983613</c:v>
                </c:pt>
                <c:pt idx="240">
                  <c:v>0.13152359915518416</c:v>
                </c:pt>
                <c:pt idx="241">
                  <c:v>0.13167882236424969</c:v>
                </c:pt>
                <c:pt idx="242">
                  <c:v>0.1318285778350558</c:v>
                </c:pt>
                <c:pt idx="243">
                  <c:v>0.13197284522050234</c:v>
                </c:pt>
                <c:pt idx="244">
                  <c:v>0.13211160438920327</c:v>
                </c:pt>
                <c:pt idx="245">
                  <c:v>0.13224483542628374</c:v>
                </c:pt>
                <c:pt idx="246">
                  <c:v>0.13237251863413868</c:v>
                </c:pt>
                <c:pt idx="247">
                  <c:v>0.13249463453315141</c:v>
                </c:pt>
                <c:pt idx="248">
                  <c:v>0.13261116386237279</c:v>
                </c:pt>
                <c:pt idx="249">
                  <c:v>0.13272208758016066</c:v>
                </c:pt>
                <c:pt idx="250">
                  <c:v>0.13282738686478007</c:v>
                </c:pt>
                <c:pt idx="251">
                  <c:v>0.13292704311496351</c:v>
                </c:pt>
                <c:pt idx="252">
                  <c:v>0.13302103795043144</c:v>
                </c:pt>
                <c:pt idx="253">
                  <c:v>0.1331093532123736</c:v>
                </c:pt>
                <c:pt idx="254">
                  <c:v>0.13319197096388996</c:v>
                </c:pt>
                <c:pt idx="255">
                  <c:v>0.13326887349039243</c:v>
                </c:pt>
                <c:pt idx="256">
                  <c:v>0.13334004329996688</c:v>
                </c:pt>
                <c:pt idx="257">
                  <c:v>0.13340546312369517</c:v>
                </c:pt>
                <c:pt idx="258">
                  <c:v>0.13346511591593796</c:v>
                </c:pt>
                <c:pt idx="259">
                  <c:v>0.13351898485457747</c:v>
                </c:pt>
                <c:pt idx="260">
                  <c:v>0.13356705334122115</c:v>
                </c:pt>
                <c:pt idx="261">
                  <c:v>0.13360930500136517</c:v>
                </c:pt>
                <c:pt idx="262">
                  <c:v>0.13364572368451938</c:v>
                </c:pt>
                <c:pt idx="263">
                  <c:v>0.13367629346429172</c:v>
                </c:pt>
                <c:pt idx="264">
                  <c:v>0.13370099863843435</c:v>
                </c:pt>
                <c:pt idx="265">
                  <c:v>0.13371982372884986</c:v>
                </c:pt>
                <c:pt idx="266">
                  <c:v>0.13373275348155833</c:v>
                </c:pt>
                <c:pt idx="267">
                  <c:v>0.13373977286662608</c:v>
                </c:pt>
                <c:pt idx="268">
                  <c:v>0.13374086707805416</c:v>
                </c:pt>
                <c:pt idx="269">
                  <c:v>0.13373602153362926</c:v>
                </c:pt>
                <c:pt idx="270">
                  <c:v>0.13372522187473504</c:v>
                </c:pt>
                <c:pt idx="271">
                  <c:v>0.13370845396612507</c:v>
                </c:pt>
                <c:pt idx="272">
                  <c:v>0.13368570389565762</c:v>
                </c:pt>
                <c:pt idx="273">
                  <c:v>0.1336569579739916</c:v>
                </c:pt>
                <c:pt idx="274">
                  <c:v>0.13362220273424494</c:v>
                </c:pt>
                <c:pt idx="275">
                  <c:v>0.13358142493161396</c:v>
                </c:pt>
                <c:pt idx="276">
                  <c:v>0.13353461154295623</c:v>
                </c:pt>
                <c:pt idx="277">
                  <c:v>0.13348174976633451</c:v>
                </c:pt>
                <c:pt idx="278">
                  <c:v>0.13342282702052408</c:v>
                </c:pt>
                <c:pt idx="279">
                  <c:v>0.1333578309444822</c:v>
                </c:pt>
                <c:pt idx="280">
                  <c:v>0.13328674939678092</c:v>
                </c:pt>
                <c:pt idx="281">
                  <c:v>0.13320957045500242</c:v>
                </c:pt>
                <c:pt idx="282">
                  <c:v>0.13312628241509858</c:v>
                </c:pt>
                <c:pt idx="283">
                  <c:v>0.13303687379071288</c:v>
                </c:pt>
                <c:pt idx="284">
                  <c:v>0.13294133331246738</c:v>
                </c:pt>
                <c:pt idx="285">
                  <c:v>0.13283964992721264</c:v>
                </c:pt>
                <c:pt idx="286">
                  <c:v>0.13273181279724258</c:v>
                </c:pt>
                <c:pt idx="287">
                  <c:v>0.13261781129947359</c:v>
                </c:pt>
                <c:pt idx="288">
                  <c:v>0.13249763502458831</c:v>
                </c:pt>
                <c:pt idx="289">
                  <c:v>0.13237127377614499</c:v>
                </c:pt>
                <c:pt idx="290">
                  <c:v>0.13223871756965136</c:v>
                </c:pt>
                <c:pt idx="291">
                  <c:v>0.13209995663160479</c:v>
                </c:pt>
                <c:pt idx="292">
                  <c:v>0.13195498139849823</c:v>
                </c:pt>
                <c:pt idx="293">
                  <c:v>0.13180378251579222</c:v>
                </c:pt>
                <c:pt idx="294">
                  <c:v>0.13164635083685311</c:v>
                </c:pt>
                <c:pt idx="295">
                  <c:v>0.13148280230541873</c:v>
                </c:pt>
                <c:pt idx="296">
                  <c:v>0.13131416957630535</c:v>
                </c:pt>
                <c:pt idx="297">
                  <c:v>0.13114068524259997</c:v>
                </c:pt>
                <c:pt idx="298">
                  <c:v>0.13096235039667803</c:v>
                </c:pt>
                <c:pt idx="299">
                  <c:v>0.13077916627934871</c:v>
                </c:pt>
                <c:pt idx="300">
                  <c:v>0.13059113427799565</c:v>
                </c:pt>
                <c:pt idx="301">
                  <c:v>0.13039825592469137</c:v>
                </c:pt>
                <c:pt idx="302">
                  <c:v>0.13020053289428646</c:v>
                </c:pt>
                <c:pt idx="303">
                  <c:v>0.1299979670024731</c:v>
                </c:pt>
                <c:pt idx="304">
                  <c:v>0.12979056020382351</c:v>
                </c:pt>
                <c:pt idx="305">
                  <c:v>0.12957831458980465</c:v>
                </c:pt>
                <c:pt idx="306">
                  <c:v>0.12936123238676822</c:v>
                </c:pt>
                <c:pt idx="307">
                  <c:v>0.12913931595391745</c:v>
                </c:pt>
                <c:pt idx="308">
                  <c:v>0.12891256778125038</c:v>
                </c:pt>
                <c:pt idx="309">
                  <c:v>0.12868099048748072</c:v>
                </c:pt>
                <c:pt idx="310">
                  <c:v>0.12844458681793647</c:v>
                </c:pt>
                <c:pt idx="311">
                  <c:v>0.12820335964243595</c:v>
                </c:pt>
                <c:pt idx="312">
                  <c:v>0.12795731195314353</c:v>
                </c:pt>
                <c:pt idx="313">
                  <c:v>0.12770644686240354</c:v>
                </c:pt>
                <c:pt idx="314">
                  <c:v>0.1274507676005541</c:v>
                </c:pt>
                <c:pt idx="315">
                  <c:v>0.12719027751372056</c:v>
                </c:pt>
                <c:pt idx="316">
                  <c:v>0.12692498006159023</c:v>
                </c:pt>
                <c:pt idx="317">
                  <c:v>0.12665487881516668</c:v>
                </c:pt>
                <c:pt idx="318">
                  <c:v>0.12637997745450683</c:v>
                </c:pt>
                <c:pt idx="319">
                  <c:v>0.12610027976643867</c:v>
                </c:pt>
                <c:pt idx="320">
                  <c:v>0.1258157896422625</c:v>
                </c:pt>
                <c:pt idx="321">
                  <c:v>0.12552651107543406</c:v>
                </c:pt>
                <c:pt idx="322">
                  <c:v>0.1252324481592314</c:v>
                </c:pt>
                <c:pt idx="323">
                  <c:v>0.12493360508440582</c:v>
                </c:pt>
                <c:pt idx="324">
                  <c:v>0.12462998613681674</c:v>
                </c:pt>
                <c:pt idx="325">
                  <c:v>0.1243215956950515</c:v>
                </c:pt>
                <c:pt idx="326">
                  <c:v>0.12400843822803066</c:v>
                </c:pt>
                <c:pt idx="327">
                  <c:v>0.12369051829259911</c:v>
                </c:pt>
                <c:pt idx="328">
                  <c:v>0.12336784053110364</c:v>
                </c:pt>
                <c:pt idx="329">
                  <c:v>0.12304040966895702</c:v>
                </c:pt>
                <c:pt idx="330">
                  <c:v>0.12270823051219013</c:v>
                </c:pt>
                <c:pt idx="331">
                  <c:v>0.12237130794499126</c:v>
                </c:pt>
                <c:pt idx="332">
                  <c:v>0.12202964692723484</c:v>
                </c:pt>
                <c:pt idx="333">
                  <c:v>0.12168325249199825</c:v>
                </c:pt>
                <c:pt idx="334">
                  <c:v>0.12133212974306888</c:v>
                </c:pt>
                <c:pt idx="335">
                  <c:v>0.12097628385244033</c:v>
                </c:pt>
                <c:pt idx="336">
                  <c:v>0.12061572005780091</c:v>
                </c:pt>
                <c:pt idx="337">
                  <c:v>0.1202504436600112</c:v>
                </c:pt>
                <c:pt idx="338">
                  <c:v>0.11988046002057488</c:v>
                </c:pt>
                <c:pt idx="339">
                  <c:v>0.11950577455910136</c:v>
                </c:pt>
                <c:pt idx="340">
                  <c:v>0.11912639275076073</c:v>
                </c:pt>
                <c:pt idx="341">
                  <c:v>0.11874232012373284</c:v>
                </c:pt>
                <c:pt idx="342">
                  <c:v>0.11835356225664961</c:v>
                </c:pt>
                <c:pt idx="343">
                  <c:v>0.11796012477603246</c:v>
                </c:pt>
                <c:pt idx="344">
                  <c:v>0.11756201335372407</c:v>
                </c:pt>
                <c:pt idx="345">
                  <c:v>0.11715923370431615</c:v>
                </c:pt>
                <c:pt idx="346">
                  <c:v>0.11675179158257326</c:v>
                </c:pt>
                <c:pt idx="347">
                  <c:v>0.11633969278085343</c:v>
                </c:pt>
                <c:pt idx="348">
                  <c:v>0.11592294312652578</c:v>
                </c:pt>
                <c:pt idx="349">
                  <c:v>0.11550154847938605</c:v>
                </c:pt>
                <c:pt idx="350">
                  <c:v>0.11507551472907106</c:v>
                </c:pt>
                <c:pt idx="351">
                  <c:v>0.11464484779247108</c:v>
                </c:pt>
                <c:pt idx="352">
                  <c:v>0.11420955361114268</c:v>
                </c:pt>
                <c:pt idx="353">
                  <c:v>0.11376963814872162</c:v>
                </c:pt>
                <c:pt idx="354">
                  <c:v>0.11332510738833547</c:v>
                </c:pt>
                <c:pt idx="355">
                  <c:v>0.11287596733001888</c:v>
                </c:pt>
                <c:pt idx="356">
                  <c:v>0.11242222398812952</c:v>
                </c:pt>
                <c:pt idx="357">
                  <c:v>0.11196388338876698</c:v>
                </c:pt>
                <c:pt idx="358">
                  <c:v>0.11150095156719467</c:v>
                </c:pt>
                <c:pt idx="359">
                  <c:v>0.11103343456526504</c:v>
                </c:pt>
                <c:pt idx="360">
                  <c:v>0.11056133842884885</c:v>
                </c:pt>
                <c:pt idx="361">
                  <c:v>0.11008466920526964</c:v>
                </c:pt>
                <c:pt idx="362">
                  <c:v>0.10960343294074285</c:v>
                </c:pt>
                <c:pt idx="363">
                  <c:v>0.10911763567782107</c:v>
                </c:pt>
                <c:pt idx="364">
                  <c:v>0.10862728345284613</c:v>
                </c:pt>
                <c:pt idx="365">
                  <c:v>0.10813238229340713</c:v>
                </c:pt>
                <c:pt idx="366">
                  <c:v>0.10763293821580719</c:v>
                </c:pt>
                <c:pt idx="367">
                  <c:v>0.10712895722253768</c:v>
                </c:pt>
                <c:pt idx="368">
                  <c:v>0.10662044529976115</c:v>
                </c:pt>
                <c:pt idx="369">
                  <c:v>0.10610740841480393</c:v>
                </c:pt>
                <c:pt idx="370">
                  <c:v>0.10558985251365864</c:v>
                </c:pt>
                <c:pt idx="371">
                  <c:v>0.10506778351849613</c:v>
                </c:pt>
                <c:pt idx="372">
                  <c:v>0.10454120732518979</c:v>
                </c:pt>
                <c:pt idx="373">
                  <c:v>0.10401012980085085</c:v>
                </c:pt>
                <c:pt idx="374">
                  <c:v>0.10347455678137529</c:v>
                </c:pt>
                <c:pt idx="375">
                  <c:v>0.1029344940690044</c:v>
                </c:pt>
                <c:pt idx="376">
                  <c:v>0.10238994742989793</c:v>
                </c:pt>
                <c:pt idx="377">
                  <c:v>0.10184092259172126</c:v>
                </c:pt>
                <c:pt idx="378">
                  <c:v>0.10128742524124734</c:v>
                </c:pt>
                <c:pt idx="379">
                  <c:v>0.10072946102197272</c:v>
                </c:pt>
                <c:pt idx="380">
                  <c:v>0.10016703553174995</c:v>
                </c:pt>
                <c:pt idx="381">
                  <c:v>9.9600154320435924E-2</c:v>
                </c:pt>
                <c:pt idx="382">
                  <c:v>9.9028822887555878E-2</c:v>
                </c:pt>
                <c:pt idx="383">
                  <c:v>9.845304667998607E-2</c:v>
                </c:pt>
                <c:pt idx="384">
                  <c:v>9.7872831089653084E-2</c:v>
                </c:pt>
                <c:pt idx="385">
                  <c:v>9.7288181451251815E-2</c:v>
                </c:pt>
                <c:pt idx="386">
                  <c:v>9.6699103039982137E-2</c:v>
                </c:pt>
                <c:pt idx="387">
                  <c:v>9.6105601069304908E-2</c:v>
                </c:pt>
                <c:pt idx="388">
                  <c:v>9.5507680688718288E-2</c:v>
                </c:pt>
                <c:pt idx="389">
                  <c:v>9.4905346981553618E-2</c:v>
                </c:pt>
                <c:pt idx="390">
                  <c:v>9.4298604962793298E-2</c:v>
                </c:pt>
                <c:pt idx="391">
                  <c:v>9.3687459576909174E-2</c:v>
                </c:pt>
                <c:pt idx="392">
                  <c:v>9.3071915695723859E-2</c:v>
                </c:pt>
                <c:pt idx="393">
                  <c:v>9.2451978116293784E-2</c:v>
                </c:pt>
                <c:pt idx="394">
                  <c:v>9.1827651558816031E-2</c:v>
                </c:pt>
                <c:pt idx="395">
                  <c:v>9.1198940664558026E-2</c:v>
                </c:pt>
                <c:pt idx="396">
                  <c:v>9.0565849993811953E-2</c:v>
                </c:pt>
                <c:pt idx="397">
                  <c:v>8.992838402387375E-2</c:v>
                </c:pt>
                <c:pt idx="398">
                  <c:v>8.9286547147046202E-2</c:v>
                </c:pt>
                <c:pt idx="399">
                  <c:v>8.8640343668669561E-2</c:v>
                </c:pt>
                <c:pt idx="400">
                  <c:v>8.7989777805176084E-2</c:v>
                </c:pt>
                <c:pt idx="401">
                  <c:v>8.7334853682173225E-2</c:v>
                </c:pt>
                <c:pt idx="402">
                  <c:v>8.6675575332552185E-2</c:v>
                </c:pt>
                <c:pt idx="403">
                  <c:v>8.601194669462528E-2</c:v>
                </c:pt>
                <c:pt idx="404">
                  <c:v>8.5343971610290698E-2</c:v>
                </c:pt>
                <c:pt idx="405">
                  <c:v>8.4671653823226264E-2</c:v>
                </c:pt>
                <c:pt idx="406">
                  <c:v>8.3994996977111838E-2</c:v>
                </c:pt>
                <c:pt idx="407">
                  <c:v>8.3314004613881207E-2</c:v>
                </c:pt>
                <c:pt idx="408">
                  <c:v>8.262868017200467E-2</c:v>
                </c:pt>
                <c:pt idx="409">
                  <c:v>8.1939026984800586E-2</c:v>
                </c:pt>
                <c:pt idx="410">
                  <c:v>8.1245048278779305E-2</c:v>
                </c:pt>
                <c:pt idx="411">
                  <c:v>8.0546747172017485E-2</c:v>
                </c:pt>
                <c:pt idx="412">
                  <c:v>7.9844126672564547E-2</c:v>
                </c:pt>
                <c:pt idx="413">
                  <c:v>7.9137189676881048E-2</c:v>
                </c:pt>
                <c:pt idx="414">
                  <c:v>7.8425938968310072E-2</c:v>
                </c:pt>
                <c:pt idx="415">
                  <c:v>7.7710377215581161E-2</c:v>
                </c:pt>
                <c:pt idx="416">
                  <c:v>7.6990506971348488E-2</c:v>
                </c:pt>
                <c:pt idx="417">
                  <c:v>7.6266330670762036E-2</c:v>
                </c:pt>
                <c:pt idx="418">
                  <c:v>7.5537850630073636E-2</c:v>
                </c:pt>
                <c:pt idx="419">
                  <c:v>7.4805069045278019E-2</c:v>
                </c:pt>
                <c:pt idx="420">
                  <c:v>7.4067987990787759E-2</c:v>
                </c:pt>
                <c:pt idx="421">
                  <c:v>7.3326609418145478E-2</c:v>
                </c:pt>
                <c:pt idx="422">
                  <c:v>7.2580935154770293E-2</c:v>
                </c:pt>
                <c:pt idx="423">
                  <c:v>7.1830966902741933E-2</c:v>
                </c:pt>
                <c:pt idx="424">
                  <c:v>7.1076706237620135E-2</c:v>
                </c:pt>
                <c:pt idx="425">
                  <c:v>7.0318154607302646E-2</c:v>
                </c:pt>
                <c:pt idx="426">
                  <c:v>6.9555313330918966E-2</c:v>
                </c:pt>
                <c:pt idx="427">
                  <c:v>6.8788183597763411E-2</c:v>
                </c:pt>
                <c:pt idx="428">
                  <c:v>6.8016766466265144E-2</c:v>
                </c:pt>
                <c:pt idx="429">
                  <c:v>6.7241062862996887E-2</c:v>
                </c:pt>
                <c:pt idx="430">
                  <c:v>6.6461073581723207E-2</c:v>
                </c:pt>
                <c:pt idx="431">
                  <c:v>6.5676799282486611E-2</c:v>
                </c:pt>
                <c:pt idx="432">
                  <c:v>6.4888240490734495E-2</c:v>
                </c:pt>
                <c:pt idx="433">
                  <c:v>6.4095397596484485E-2</c:v>
                </c:pt>
                <c:pt idx="434">
                  <c:v>6.3298270853531263E-2</c:v>
                </c:pt>
                <c:pt idx="435">
                  <c:v>6.2496860378692065E-2</c:v>
                </c:pt>
                <c:pt idx="436">
                  <c:v>6.1691166151095045E-2</c:v>
                </c:pt>
                <c:pt idx="437">
                  <c:v>6.0881188011506299E-2</c:v>
                </c:pt>
                <c:pt idx="438">
                  <c:v>6.0066925661700153E-2</c:v>
                </c:pt>
                <c:pt idx="439">
                  <c:v>5.9248378663869561E-2</c:v>
                </c:pt>
                <c:pt idx="440">
                  <c:v>5.8425546440078961E-2</c:v>
                </c:pt>
                <c:pt idx="441">
                  <c:v>5.7598428271759081E-2</c:v>
                </c:pt>
                <c:pt idx="442">
                  <c:v>5.6767023299244254E-2</c:v>
                </c:pt>
                <c:pt idx="443">
                  <c:v>5.593133052135181E-2</c:v>
                </c:pt>
                <c:pt idx="444">
                  <c:v>5.5091348795004769E-2</c:v>
                </c:pt>
                <c:pt idx="445">
                  <c:v>5.424707683489733E-2</c:v>
                </c:pt>
                <c:pt idx="446">
                  <c:v>5.3398513213203588E-2</c:v>
                </c:pt>
                <c:pt idx="447">
                  <c:v>5.2545656359330201E-2</c:v>
                </c:pt>
                <c:pt idx="448">
                  <c:v>5.1688504559711634E-2</c:v>
                </c:pt>
                <c:pt idx="449">
                  <c:v>5.0827055957651045E-2</c:v>
                </c:pt>
                <c:pt idx="450">
                  <c:v>4.9961308553203396E-2</c:v>
                </c:pt>
                <c:pt idx="451">
                  <c:v>4.9091260203104045E-2</c:v>
                </c:pt>
                <c:pt idx="452">
                  <c:v>4.8216908620741399E-2</c:v>
                </c:pt>
                <c:pt idx="453">
                  <c:v>4.7338251376174596E-2</c:v>
                </c:pt>
                <c:pt idx="454">
                  <c:v>4.6455285896195166E-2</c:v>
                </c:pt>
                <c:pt idx="455">
                  <c:v>4.5568009464434046E-2</c:v>
                </c:pt>
                <c:pt idx="456">
                  <c:v>4.4676419221514094E-2</c:v>
                </c:pt>
                <c:pt idx="457">
                  <c:v>4.3780512165247323E-2</c:v>
                </c:pt>
                <c:pt idx="458">
                  <c:v>4.288028515087778E-2</c:v>
                </c:pt>
                <c:pt idx="459">
                  <c:v>4.1975734891369375E-2</c:v>
                </c:pt>
                <c:pt idx="460">
                  <c:v>4.1066857957740246E-2</c:v>
                </c:pt>
                <c:pt idx="461">
                  <c:v>4.0153650779442079E-2</c:v>
                </c:pt>
                <c:pt idx="462">
                  <c:v>3.923610964478487E-2</c:v>
                </c:pt>
                <c:pt idx="463">
                  <c:v>3.8314230701409428E-2</c:v>
                </c:pt>
                <c:pt idx="464">
                  <c:v>3.7388009956803192E-2</c:v>
                </c:pt>
                <c:pt idx="465">
                  <c:v>3.6457443278864521E-2</c:v>
                </c:pt>
                <c:pt idx="466">
                  <c:v>3.5522526396511288E-2</c:v>
                </c:pt>
                <c:pt idx="467">
                  <c:v>3.4583254900337132E-2</c:v>
                </c:pt>
                <c:pt idx="468">
                  <c:v>3.3639624243312419E-2</c:v>
                </c:pt>
                <c:pt idx="469">
                  <c:v>3.2691629741532828E-2</c:v>
                </c:pt>
                <c:pt idx="470">
                  <c:v>3.1739266575013525E-2</c:v>
                </c:pt>
                <c:pt idx="471">
                  <c:v>3.0782529788529273E-2</c:v>
                </c:pt>
                <c:pt idx="472">
                  <c:v>2.9821414292502089E-2</c:v>
                </c:pt>
                <c:pt idx="473">
                  <c:v>2.8855914863933983E-2</c:v>
                </c:pt>
                <c:pt idx="474">
                  <c:v>2.7886026147386431E-2</c:v>
                </c:pt>
                <c:pt idx="475">
                  <c:v>2.6911742656006862E-2</c:v>
                </c:pt>
                <c:pt idx="476">
                  <c:v>2.5933058772599955E-2</c:v>
                </c:pt>
                <c:pt idx="477">
                  <c:v>2.494996875074677E-2</c:v>
                </c:pt>
                <c:pt idx="478">
                  <c:v>2.396246671596923E-2</c:v>
                </c:pt>
                <c:pt idx="479">
                  <c:v>2.2970546666940671E-2</c:v>
                </c:pt>
                <c:pt idx="480">
                  <c:v>2.197420247674331E-2</c:v>
                </c:pt>
                <c:pt idx="481">
                  <c:v>2.0973427894170834E-2</c:v>
                </c:pt>
                <c:pt idx="482">
                  <c:v>1.9968216545077654E-2</c:v>
                </c:pt>
                <c:pt idx="483">
                  <c:v>1.8958561933773852E-2</c:v>
                </c:pt>
                <c:pt idx="484">
                  <c:v>1.7944457444466128E-2</c:v>
                </c:pt>
                <c:pt idx="485">
                  <c:v>1.6925896342743628E-2</c:v>
                </c:pt>
                <c:pt idx="486">
                  <c:v>1.5902871777111093E-2</c:v>
                </c:pt>
                <c:pt idx="487">
                  <c:v>1.4875376780565518E-2</c:v>
                </c:pt>
                <c:pt idx="488">
                  <c:v>1.3843404272219773E-2</c:v>
                </c:pt>
                <c:pt idx="489">
                  <c:v>1.2806947058970956E-2</c:v>
                </c:pt>
                <c:pt idx="490">
                  <c:v>1.1765997837213198E-2</c:v>
                </c:pt>
                <c:pt idx="491">
                  <c:v>1.0720549194596796E-2</c:v>
                </c:pt>
                <c:pt idx="492">
                  <c:v>9.6705936118307509E-3</c:v>
                </c:pt>
                <c:pt idx="493">
                  <c:v>8.6161234645309327E-3</c:v>
                </c:pt>
                <c:pt idx="494">
                  <c:v>7.557131025112615E-3</c:v>
                </c:pt>
                <c:pt idx="495">
                  <c:v>6.4936084647261583E-3</c:v>
                </c:pt>
                <c:pt idx="496">
                  <c:v>5.4255478552390204E-3</c:v>
                </c:pt>
                <c:pt idx="497">
                  <c:v>4.3529411712592897E-3</c:v>
                </c:pt>
                <c:pt idx="498">
                  <c:v>3.275780292204399E-3</c:v>
                </c:pt>
                <c:pt idx="499">
                  <c:v>2.1940570044130109E-3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61-4C0C-9ED7-DC2067F83667}"/>
            </c:ext>
          </c:extLst>
        </c:ser>
        <c:ser>
          <c:idx val="4"/>
          <c:order val="1"/>
          <c:tx>
            <c:v>Lower Camber</c:v>
          </c:tx>
          <c:spPr>
            <a:ln w="15875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Data1!$I$1:$I$500</c:f>
              <c:numCache>
                <c:formatCode>0.000000</c:formatCode>
                <c:ptCount val="500"/>
                <c:pt idx="0">
                  <c:v>0</c:v>
                </c:pt>
                <c:pt idx="1">
                  <c:v>1.0779115675277981E-4</c:v>
                </c:pt>
                <c:pt idx="2">
                  <c:v>2.2528924746773133E-4</c:v>
                </c:pt>
                <c:pt idx="3">
                  <c:v>3.524863852257358E-4</c:v>
                </c:pt>
                <c:pt idx="4">
                  <c:v>4.8937458313693316E-4</c:v>
                </c:pt>
                <c:pt idx="5">
                  <c:v>6.3594575450384044E-4</c:v>
                </c:pt>
                <c:pt idx="6">
                  <c:v>7.9219171300896592E-4</c:v>
                </c:pt>
                <c:pt idx="7">
                  <c:v>9.5810417291565888E-4</c:v>
                </c:pt>
                <c:pt idx="8">
                  <c:v>1.1336747492866946E-3</c:v>
                </c:pt>
                <c:pt idx="9">
                  <c:v>1.3188949582205699E-3</c:v>
                </c:pt>
                <c:pt idx="10">
                  <c:v>1.5137562171043115E-3</c:v>
                </c:pt>
                <c:pt idx="11">
                  <c:v>1.7182498448838513E-3</c:v>
                </c:pt>
                <c:pt idx="12">
                  <c:v>1.9323670623507311E-3</c:v>
                </c:pt>
                <c:pt idx="13">
                  <c:v>2.1560989924458919E-3</c:v>
                </c:pt>
                <c:pt idx="14">
                  <c:v>2.3894366605810235E-3</c:v>
                </c:pt>
                <c:pt idx="15">
                  <c:v>2.6323709949763584E-3</c:v>
                </c:pt>
                <c:pt idx="16">
                  <c:v>2.8848928270142505E-3</c:v>
                </c:pt>
                <c:pt idx="17">
                  <c:v>3.1469928916119739E-3</c:v>
                </c:pt>
                <c:pt idx="18">
                  <c:v>3.4186618276083E-3</c:v>
                </c:pt>
                <c:pt idx="19">
                  <c:v>3.6998901781694618E-3</c:v>
                </c:pt>
                <c:pt idx="20">
                  <c:v>3.990668391209061E-3</c:v>
                </c:pt>
                <c:pt idx="21">
                  <c:v>4.2909868198266025E-3</c:v>
                </c:pt>
                <c:pt idx="22">
                  <c:v>4.6008357227612321E-3</c:v>
                </c:pt>
                <c:pt idx="23">
                  <c:v>4.9202052648623529E-3</c:v>
                </c:pt>
                <c:pt idx="24">
                  <c:v>5.2490855175756756E-3</c:v>
                </c:pt>
                <c:pt idx="25">
                  <c:v>5.5874664594467247E-3</c:v>
                </c:pt>
                <c:pt idx="26">
                  <c:v>5.9353379766384981E-3</c:v>
                </c:pt>
                <c:pt idx="27">
                  <c:v>6.2926898634672844E-3</c:v>
                </c:pt>
                <c:pt idx="28">
                  <c:v>6.6595118229522922E-3</c:v>
                </c:pt>
                <c:pt idx="29">
                  <c:v>7.0357934673819511E-3</c:v>
                </c:pt>
                <c:pt idx="30">
                  <c:v>7.4215243188962493E-3</c:v>
                </c:pt>
                <c:pt idx="31">
                  <c:v>7.8166938100825041E-3</c:v>
                </c:pt>
                <c:pt idx="32">
                  <c:v>8.2212912845892605E-3</c:v>
                </c:pt>
                <c:pt idx="33">
                  <c:v>8.6353059977533741E-3</c:v>
                </c:pt>
                <c:pt idx="34">
                  <c:v>9.0587271172424821E-3</c:v>
                </c:pt>
                <c:pt idx="35">
                  <c:v>9.4915437237126886E-3</c:v>
                </c:pt>
                <c:pt idx="36">
                  <c:v>9.9337448114813487E-3</c:v>
                </c:pt>
                <c:pt idx="37">
                  <c:v>1.0385319289213621E-2</c:v>
                </c:pt>
                <c:pt idx="38">
                  <c:v>1.0846255980623812E-2</c:v>
                </c:pt>
                <c:pt idx="39">
                  <c:v>1.1316543625191331E-2</c:v>
                </c:pt>
                <c:pt idx="40">
                  <c:v>1.1796170878890368E-2</c:v>
                </c:pt>
                <c:pt idx="41">
                  <c:v>1.2285126314933883E-2</c:v>
                </c:pt>
                <c:pt idx="42">
                  <c:v>1.278339842453082E-2</c:v>
                </c:pt>
                <c:pt idx="43">
                  <c:v>1.3290975617657293E-2</c:v>
                </c:pt>
                <c:pt idx="44">
                  <c:v>1.3807846223841479E-2</c:v>
                </c:pt>
                <c:pt idx="45">
                  <c:v>1.4333998492961263E-2</c:v>
                </c:pt>
                <c:pt idx="46">
                  <c:v>1.4869420596055229E-2</c:v>
                </c:pt>
                <c:pt idx="47">
                  <c:v>1.5414100626145916E-2</c:v>
                </c:pt>
                <c:pt idx="48">
                  <c:v>1.5968026599077072E-2</c:v>
                </c:pt>
                <c:pt idx="49">
                  <c:v>1.6531186454361579E-2</c:v>
                </c:pt>
                <c:pt idx="50">
                  <c:v>1.7103568056043256E-2</c:v>
                </c:pt>
                <c:pt idx="51">
                  <c:v>1.7685159193569559E-2</c:v>
                </c:pt>
                <c:pt idx="52">
                  <c:v>1.827594758267697E-2</c:v>
                </c:pt>
                <c:pt idx="53">
                  <c:v>1.8875920866287491E-2</c:v>
                </c:pt>
                <c:pt idx="54">
                  <c:v>1.9485066615416109E-2</c:v>
                </c:pt>
                <c:pt idx="55">
                  <c:v>2.0103372330091011E-2</c:v>
                </c:pt>
                <c:pt idx="56">
                  <c:v>2.0730825440282707E-2</c:v>
                </c:pt>
                <c:pt idx="57">
                  <c:v>2.1367413306845669E-2</c:v>
                </c:pt>
                <c:pt idx="58">
                  <c:v>2.2013123222469139E-2</c:v>
                </c:pt>
                <c:pt idx="59">
                  <c:v>2.2667942412638923E-2</c:v>
                </c:pt>
                <c:pt idx="60">
                  <c:v>2.3331858036609244E-2</c:v>
                </c:pt>
                <c:pt idx="61">
                  <c:v>2.400485718838365E-2</c:v>
                </c:pt>
                <c:pt idx="62">
                  <c:v>2.4686926897706352E-2</c:v>
                </c:pt>
                <c:pt idx="63">
                  <c:v>2.5378054131062297E-2</c:v>
                </c:pt>
                <c:pt idx="64">
                  <c:v>2.6078225792685934E-2</c:v>
                </c:pt>
                <c:pt idx="65">
                  <c:v>2.6787428725580147E-2</c:v>
                </c:pt>
                <c:pt idx="66">
                  <c:v>2.7505649712541783E-2</c:v>
                </c:pt>
                <c:pt idx="67">
                  <c:v>2.8232875477196853E-2</c:v>
                </c:pt>
                <c:pt idx="68">
                  <c:v>2.8969092685043378E-2</c:v>
                </c:pt>
                <c:pt idx="69">
                  <c:v>2.9714287944501434E-2</c:v>
                </c:pt>
                <c:pt idx="70">
                  <c:v>3.0468447807971772E-2</c:v>
                </c:pt>
                <c:pt idx="71">
                  <c:v>3.1231558772899869E-2</c:v>
                </c:pt>
                <c:pt idx="72">
                  <c:v>3.2003607282849129E-2</c:v>
                </c:pt>
                <c:pt idx="73">
                  <c:v>3.278457972857849E-2</c:v>
                </c:pt>
                <c:pt idx="74">
                  <c:v>3.3574462449128359E-2</c:v>
                </c:pt>
                <c:pt idx="75">
                  <c:v>3.4373241732911099E-2</c:v>
                </c:pt>
                <c:pt idx="76">
                  <c:v>3.5180903818807813E-2</c:v>
                </c:pt>
                <c:pt idx="77">
                  <c:v>3.5997434897271703E-2</c:v>
                </c:pt>
                <c:pt idx="78">
                  <c:v>3.6822821111434444E-2</c:v>
                </c:pt>
                <c:pt idx="79">
                  <c:v>3.7657048558219913E-2</c:v>
                </c:pt>
                <c:pt idx="80">
                  <c:v>3.8500103289460602E-2</c:v>
                </c:pt>
                <c:pt idx="81">
                  <c:v>3.9351971313019783E-2</c:v>
                </c:pt>
                <c:pt idx="82">
                  <c:v>4.0212638593916952E-2</c:v>
                </c:pt>
                <c:pt idx="83">
                  <c:v>4.1082091055457334E-2</c:v>
                </c:pt>
                <c:pt idx="84">
                  <c:v>4.1960314580364887E-2</c:v>
                </c:pt>
                <c:pt idx="85">
                  <c:v>4.284729501191821E-2</c:v>
                </c:pt>
                <c:pt idx="86">
                  <c:v>4.3743018155089991E-2</c:v>
                </c:pt>
                <c:pt idx="87">
                  <c:v>4.4647469777688145E-2</c:v>
                </c:pt>
                <c:pt idx="88">
                  <c:v>4.5560635611500047E-2</c:v>
                </c:pt>
                <c:pt idx="89">
                  <c:v>4.6482501353438441E-2</c:v>
                </c:pt>
                <c:pt idx="90">
                  <c:v>4.7413052666688493E-2</c:v>
                </c:pt>
                <c:pt idx="91">
                  <c:v>4.8352275181857265E-2</c:v>
                </c:pt>
                <c:pt idx="92">
                  <c:v>4.9300154498123867E-2</c:v>
                </c:pt>
                <c:pt idx="93">
                  <c:v>5.0256676184389545E-2</c:v>
                </c:pt>
                <c:pt idx="94">
                  <c:v>5.1221825780429504E-2</c:v>
                </c:pt>
                <c:pt idx="95">
                  <c:v>5.2195588798044326E-2</c:v>
                </c:pt>
                <c:pt idx="96">
                  <c:v>5.3177950722210876E-2</c:v>
                </c:pt>
                <c:pt idx="97">
                  <c:v>5.4168897012233173E-2</c:v>
                </c:pt>
                <c:pt idx="98">
                  <c:v>5.5168413102892999E-2</c:v>
                </c:pt>
                <c:pt idx="99">
                  <c:v>5.6176484405598193E-2</c:v>
                </c:pt>
                <c:pt idx="100">
                  <c:v>5.7193096309530463E-2</c:v>
                </c:pt>
                <c:pt idx="101">
                  <c:v>5.8218234182791366E-2</c:v>
                </c:pt>
                <c:pt idx="102">
                  <c:v>5.9251883373546234E-2</c:v>
                </c:pt>
                <c:pt idx="103">
                  <c:v>6.0294029211165903E-2</c:v>
                </c:pt>
                <c:pt idx="104">
                  <c:v>6.1344657007365411E-2</c:v>
                </c:pt>
                <c:pt idx="105">
                  <c:v>6.2403752057340237E-2</c:v>
                </c:pt>
                <c:pt idx="106">
                  <c:v>6.3471299640899287E-2</c:v>
                </c:pt>
                <c:pt idx="107">
                  <c:v>6.4547285023593942E-2</c:v>
                </c:pt>
                <c:pt idx="108">
                  <c:v>6.5631693457844156E-2</c:v>
                </c:pt>
                <c:pt idx="109">
                  <c:v>6.6724510184058949E-2</c:v>
                </c:pt>
                <c:pt idx="110">
                  <c:v>6.7825720431754291E-2</c:v>
                </c:pt>
                <c:pt idx="111">
                  <c:v>6.8935309420664184E-2</c:v>
                </c:pt>
                <c:pt idx="112">
                  <c:v>7.0053262361849014E-2</c:v>
                </c:pt>
                <c:pt idx="113">
                  <c:v>7.1179564458796321E-2</c:v>
                </c:pt>
                <c:pt idx="114">
                  <c:v>7.2314200908517423E-2</c:v>
                </c:pt>
                <c:pt idx="115">
                  <c:v>7.3457156902637349E-2</c:v>
                </c:pt>
                <c:pt idx="116">
                  <c:v>7.4608417628479085E-2</c:v>
                </c:pt>
                <c:pt idx="117">
                  <c:v>7.5767968270140554E-2</c:v>
                </c:pt>
                <c:pt idx="118">
                  <c:v>7.6935794009565198E-2</c:v>
                </c:pt>
                <c:pt idx="119">
                  <c:v>7.8111880027605718E-2</c:v>
                </c:pt>
                <c:pt idx="120">
                  <c:v>7.9296211505079844E-2</c:v>
                </c:pt>
                <c:pt idx="121">
                  <c:v>8.0488773623818441E-2</c:v>
                </c:pt>
                <c:pt idx="122">
                  <c:v>8.1689551567705673E-2</c:v>
                </c:pt>
                <c:pt idx="123">
                  <c:v>8.289853052371135E-2</c:v>
                </c:pt>
                <c:pt idx="124">
                  <c:v>8.4115695682914104E-2</c:v>
                </c:pt>
                <c:pt idx="125">
                  <c:v>8.5341032241515777E-2</c:v>
                </c:pt>
                <c:pt idx="126">
                  <c:v>8.6574525401846777E-2</c:v>
                </c:pt>
                <c:pt idx="127">
                  <c:v>8.7816160373362248E-2</c:v>
                </c:pt>
                <c:pt idx="128">
                  <c:v>8.9065922373627954E-2</c:v>
                </c:pt>
                <c:pt idx="129">
                  <c:v>9.0323796629296974E-2</c:v>
                </c:pt>
                <c:pt idx="130">
                  <c:v>9.1589768377075387E-2</c:v>
                </c:pt>
                <c:pt idx="131">
                  <c:v>9.2863822864677981E-2</c:v>
                </c:pt>
                <c:pt idx="132">
                  <c:v>9.414594535177255E-2</c:v>
                </c:pt>
                <c:pt idx="133">
                  <c:v>9.5436121110914332E-2</c:v>
                </c:pt>
                <c:pt idx="134">
                  <c:v>9.6734335428467697E-2</c:v>
                </c:pt>
                <c:pt idx="135">
                  <c:v>9.8040573605517323E-2</c:v>
                </c:pt>
                <c:pt idx="136">
                  <c:v>9.9354820958767118E-2</c:v>
                </c:pt>
                <c:pt idx="137">
                  <c:v>0.10067706282142687</c:v>
                </c:pt>
                <c:pt idx="138">
                  <c:v>0.10200728454408749</c:v>
                </c:pt>
                <c:pt idx="139">
                  <c:v>0.10334547149558228</c:v>
                </c:pt>
                <c:pt idx="140">
                  <c:v>0.1046916090638368</c:v>
                </c:pt>
                <c:pt idx="141">
                  <c:v>0.10604568265670469</c:v>
                </c:pt>
                <c:pt idx="142">
                  <c:v>0.10740767770279065</c:v>
                </c:pt>
                <c:pt idx="143">
                  <c:v>0.10877757965225959</c:v>
                </c:pt>
                <c:pt idx="144">
                  <c:v>0.11015537397763278</c:v>
                </c:pt>
                <c:pt idx="145">
                  <c:v>0.11154104617456911</c:v>
                </c:pt>
                <c:pt idx="146">
                  <c:v>0.11293458176263244</c:v>
                </c:pt>
                <c:pt idx="147">
                  <c:v>0.11433596628604516</c:v>
                </c:pt>
                <c:pt idx="148">
                  <c:v>0.11574518531442587</c:v>
                </c:pt>
                <c:pt idx="149">
                  <c:v>0.11716222444351365</c:v>
                </c:pt>
                <c:pt idx="150">
                  <c:v>0.11858706929587617</c:v>
                </c:pt>
                <c:pt idx="151">
                  <c:v>0.1200197055216032</c:v>
                </c:pt>
                <c:pt idx="152">
                  <c:v>0.12146011879898404</c:v>
                </c:pt>
                <c:pt idx="153">
                  <c:v>0.12290829483517027</c:v>
                </c:pt>
                <c:pt idx="154">
                  <c:v>0.12436421936682172</c:v>
                </c:pt>
                <c:pt idx="155">
                  <c:v>0.12582787816073704</c:v>
                </c:pt>
                <c:pt idx="156">
                  <c:v>0.12729925701446762</c:v>
                </c:pt>
                <c:pt idx="157">
                  <c:v>0.12877834175691555</c:v>
                </c:pt>
                <c:pt idx="158">
                  <c:v>0.13026511824891451</c:v>
                </c:pt>
                <c:pt idx="159">
                  <c:v>0.13175957238379502</c:v>
                </c:pt>
                <c:pt idx="160">
                  <c:v>0.13326169008793098</c:v>
                </c:pt>
                <c:pt idx="161">
                  <c:v>0.13477145732127116</c:v>
                </c:pt>
                <c:pt idx="162">
                  <c:v>0.13628886007785235</c:v>
                </c:pt>
                <c:pt idx="163">
                  <c:v>0.1378138843862948</c:v>
                </c:pt>
                <c:pt idx="164">
                  <c:v>0.139346516310282</c:v>
                </c:pt>
                <c:pt idx="165">
                  <c:v>0.14088674194902009</c:v>
                </c:pt>
                <c:pt idx="166">
                  <c:v>0.14243454743768236</c:v>
                </c:pt>
                <c:pt idx="167">
                  <c:v>0.14398991894783372</c:v>
                </c:pt>
                <c:pt idx="168">
                  <c:v>0.14555284268783833</c:v>
                </c:pt>
                <c:pt idx="169">
                  <c:v>0.14712330490324851</c:v>
                </c:pt>
                <c:pt idx="170">
                  <c:v>0.14870129187717546</c:v>
                </c:pt>
                <c:pt idx="171">
                  <c:v>0.1502867899306421</c:v>
                </c:pt>
                <c:pt idx="172">
                  <c:v>0.15187978542291714</c:v>
                </c:pt>
                <c:pt idx="173">
                  <c:v>0.15348026475183008</c:v>
                </c:pt>
                <c:pt idx="174">
                  <c:v>0.15508821435406814</c:v>
                </c:pt>
                <c:pt idx="175">
                  <c:v>0.15670362070545485</c:v>
                </c:pt>
                <c:pt idx="176">
                  <c:v>0.15832647032120839</c:v>
                </c:pt>
                <c:pt idx="177">
                  <c:v>0.15995674975618274</c:v>
                </c:pt>
                <c:pt idx="178">
                  <c:v>0.16159444560508823</c:v>
                </c:pt>
                <c:pt idx="179">
                  <c:v>0.16323954450269437</c:v>
                </c:pt>
                <c:pt idx="180">
                  <c:v>0.16489203312401271</c:v>
                </c:pt>
                <c:pt idx="181">
                  <c:v>0.16655189818446092</c:v>
                </c:pt>
                <c:pt idx="182">
                  <c:v>0.16821912644000769</c:v>
                </c:pt>
                <c:pt idx="183">
                  <c:v>0.16989370468729806</c:v>
                </c:pt>
                <c:pt idx="184">
                  <c:v>0.17157561976375929</c:v>
                </c:pt>
                <c:pt idx="185">
                  <c:v>0.17326485854768861</c:v>
                </c:pt>
                <c:pt idx="186">
                  <c:v>0.17496140795831966</c:v>
                </c:pt>
                <c:pt idx="187">
                  <c:v>0.17666525495587146</c:v>
                </c:pt>
                <c:pt idx="188">
                  <c:v>0.17837638654157645</c:v>
                </c:pt>
                <c:pt idx="189">
                  <c:v>0.18009478975769025</c:v>
                </c:pt>
                <c:pt idx="190">
                  <c:v>0.18182045168748129</c:v>
                </c:pt>
                <c:pt idx="191">
                  <c:v>0.18355335945520135</c:v>
                </c:pt>
                <c:pt idx="192">
                  <c:v>0.18529350022603622</c:v>
                </c:pt>
                <c:pt idx="193">
                  <c:v>0.18704086120603808</c:v>
                </c:pt>
                <c:pt idx="194">
                  <c:v>0.18879542964203688</c:v>
                </c:pt>
                <c:pt idx="195">
                  <c:v>0.19055719282153377</c:v>
                </c:pt>
                <c:pt idx="196">
                  <c:v>0.19232613807257437</c:v>
                </c:pt>
                <c:pt idx="197">
                  <c:v>0.19410225276360327</c:v>
                </c:pt>
                <c:pt idx="198">
                  <c:v>0.19588552430329872</c:v>
                </c:pt>
                <c:pt idx="199">
                  <c:v>0.19767594014038842</c:v>
                </c:pt>
                <c:pt idx="200">
                  <c:v>0.19947348776344667</c:v>
                </c:pt>
                <c:pt idx="201">
                  <c:v>0.20127815470067087</c:v>
                </c:pt>
                <c:pt idx="202">
                  <c:v>0.20308992851964103</c:v>
                </c:pt>
                <c:pt idx="203">
                  <c:v>0.20490879682705893</c:v>
                </c:pt>
                <c:pt idx="204">
                  <c:v>0.20673474726846827</c:v>
                </c:pt>
                <c:pt idx="205">
                  <c:v>0.20856776752795744</c:v>
                </c:pt>
                <c:pt idx="206">
                  <c:v>0.21040784532784149</c:v>
                </c:pt>
                <c:pt idx="207">
                  <c:v>0.21225496842832761</c:v>
                </c:pt>
                <c:pt idx="208">
                  <c:v>0.21410912462716067</c:v>
                </c:pt>
                <c:pt idx="209">
                  <c:v>0.21597030175925044</c:v>
                </c:pt>
                <c:pt idx="210">
                  <c:v>0.21783848769628161</c:v>
                </c:pt>
                <c:pt idx="211">
                  <c:v>0.21971367034630365</c:v>
                </c:pt>
                <c:pt idx="212">
                  <c:v>0.22159583765330493</c:v>
                </c:pt>
                <c:pt idx="213">
                  <c:v>0.22348497759676703</c:v>
                </c:pt>
                <c:pt idx="214">
                  <c:v>0.22538107819120196</c:v>
                </c:pt>
                <c:pt idx="215">
                  <c:v>0.22728412748567181</c:v>
                </c:pt>
                <c:pt idx="216">
                  <c:v>0.22919411356329081</c:v>
                </c:pt>
                <c:pt idx="217">
                  <c:v>0.23111102454070948</c:v>
                </c:pt>
                <c:pt idx="218">
                  <c:v>0.2330348485675825</c:v>
                </c:pt>
                <c:pt idx="219">
                  <c:v>0.23496557382601888</c:v>
                </c:pt>
                <c:pt idx="220">
                  <c:v>0.23690318853001505</c:v>
                </c:pt>
                <c:pt idx="221">
                  <c:v>0.23884768092487169</c:v>
                </c:pt>
                <c:pt idx="222">
                  <c:v>0.24079903928659396</c:v>
                </c:pt>
                <c:pt idx="223">
                  <c:v>0.24275725192127534</c:v>
                </c:pt>
                <c:pt idx="224">
                  <c:v>0.24472230716446461</c:v>
                </c:pt>
                <c:pt idx="225">
                  <c:v>0.24669419338051826</c:v>
                </c:pt>
                <c:pt idx="226">
                  <c:v>0.24867289896193553</c:v>
                </c:pt>
                <c:pt idx="227">
                  <c:v>0.25065841232867908</c:v>
                </c:pt>
                <c:pt idx="228">
                  <c:v>0.25265072192747934</c:v>
                </c:pt>
                <c:pt idx="229">
                  <c:v>0.25464981623112481</c:v>
                </c:pt>
                <c:pt idx="230">
                  <c:v>0.25665568373773628</c:v>
                </c:pt>
                <c:pt idx="231">
                  <c:v>0.2586683129700269</c:v>
                </c:pt>
                <c:pt idx="232">
                  <c:v>0.26068769247454776</c:v>
                </c:pt>
                <c:pt idx="233">
                  <c:v>0.26271381082091888</c:v>
                </c:pt>
                <c:pt idx="234">
                  <c:v>0.2647466566010469</c:v>
                </c:pt>
                <c:pt idx="235">
                  <c:v>0.26678621842832806</c:v>
                </c:pt>
                <c:pt idx="236">
                  <c:v>0.26883248493683815</c:v>
                </c:pt>
                <c:pt idx="237">
                  <c:v>0.2708854447805093</c:v>
                </c:pt>
                <c:pt idx="238">
                  <c:v>0.27294508663229322</c:v>
                </c:pt>
                <c:pt idx="239">
                  <c:v>0.27501139918331263</c:v>
                </c:pt>
                <c:pt idx="240">
                  <c:v>0.27708437114199896</c:v>
                </c:pt>
                <c:pt idx="241">
                  <c:v>0.27916399123321872</c:v>
                </c:pt>
                <c:pt idx="242">
                  <c:v>0.28125024819738753</c:v>
                </c:pt>
                <c:pt idx="243">
                  <c:v>0.28334313078957268</c:v>
                </c:pt>
                <c:pt idx="244">
                  <c:v>0.28544262777858431</c:v>
                </c:pt>
                <c:pt idx="245">
                  <c:v>0.28754872794605513</c:v>
                </c:pt>
                <c:pt idx="246">
                  <c:v>0.28966142008550944</c:v>
                </c:pt>
                <c:pt idx="247">
                  <c:v>0.29178069300142229</c:v>
                </c:pt>
                <c:pt idx="248">
                  <c:v>0.29390653550826729</c:v>
                </c:pt>
                <c:pt idx="249">
                  <c:v>0.29603893642955548</c:v>
                </c:pt>
                <c:pt idx="250">
                  <c:v>0.29817788459686395</c:v>
                </c:pt>
                <c:pt idx="251">
                  <c:v>0.30032336884885541</c:v>
                </c:pt>
                <c:pt idx="252">
                  <c:v>0.30247537803028895</c:v>
                </c:pt>
                <c:pt idx="253">
                  <c:v>0.30463390099102133</c:v>
                </c:pt>
                <c:pt idx="254">
                  <c:v>0.30679892658500124</c:v>
                </c:pt>
                <c:pt idx="255">
                  <c:v>0.30897044366925419</c:v>
                </c:pt>
                <c:pt idx="256">
                  <c:v>0.31114844110286061</c:v>
                </c:pt>
                <c:pt idx="257">
                  <c:v>0.31333290774592598</c:v>
                </c:pt>
                <c:pt idx="258">
                  <c:v>0.31552383245854376</c:v>
                </c:pt>
                <c:pt idx="259">
                  <c:v>0.31772120409975285</c:v>
                </c:pt>
                <c:pt idx="260">
                  <c:v>0.31992501152648722</c:v>
                </c:pt>
                <c:pt idx="261">
                  <c:v>0.32213524359251988</c:v>
                </c:pt>
                <c:pt idx="262">
                  <c:v>0.32435188914740198</c:v>
                </c:pt>
                <c:pt idx="263">
                  <c:v>0.32657493703539447</c:v>
                </c:pt>
                <c:pt idx="264">
                  <c:v>0.32880437609439828</c:v>
                </c:pt>
                <c:pt idx="265">
                  <c:v>0.3310401951548757</c:v>
                </c:pt>
                <c:pt idx="266">
                  <c:v>0.33328238303877084</c:v>
                </c:pt>
                <c:pt idx="267">
                  <c:v>0.33553092855842376</c:v>
                </c:pt>
                <c:pt idx="268">
                  <c:v>0.33778582051548267</c:v>
                </c:pt>
                <c:pt idx="269">
                  <c:v>0.34004704769981148</c:v>
                </c:pt>
                <c:pt idx="270">
                  <c:v>0.34231459888839588</c:v>
                </c:pt>
                <c:pt idx="271">
                  <c:v>0.34458846284424577</c:v>
                </c:pt>
                <c:pt idx="272">
                  <c:v>0.34686862831529591</c:v>
                </c:pt>
                <c:pt idx="273">
                  <c:v>0.34915508403330442</c:v>
                </c:pt>
                <c:pt idx="274">
                  <c:v>0.35144781871275083</c:v>
                </c:pt>
                <c:pt idx="275">
                  <c:v>0.35374682104973171</c:v>
                </c:pt>
                <c:pt idx="276">
                  <c:v>0.3560520797208569</c:v>
                </c:pt>
                <c:pt idx="277">
                  <c:v>0.35836358338214375</c:v>
                </c:pt>
                <c:pt idx="278">
                  <c:v>0.36068132066791364</c:v>
                </c:pt>
                <c:pt idx="279">
                  <c:v>0.36300528018968603</c:v>
                </c:pt>
                <c:pt idx="280">
                  <c:v>0.36533545053507616</c:v>
                </c:pt>
                <c:pt idx="281">
                  <c:v>0.36767182026669187</c:v>
                </c:pt>
                <c:pt idx="282">
                  <c:v>0.37001437792103248</c:v>
                </c:pt>
                <c:pt idx="283">
                  <c:v>0.37236311200738992</c:v>
                </c:pt>
                <c:pt idx="284">
                  <c:v>0.37471801100675139</c:v>
                </c:pt>
                <c:pt idx="285">
                  <c:v>0.37707906337070524</c:v>
                </c:pt>
                <c:pt idx="286">
                  <c:v>0.37944625752034944</c:v>
                </c:pt>
                <c:pt idx="287">
                  <c:v>0.38181958184520365</c:v>
                </c:pt>
                <c:pt idx="288">
                  <c:v>0.38419902470212453</c:v>
                </c:pt>
                <c:pt idx="289">
                  <c:v>0.38658457441422567</c:v>
                </c:pt>
                <c:pt idx="290">
                  <c:v>0.38897621926980136</c:v>
                </c:pt>
                <c:pt idx="291">
                  <c:v>0.39137394752125582</c:v>
                </c:pt>
                <c:pt idx="292">
                  <c:v>0.3937777473840372</c:v>
                </c:pt>
                <c:pt idx="293">
                  <c:v>0.39618760703557693</c:v>
                </c:pt>
                <c:pt idx="294">
                  <c:v>0.39860351461423565</c:v>
                </c:pt>
                <c:pt idx="295">
                  <c:v>0.40104799644722416</c:v>
                </c:pt>
                <c:pt idx="296">
                  <c:v>0.40352919724721137</c:v>
                </c:pt>
                <c:pt idx="297">
                  <c:v>0.40601635326162738</c:v>
                </c:pt>
                <c:pt idx="298">
                  <c:v>0.40850944512551518</c:v>
                </c:pt>
                <c:pt idx="299">
                  <c:v>0.41100845342127035</c:v>
                </c:pt>
                <c:pt idx="300">
                  <c:v>0.41351335867837807</c:v>
                </c:pt>
                <c:pt idx="301">
                  <c:v>0.41602414137315757</c:v>
                </c:pt>
                <c:pt idx="302">
                  <c:v>0.41854078192850869</c:v>
                </c:pt>
                <c:pt idx="303">
                  <c:v>0.42106326071366529</c:v>
                </c:pt>
                <c:pt idx="304">
                  <c:v>0.42359155804395349</c:v>
                </c:pt>
                <c:pt idx="305">
                  <c:v>0.42612565418055431</c:v>
                </c:pt>
                <c:pt idx="306">
                  <c:v>0.42866552933027291</c:v>
                </c:pt>
                <c:pt idx="307">
                  <c:v>0.43121116364531309</c:v>
                </c:pt>
                <c:pt idx="308">
                  <c:v>0.43376253722305663</c:v>
                </c:pt>
                <c:pt idx="309">
                  <c:v>0.43631963010585018</c:v>
                </c:pt>
                <c:pt idx="310">
                  <c:v>0.43888242228079577</c:v>
                </c:pt>
                <c:pt idx="311">
                  <c:v>0.44145089367955009</c:v>
                </c:pt>
                <c:pt idx="312">
                  <c:v>0.44402502417812773</c:v>
                </c:pt>
                <c:pt idx="313">
                  <c:v>0.44660479359671212</c:v>
                </c:pt>
                <c:pt idx="314">
                  <c:v>0.44919018169947256</c:v>
                </c:pt>
                <c:pt idx="315">
                  <c:v>0.45178116819438696</c:v>
                </c:pt>
                <c:pt idx="316">
                  <c:v>0.45437773273307347</c:v>
                </c:pt>
                <c:pt idx="317">
                  <c:v>0.45697985491062643</c:v>
                </c:pt>
                <c:pt idx="318">
                  <c:v>0.45958751426546129</c:v>
                </c:pt>
                <c:pt idx="319">
                  <c:v>0.46220069027916488</c:v>
                </c:pt>
                <c:pt idx="320">
                  <c:v>0.46481936237635474</c:v>
                </c:pt>
                <c:pt idx="321">
                  <c:v>0.46744350992454359</c:v>
                </c:pt>
                <c:pt idx="322">
                  <c:v>0.47007311223401321</c:v>
                </c:pt>
                <c:pt idx="323">
                  <c:v>0.47270814855769439</c:v>
                </c:pt>
                <c:pt idx="324">
                  <c:v>0.47534859809105495</c:v>
                </c:pt>
                <c:pt idx="325">
                  <c:v>0.47799443997199642</c:v>
                </c:pt>
                <c:pt idx="326">
                  <c:v>0.48064565328075604</c:v>
                </c:pt>
                <c:pt idx="327">
                  <c:v>0.48330221703982007</c:v>
                </c:pt>
                <c:pt idx="328">
                  <c:v>0.48596411021384145</c:v>
                </c:pt>
                <c:pt idx="329">
                  <c:v>0.48863131170956903</c:v>
                </c:pt>
                <c:pt idx="330">
                  <c:v>0.49130380037578203</c:v>
                </c:pt>
                <c:pt idx="331">
                  <c:v>0.49398155500323526</c:v>
                </c:pt>
                <c:pt idx="332">
                  <c:v>0.4966645543246101</c:v>
                </c:pt>
                <c:pt idx="333">
                  <c:v>0.49935277701447639</c:v>
                </c:pt>
                <c:pt idx="334">
                  <c:v>0.50204620168926162</c:v>
                </c:pt>
                <c:pt idx="335">
                  <c:v>0.50474480690722834</c:v>
                </c:pt>
                <c:pt idx="336">
                  <c:v>0.50744857116846132</c:v>
                </c:pt>
                <c:pt idx="337">
                  <c:v>0.51015747291486235</c:v>
                </c:pt>
                <c:pt idx="338">
                  <c:v>0.51287149053015513</c:v>
                </c:pt>
                <c:pt idx="339">
                  <c:v>0.51559060233989717</c:v>
                </c:pt>
                <c:pt idx="340">
                  <c:v>0.51831478661150321</c:v>
                </c:pt>
                <c:pt idx="341">
                  <c:v>0.52104402155427476</c:v>
                </c:pt>
                <c:pt idx="342">
                  <c:v>0.52377828531944171</c:v>
                </c:pt>
                <c:pt idx="343">
                  <c:v>0.52651755600020977</c:v>
                </c:pt>
                <c:pt idx="344">
                  <c:v>0.52926181163182007</c:v>
                </c:pt>
                <c:pt idx="345">
                  <c:v>0.53201103019161644</c:v>
                </c:pt>
                <c:pt idx="346">
                  <c:v>0.53476518959912211</c:v>
                </c:pt>
                <c:pt idx="347">
                  <c:v>0.53752426771612616</c:v>
                </c:pt>
                <c:pt idx="348">
                  <c:v>0.54028824234677875</c:v>
                </c:pt>
                <c:pt idx="349">
                  <c:v>0.5430570912376963</c:v>
                </c:pt>
                <c:pt idx="350">
                  <c:v>0.5458307920780755</c:v>
                </c:pt>
                <c:pt idx="351">
                  <c:v>0.54860932249981809</c:v>
                </c:pt>
                <c:pt idx="352">
                  <c:v>0.5513926600776633</c:v>
                </c:pt>
                <c:pt idx="353">
                  <c:v>0.55418078232933132</c:v>
                </c:pt>
                <c:pt idx="354">
                  <c:v>0.55697366671567528</c:v>
                </c:pt>
                <c:pt idx="355">
                  <c:v>0.55977129064084341</c:v>
                </c:pt>
                <c:pt idx="356">
                  <c:v>0.56257363145245176</c:v>
                </c:pt>
                <c:pt idx="357">
                  <c:v>0.5653806664417631</c:v>
                </c:pt>
                <c:pt idx="358">
                  <c:v>0.5681923728438808</c:v>
                </c:pt>
                <c:pt idx="359">
                  <c:v>0.57100872783794621</c:v>
                </c:pt>
                <c:pt idx="360">
                  <c:v>0.57382970854735138</c:v>
                </c:pt>
                <c:pt idx="361">
                  <c:v>0.57665529203995747</c:v>
                </c:pt>
                <c:pt idx="362">
                  <c:v>0.57948545532832474</c:v>
                </c:pt>
                <c:pt idx="363">
                  <c:v>0.58232017536995129</c:v>
                </c:pt>
                <c:pt idx="364">
                  <c:v>0.58515942906752128</c:v>
                </c:pt>
                <c:pt idx="365">
                  <c:v>0.58800319326916495</c:v>
                </c:pt>
                <c:pt idx="366">
                  <c:v>0.59085144476872464</c:v>
                </c:pt>
                <c:pt idx="367">
                  <c:v>0.59370416030603346</c:v>
                </c:pt>
                <c:pt idx="368">
                  <c:v>0.59656131656720179</c:v>
                </c:pt>
                <c:pt idx="369">
                  <c:v>0.59942289018491468</c:v>
                </c:pt>
                <c:pt idx="370">
                  <c:v>0.60228885773873631</c:v>
                </c:pt>
                <c:pt idx="371">
                  <c:v>0.6051591957554282</c:v>
                </c:pt>
                <c:pt idx="372">
                  <c:v>0.60803388070927233</c:v>
                </c:pt>
                <c:pt idx="373">
                  <c:v>0.61091288902240626</c:v>
                </c:pt>
                <c:pt idx="374">
                  <c:v>0.61379619706516741</c:v>
                </c:pt>
                <c:pt idx="375">
                  <c:v>0.61668378115644551</c:v>
                </c:pt>
                <c:pt idx="376">
                  <c:v>0.61957561756404667</c:v>
                </c:pt>
                <c:pt idx="377">
                  <c:v>0.62247168250506313</c:v>
                </c:pt>
                <c:pt idx="378">
                  <c:v>0.62537195214625652</c:v>
                </c:pt>
                <c:pt idx="379">
                  <c:v>0.62827640260444617</c:v>
                </c:pt>
                <c:pt idx="380">
                  <c:v>0.6311850099469094</c:v>
                </c:pt>
                <c:pt idx="381">
                  <c:v>0.63409775019178938</c:v>
                </c:pt>
                <c:pt idx="382">
                  <c:v>0.63701459930851323</c:v>
                </c:pt>
                <c:pt idx="383">
                  <c:v>0.63993553321821672</c:v>
                </c:pt>
                <c:pt idx="384">
                  <c:v>0.64286052779418035</c:v>
                </c:pt>
                <c:pt idx="385">
                  <c:v>0.64578955886227274</c:v>
                </c:pt>
                <c:pt idx="386">
                  <c:v>0.64872260220140265</c:v>
                </c:pt>
                <c:pt idx="387">
                  <c:v>0.65165963354398082</c:v>
                </c:pt>
                <c:pt idx="388">
                  <c:v>0.65460062857638868</c:v>
                </c:pt>
                <c:pt idx="389">
                  <c:v>0.65754556293945654</c:v>
                </c:pt>
                <c:pt idx="390">
                  <c:v>0.66049441222894911</c:v>
                </c:pt>
                <c:pt idx="391">
                  <c:v>0.66344715199606186</c:v>
                </c:pt>
                <c:pt idx="392">
                  <c:v>0.66640375774792127</c:v>
                </c:pt>
                <c:pt idx="393">
                  <c:v>0.66936420494809723</c:v>
                </c:pt>
                <c:pt idx="394">
                  <c:v>0.6723284690171204</c:v>
                </c:pt>
                <c:pt idx="395">
                  <c:v>0.6752965253330101</c:v>
                </c:pt>
                <c:pt idx="396">
                  <c:v>0.67826834923180657</c:v>
                </c:pt>
                <c:pt idx="397">
                  <c:v>0.68124391600811407</c:v>
                </c:pt>
                <c:pt idx="398">
                  <c:v>0.68422320091565003</c:v>
                </c:pt>
                <c:pt idx="399">
                  <c:v>0.68720617916780102</c:v>
                </c:pt>
                <c:pt idx="400">
                  <c:v>0.69019282593818765</c:v>
                </c:pt>
                <c:pt idx="401">
                  <c:v>0.69318311636123375</c:v>
                </c:pt>
                <c:pt idx="402">
                  <c:v>0.69617702553274685</c:v>
                </c:pt>
                <c:pt idx="403">
                  <c:v>0.69917452851050155</c:v>
                </c:pt>
                <c:pt idx="404">
                  <c:v>0.70217560031483184</c:v>
                </c:pt>
                <c:pt idx="405">
                  <c:v>0.70518021592922819</c:v>
                </c:pt>
                <c:pt idx="406">
                  <c:v>0.70818835030094474</c:v>
                </c:pt>
                <c:pt idx="407">
                  <c:v>0.71119997834160775</c:v>
                </c:pt>
                <c:pt idx="408">
                  <c:v>0.71421507492783443</c:v>
                </c:pt>
                <c:pt idx="409">
                  <c:v>0.71723361490185655</c:v>
                </c:pt>
                <c:pt idx="410">
                  <c:v>0.7202555730721486</c:v>
                </c:pt>
                <c:pt idx="411">
                  <c:v>0.72328092421406365</c:v>
                </c:pt>
                <c:pt idx="412">
                  <c:v>0.72630964307047341</c:v>
                </c:pt>
                <c:pt idx="413">
                  <c:v>0.72934170435241552</c:v>
                </c:pt>
                <c:pt idx="414">
                  <c:v>0.73237708273974267</c:v>
                </c:pt>
                <c:pt idx="415">
                  <c:v>0.73541575288178196</c:v>
                </c:pt>
                <c:pt idx="416">
                  <c:v>0.73845768939799383</c:v>
                </c:pt>
                <c:pt idx="417">
                  <c:v>0.7415028668786392</c:v>
                </c:pt>
                <c:pt idx="418">
                  <c:v>0.74455125988545134</c:v>
                </c:pt>
                <c:pt idx="419">
                  <c:v>0.74760284295230939</c:v>
                </c:pt>
                <c:pt idx="420">
                  <c:v>0.75065759058592008</c:v>
                </c:pt>
                <c:pt idx="421">
                  <c:v>0.75371547726649857</c:v>
                </c:pt>
                <c:pt idx="422">
                  <c:v>0.75677647744845955</c:v>
                </c:pt>
                <c:pt idx="423">
                  <c:v>0.75984056556110591</c:v>
                </c:pt>
                <c:pt idx="424">
                  <c:v>0.76290771600932539</c:v>
                </c:pt>
                <c:pt idx="425">
                  <c:v>0.76597790317428771</c:v>
                </c:pt>
                <c:pt idx="426">
                  <c:v>0.76905110141414779</c:v>
                </c:pt>
                <c:pt idx="427">
                  <c:v>0.77212728506474848</c:v>
                </c:pt>
                <c:pt idx="428">
                  <c:v>0.77520642844032894</c:v>
                </c:pt>
                <c:pt idx="429">
                  <c:v>0.77828850583423537</c:v>
                </c:pt>
                <c:pt idx="430">
                  <c:v>0.78137349151963198</c:v>
                </c:pt>
                <c:pt idx="431">
                  <c:v>0.7844613597502178</c:v>
                </c:pt>
                <c:pt idx="432">
                  <c:v>0.78755208476094041</c:v>
                </c:pt>
                <c:pt idx="433">
                  <c:v>0.79064564076871846</c:v>
                </c:pt>
                <c:pt idx="434">
                  <c:v>0.79374200197315881</c:v>
                </c:pt>
                <c:pt idx="435">
                  <c:v>0.79684114255728022</c:v>
                </c:pt>
                <c:pt idx="436">
                  <c:v>0.79994303668823519</c:v>
                </c:pt>
                <c:pt idx="437">
                  <c:v>0.8030476585180355</c:v>
                </c:pt>
                <c:pt idx="438">
                  <c:v>0.80615498218427517</c:v>
                </c:pt>
                <c:pt idx="439">
                  <c:v>0.80926498181085715</c:v>
                </c:pt>
                <c:pt idx="440">
                  <c:v>0.81237763150872011</c:v>
                </c:pt>
                <c:pt idx="441">
                  <c:v>0.81549290537656294</c:v>
                </c:pt>
                <c:pt idx="442">
                  <c:v>0.81861077750157196</c:v>
                </c:pt>
                <c:pt idx="443">
                  <c:v>0.82173122196014647</c:v>
                </c:pt>
                <c:pt idx="444">
                  <c:v>0.82485421281862537</c:v>
                </c:pt>
                <c:pt idx="445">
                  <c:v>0.82797972413400989</c:v>
                </c:pt>
                <c:pt idx="446">
                  <c:v>0.83110772995469062</c:v>
                </c:pt>
                <c:pt idx="447">
                  <c:v>0.83423820432116758</c:v>
                </c:pt>
                <c:pt idx="448">
                  <c:v>0.83737112126677415</c:v>
                </c:pt>
                <c:pt idx="449">
                  <c:v>0.84050645481839636</c:v>
                </c:pt>
                <c:pt idx="450">
                  <c:v>0.84364417899719113</c:v>
                </c:pt>
                <c:pt idx="451">
                  <c:v>0.84678426781930372</c:v>
                </c:pt>
                <c:pt idx="452">
                  <c:v>0.84992669529658149</c:v>
                </c:pt>
                <c:pt idx="453">
                  <c:v>0.8530714354372857</c:v>
                </c:pt>
                <c:pt idx="454">
                  <c:v>0.85621846224680154</c:v>
                </c:pt>
                <c:pt idx="455">
                  <c:v>0.85936774972834518</c:v>
                </c:pt>
                <c:pt idx="456">
                  <c:v>0.86251927188366539</c:v>
                </c:pt>
                <c:pt idx="457">
                  <c:v>0.86567300271374636</c:v>
                </c:pt>
                <c:pt idx="458">
                  <c:v>0.8688289162195022</c:v>
                </c:pt>
                <c:pt idx="459">
                  <c:v>0.87198698640247174</c:v>
                </c:pt>
                <c:pt idx="460">
                  <c:v>0.87514718726550678</c:v>
                </c:pt>
                <c:pt idx="461">
                  <c:v>0.87830949281345694</c:v>
                </c:pt>
                <c:pt idx="462">
                  <c:v>0.88147387705385172</c:v>
                </c:pt>
                <c:pt idx="463">
                  <c:v>0.88464031399757381</c:v>
                </c:pt>
                <c:pt idx="464">
                  <c:v>0.88780877765953348</c:v>
                </c:pt>
                <c:pt idx="465">
                  <c:v>0.89097924205933221</c:v>
                </c:pt>
                <c:pt idx="466">
                  <c:v>0.8941516812219249</c:v>
                </c:pt>
                <c:pt idx="467">
                  <c:v>0.89732606917827429</c:v>
                </c:pt>
                <c:pt idx="468">
                  <c:v>0.90050237996600202</c:v>
                </c:pt>
                <c:pt idx="469">
                  <c:v>0.90368058763003045</c:v>
                </c:pt>
                <c:pt idx="470">
                  <c:v>0.90686066622322226</c:v>
                </c:pt>
                <c:pt idx="471">
                  <c:v>0.91004258980700981</c:v>
                </c:pt>
                <c:pt idx="472">
                  <c:v>0.91322633245202089</c:v>
                </c:pt>
                <c:pt idx="473">
                  <c:v>0.91641186823869603</c:v>
                </c:pt>
                <c:pt idx="474">
                  <c:v>0.91959917125789947</c:v>
                </c:pt>
                <c:pt idx="475">
                  <c:v>0.92278821561152258</c:v>
                </c:pt>
                <c:pt idx="476">
                  <c:v>0.92597897541307939</c:v>
                </c:pt>
                <c:pt idx="477">
                  <c:v>0.92917142478829617</c:v>
                </c:pt>
                <c:pt idx="478">
                  <c:v>0.93236553787569043</c:v>
                </c:pt>
                <c:pt idx="479">
                  <c:v>0.93556128882714418</c:v>
                </c:pt>
                <c:pt idx="480">
                  <c:v>0.93875865180846729</c:v>
                </c:pt>
                <c:pt idx="481">
                  <c:v>0.94195760099995418</c:v>
                </c:pt>
                <c:pt idx="482">
                  <c:v>0.94515811059692867</c:v>
                </c:pt>
                <c:pt idx="483">
                  <c:v>0.94836015481028357</c:v>
                </c:pt>
                <c:pt idx="484">
                  <c:v>0.95156370786700795</c:v>
                </c:pt>
                <c:pt idx="485">
                  <c:v>0.95476874401070722</c:v>
                </c:pt>
                <c:pt idx="486">
                  <c:v>0.95797523750211289</c:v>
                </c:pt>
                <c:pt idx="487">
                  <c:v>0.9611831626195817</c:v>
                </c:pt>
                <c:pt idx="488">
                  <c:v>0.96439249365958668</c:v>
                </c:pt>
                <c:pt idx="489">
                  <c:v>0.96760320493719509</c:v>
                </c:pt>
                <c:pt idx="490">
                  <c:v>0.9708152707865404</c:v>
                </c:pt>
                <c:pt idx="491">
                  <c:v>0.97402866556127909</c:v>
                </c:pt>
                <c:pt idx="492">
                  <c:v>0.97724336363503905</c:v>
                </c:pt>
                <c:pt idx="493">
                  <c:v>0.98045933940185814</c:v>
                </c:pt>
                <c:pt idx="494">
                  <c:v>0.98367656727660757</c:v>
                </c:pt>
                <c:pt idx="495">
                  <c:v>0.98689502169540977</c:v>
                </c:pt>
                <c:pt idx="496">
                  <c:v>0.99011467711603851</c:v>
                </c:pt>
                <c:pt idx="497">
                  <c:v>0.99333550801831294</c:v>
                </c:pt>
                <c:pt idx="498">
                  <c:v>0.99655748890447504</c:v>
                </c:pt>
                <c:pt idx="499">
                  <c:v>0.99978059429955857</c:v>
                </c:pt>
              </c:numCache>
            </c:numRef>
          </c:xVal>
          <c:yVal>
            <c:numRef>
              <c:f>Data1!$J$1:$J$500</c:f>
              <c:numCache>
                <c:formatCode>0.000000</c:formatCode>
                <c:ptCount val="500"/>
                <c:pt idx="0">
                  <c:v>0</c:v>
                </c:pt>
                <c:pt idx="1">
                  <c:v>-6.8484237415760753E-4</c:v>
                </c:pt>
                <c:pt idx="2">
                  <c:v>-1.3669012598058021E-3</c:v>
                </c:pt>
                <c:pt idx="3">
                  <c:v>-2.046175957071252E-3</c:v>
                </c:pt>
                <c:pt idx="4">
                  <c:v>-2.722665684557046E-3</c:v>
                </c:pt>
                <c:pt idx="5">
                  <c:v>-3.3963695792396872E-3</c:v>
                </c:pt>
                <c:pt idx="6">
                  <c:v>-4.0672866964360128E-3</c:v>
                </c:pt>
                <c:pt idx="7">
                  <c:v>-4.7354160097793901E-3</c:v>
                </c:pt>
                <c:pt idx="8">
                  <c:v>-5.4007564112299542E-3</c:v>
                </c:pt>
                <c:pt idx="9">
                  <c:v>-6.0633067111172936E-3</c:v>
                </c:pt>
                <c:pt idx="10">
                  <c:v>-6.7230656382107623E-3</c:v>
                </c:pt>
                <c:pt idx="11">
                  <c:v>-7.3800318398215443E-3</c:v>
                </c:pt>
                <c:pt idx="12">
                  <c:v>-8.0342038819322115E-3</c:v>
                </c:pt>
                <c:pt idx="13">
                  <c:v>-8.6855802493567245E-3</c:v>
                </c:pt>
                <c:pt idx="14">
                  <c:v>-9.3341593459319964E-3</c:v>
                </c:pt>
                <c:pt idx="15">
                  <c:v>-9.9799394947377006E-3</c:v>
                </c:pt>
                <c:pt idx="16">
                  <c:v>-1.0622918938343091E-2</c:v>
                </c:pt>
                <c:pt idx="17">
                  <c:v>-1.1263095839089883E-2</c:v>
                </c:pt>
                <c:pt idx="18">
                  <c:v>-1.1900468279397012E-2</c:v>
                </c:pt>
                <c:pt idx="19">
                  <c:v>-1.2535034262101691E-2</c:v>
                </c:pt>
                <c:pt idx="20">
                  <c:v>-1.3166791710823541E-2</c:v>
                </c:pt>
                <c:pt idx="21">
                  <c:v>-1.3795738470363004E-2</c:v>
                </c:pt>
                <c:pt idx="22">
                  <c:v>-1.4421872307126125E-2</c:v>
                </c:pt>
                <c:pt idx="23">
                  <c:v>-1.504519090957961E-2</c:v>
                </c:pt>
                <c:pt idx="24">
                  <c:v>-1.5665691888733325E-2</c:v>
                </c:pt>
                <c:pt idx="25">
                  <c:v>-1.6283372778654194E-2</c:v>
                </c:pt>
                <c:pt idx="26">
                  <c:v>-1.689823103700536E-2</c:v>
                </c:pt>
                <c:pt idx="27">
                  <c:v>-1.7510264045618087E-2</c:v>
                </c:pt>
                <c:pt idx="28">
                  <c:v>-1.8119469111088481E-2</c:v>
                </c:pt>
                <c:pt idx="29">
                  <c:v>-1.8725843465404554E-2</c:v>
                </c:pt>
                <c:pt idx="30">
                  <c:v>-1.9329384266602041E-2</c:v>
                </c:pt>
                <c:pt idx="31">
                  <c:v>-1.9930088599445304E-2</c:v>
                </c:pt>
                <c:pt idx="32">
                  <c:v>-2.0527953476140524E-2</c:v>
                </c:pt>
                <c:pt idx="33">
                  <c:v>-2.1122975837073715E-2</c:v>
                </c:pt>
                <c:pt idx="34">
                  <c:v>-2.1715152551576886E-2</c:v>
                </c:pt>
                <c:pt idx="35">
                  <c:v>-2.2304480418722274E-2</c:v>
                </c:pt>
                <c:pt idx="36">
                  <c:v>-2.2890956168144416E-2</c:v>
                </c:pt>
                <c:pt idx="37">
                  <c:v>-2.3474576460888196E-2</c:v>
                </c:pt>
                <c:pt idx="38">
                  <c:v>-2.4055337890284557E-2</c:v>
                </c:pt>
                <c:pt idx="39">
                  <c:v>-2.4633236982853361E-2</c:v>
                </c:pt>
                <c:pt idx="40">
                  <c:v>-2.5208270199232514E-2</c:v>
                </c:pt>
                <c:pt idx="41">
                  <c:v>-2.5780433935134028E-2</c:v>
                </c:pt>
                <c:pt idx="42">
                  <c:v>-2.6349724522325684E-2</c:v>
                </c:pt>
                <c:pt idx="43">
                  <c:v>-2.6916138229639369E-2</c:v>
                </c:pt>
                <c:pt idx="44">
                  <c:v>-2.747967126400554E-2</c:v>
                </c:pt>
                <c:pt idx="45">
                  <c:v>-2.8040319771513042E-2</c:v>
                </c:pt>
                <c:pt idx="46">
                  <c:v>-2.8598079838494495E-2</c:v>
                </c:pt>
                <c:pt idx="47">
                  <c:v>-2.9152947492636697E-2</c:v>
                </c:pt>
                <c:pt idx="48">
                  <c:v>-2.9704918704117345E-2</c:v>
                </c:pt>
                <c:pt idx="49">
                  <c:v>-3.0253989386764758E-2</c:v>
                </c:pt>
                <c:pt idx="50">
                  <c:v>-3.0800155399243998E-2</c:v>
                </c:pt>
                <c:pt idx="51">
                  <c:v>-3.1343412546266262E-2</c:v>
                </c:pt>
                <c:pt idx="52">
                  <c:v>-3.1883756579823258E-2</c:v>
                </c:pt>
                <c:pt idx="53">
                  <c:v>-3.2421183200445014E-2</c:v>
                </c:pt>
                <c:pt idx="54">
                  <c:v>-3.2955688058481099E-2</c:v>
                </c:pt>
                <c:pt idx="55">
                  <c:v>-3.348726675540669E-2</c:v>
                </c:pt>
                <c:pt idx="56">
                  <c:v>-3.401591484514993E-2</c:v>
                </c:pt>
                <c:pt idx="57">
                  <c:v>-3.4541627835444053E-2</c:v>
                </c:pt>
                <c:pt idx="58">
                  <c:v>-3.5064401189200838E-2</c:v>
                </c:pt>
                <c:pt idx="59">
                  <c:v>-3.5584230325907136E-2</c:v>
                </c:pt>
                <c:pt idx="60">
                  <c:v>-3.6101110623043858E-2</c:v>
                </c:pt>
                <c:pt idx="61">
                  <c:v>-3.6615037417525906E-2</c:v>
                </c:pt>
                <c:pt idx="62">
                  <c:v>-3.7126006007164654E-2</c:v>
                </c:pt>
                <c:pt idx="63">
                  <c:v>-3.763401165215137E-2</c:v>
                </c:pt>
                <c:pt idx="64">
                  <c:v>-3.8139049576561265E-2</c:v>
                </c:pt>
                <c:pt idx="65">
                  <c:v>-3.8641114969879507E-2</c:v>
                </c:pt>
                <c:pt idx="66">
                  <c:v>-3.9140202988546167E-2</c:v>
                </c:pt>
                <c:pt idx="67">
                  <c:v>-3.9636308757522484E-2</c:v>
                </c:pt>
                <c:pt idx="68">
                  <c:v>-4.012942737187665E-2</c:v>
                </c:pt>
                <c:pt idx="69">
                  <c:v>-4.0619553898388797E-2</c:v>
                </c:pt>
                <c:pt idx="70">
                  <c:v>-4.1106683377176101E-2</c:v>
                </c:pt>
                <c:pt idx="71">
                  <c:v>-4.1590810823335489E-2</c:v>
                </c:pt>
                <c:pt idx="72">
                  <c:v>-4.2071931228606571E-2</c:v>
                </c:pt>
                <c:pt idx="73">
                  <c:v>-4.2550039563051416E-2</c:v>
                </c:pt>
                <c:pt idx="74">
                  <c:v>-4.3025130776753469E-2</c:v>
                </c:pt>
                <c:pt idx="75">
                  <c:v>-4.3497199801533271E-2</c:v>
                </c:pt>
                <c:pt idx="76">
                  <c:v>-4.3966241552681681E-2</c:v>
                </c:pt>
                <c:pt idx="77">
                  <c:v>-4.4432250930710918E-2</c:v>
                </c:pt>
                <c:pt idx="78">
                  <c:v>-4.4895222823120667E-2</c:v>
                </c:pt>
                <c:pt idx="79">
                  <c:v>-4.5355152106182142E-2</c:v>
                </c:pt>
                <c:pt idx="80">
                  <c:v>-4.581203364673684E-2</c:v>
                </c:pt>
                <c:pt idx="81">
                  <c:v>-4.6265862304011668E-2</c:v>
                </c:pt>
                <c:pt idx="82">
                  <c:v>-4.6716632931449079E-2</c:v>
                </c:pt>
                <c:pt idx="83">
                  <c:v>-4.7164340378551946E-2</c:v>
                </c:pt>
                <c:pt idx="84">
                  <c:v>-4.7608979492743307E-2</c:v>
                </c:pt>
                <c:pt idx="85">
                  <c:v>-4.8050545121239935E-2</c:v>
                </c:pt>
                <c:pt idx="86">
                  <c:v>-4.8489032112940214E-2</c:v>
                </c:pt>
                <c:pt idx="87">
                  <c:v>-4.8924435320324811E-2</c:v>
                </c:pt>
                <c:pt idx="88">
                  <c:v>-4.9356749601371E-2</c:v>
                </c:pt>
                <c:pt idx="89">
                  <c:v>-4.9785969821479564E-2</c:v>
                </c:pt>
                <c:pt idx="90">
                  <c:v>-5.0212090855413519E-2</c:v>
                </c:pt>
                <c:pt idx="91">
                  <c:v>-5.0635107589249564E-2</c:v>
                </c:pt>
                <c:pt idx="92">
                  <c:v>-5.1055014922340713E-2</c:v>
                </c:pt>
                <c:pt idx="93">
                  <c:v>-5.1471807769289876E-2</c:v>
                </c:pt>
                <c:pt idx="94">
                  <c:v>-5.1885481061934649E-2</c:v>
                </c:pt>
                <c:pt idx="95">
                  <c:v>-5.2296029751342281E-2</c:v>
                </c:pt>
                <c:pt idx="96">
                  <c:v>-5.2703448809814674E-2</c:v>
                </c:pt>
                <c:pt idx="97">
                  <c:v>-5.3107733232902882E-2</c:v>
                </c:pt>
                <c:pt idx="98">
                  <c:v>-5.3508878041431222E-2</c:v>
                </c:pt>
                <c:pt idx="99">
                  <c:v>-5.3906878283529649E-2</c:v>
                </c:pt>
                <c:pt idx="100">
                  <c:v>-5.430172903667483E-2</c:v>
                </c:pt>
                <c:pt idx="101">
                  <c:v>-5.4693425409739239E-2</c:v>
                </c:pt>
                <c:pt idx="102">
                  <c:v>-5.5081962545047762E-2</c:v>
                </c:pt>
                <c:pt idx="103">
                  <c:v>-5.5467335620441573E-2</c:v>
                </c:pt>
                <c:pt idx="104">
                  <c:v>-5.5849539851348454E-2</c:v>
                </c:pt>
                <c:pt idx="105">
                  <c:v>-5.6228570492859939E-2</c:v>
                </c:pt>
                <c:pt idx="106">
                  <c:v>-5.6604422841814092E-2</c:v>
                </c:pt>
                <c:pt idx="107">
                  <c:v>-5.697709223888376E-2</c:v>
                </c:pt>
                <c:pt idx="108">
                  <c:v>-5.73465740706703E-2</c:v>
                </c:pt>
                <c:pt idx="109">
                  <c:v>-5.7712863771801313E-2</c:v>
                </c:pt>
                <c:pt idx="110">
                  <c:v>-5.8075956827033398E-2</c:v>
                </c:pt>
                <c:pt idx="111">
                  <c:v>-5.8435848773357918E-2</c:v>
                </c:pt>
                <c:pt idx="112">
                  <c:v>-5.8792535202111064E-2</c:v>
                </c:pt>
                <c:pt idx="113">
                  <c:v>-5.9146011761085915E-2</c:v>
                </c:pt>
                <c:pt idx="114">
                  <c:v>-5.9496274156647808E-2</c:v>
                </c:pt>
                <c:pt idx="115">
                  <c:v>-5.9843318155851359E-2</c:v>
                </c:pt>
                <c:pt idx="116">
                  <c:v>-6.0187139588559327E-2</c:v>
                </c:pt>
                <c:pt idx="117">
                  <c:v>-6.0527734349562684E-2</c:v>
                </c:pt>
                <c:pt idx="118">
                  <c:v>-6.0865098400701256E-2</c:v>
                </c:pt>
                <c:pt idx="119">
                  <c:v>-6.1199227772985212E-2</c:v>
                </c:pt>
                <c:pt idx="120">
                  <c:v>-6.1530118568715979E-2</c:v>
                </c:pt>
                <c:pt idx="121">
                  <c:v>-6.1857766963606689E-2</c:v>
                </c:pt>
                <c:pt idx="122">
                  <c:v>-6.2182169208901995E-2</c:v>
                </c:pt>
                <c:pt idx="123">
                  <c:v>-6.2503321633496076E-2</c:v>
                </c:pt>
                <c:pt idx="124">
                  <c:v>-6.28212206460491E-2</c:v>
                </c:pt>
                <c:pt idx="125">
                  <c:v>-6.3135862737101034E-2</c:v>
                </c:pt>
                <c:pt idx="126">
                  <c:v>-6.3447244481183093E-2</c:v>
                </c:pt>
                <c:pt idx="127">
                  <c:v>-6.3755362538925692E-2</c:v>
                </c:pt>
                <c:pt idx="128">
                  <c:v>-6.406021365916284E-2</c:v>
                </c:pt>
                <c:pt idx="129">
                  <c:v>-6.436179468103273E-2</c:v>
                </c:pt>
                <c:pt idx="130">
                  <c:v>-6.4660102536073127E-2</c:v>
                </c:pt>
                <c:pt idx="131">
                  <c:v>-6.4955134250312574E-2</c:v>
                </c:pt>
                <c:pt idx="132">
                  <c:v>-6.5246886946355512E-2</c:v>
                </c:pt>
                <c:pt idx="133">
                  <c:v>-6.5535357845461925E-2</c:v>
                </c:pt>
                <c:pt idx="134">
                  <c:v>-6.582054426962046E-2</c:v>
                </c:pt>
                <c:pt idx="135">
                  <c:v>-6.6102443643614756E-2</c:v>
                </c:pt>
                <c:pt idx="136">
                  <c:v>-6.6381053497082801E-2</c:v>
                </c:pt>
                <c:pt idx="137">
                  <c:v>-6.6656371466568151E-2</c:v>
                </c:pt>
                <c:pt idx="138">
                  <c:v>-6.6928395297563517E-2</c:v>
                </c:pt>
                <c:pt idx="139">
                  <c:v>-6.719712284654536E-2</c:v>
                </c:pt>
                <c:pt idx="140">
                  <c:v>-6.7462552082999921E-2</c:v>
                </c:pt>
                <c:pt idx="141">
                  <c:v>-6.7724681091439171E-2</c:v>
                </c:pt>
                <c:pt idx="142">
                  <c:v>-6.7983508073407306E-2</c:v>
                </c:pt>
                <c:pt idx="143">
                  <c:v>-6.8239031349476814E-2</c:v>
                </c:pt>
                <c:pt idx="144">
                  <c:v>-6.8491249361233603E-2</c:v>
                </c:pt>
                <c:pt idx="145">
                  <c:v>-6.8740160673250991E-2</c:v>
                </c:pt>
                <c:pt idx="146">
                  <c:v>-6.8985763975051614E-2</c:v>
                </c:pt>
                <c:pt idx="147">
                  <c:v>-6.9228058083057903E-2</c:v>
                </c:pt>
                <c:pt idx="148">
                  <c:v>-6.9467041942529173E-2</c:v>
                </c:pt>
                <c:pt idx="149">
                  <c:v>-6.9702714629486337E-2</c:v>
                </c:pt>
                <c:pt idx="150">
                  <c:v>-6.9935075352622542E-2</c:v>
                </c:pt>
                <c:pt idx="151">
                  <c:v>-7.0164123455200469E-2</c:v>
                </c:pt>
                <c:pt idx="152">
                  <c:v>-7.0389858416934681E-2</c:v>
                </c:pt>
                <c:pt idx="153">
                  <c:v>-7.0612279855859689E-2</c:v>
                </c:pt>
                <c:pt idx="154">
                  <c:v>-7.0831387530182519E-2</c:v>
                </c:pt>
                <c:pt idx="155">
                  <c:v>-7.1047181340119392E-2</c:v>
                </c:pt>
                <c:pt idx="156">
                  <c:v>-7.125966132971695E-2</c:v>
                </c:pt>
                <c:pt idx="157">
                  <c:v>-7.1468827688656131E-2</c:v>
                </c:pt>
                <c:pt idx="158">
                  <c:v>-7.1674680754039558E-2</c:v>
                </c:pt>
                <c:pt idx="159">
                  <c:v>-7.1877221012161555E-2</c:v>
                </c:pt>
                <c:pt idx="160">
                  <c:v>-7.2076449100260023E-2</c:v>
                </c:pt>
                <c:pt idx="161">
                  <c:v>-7.2272365808250388E-2</c:v>
                </c:pt>
                <c:pt idx="162">
                  <c:v>-7.2464972080440421E-2</c:v>
                </c:pt>
                <c:pt idx="163">
                  <c:v>-7.2654269017226492E-2</c:v>
                </c:pt>
                <c:pt idx="164">
                  <c:v>-7.2840257876769843E-2</c:v>
                </c:pt>
                <c:pt idx="165">
                  <c:v>-7.3022940076653275E-2</c:v>
                </c:pt>
                <c:pt idx="166">
                  <c:v>-7.3202317195517064E-2</c:v>
                </c:pt>
                <c:pt idx="167">
                  <c:v>-7.337839097467444E-2</c:v>
                </c:pt>
                <c:pt idx="168">
                  <c:v>-7.3551163319705876E-2</c:v>
                </c:pt>
                <c:pt idx="169">
                  <c:v>-7.3720636302031489E-2</c:v>
                </c:pt>
                <c:pt idx="170">
                  <c:v>-7.3886812160461612E-2</c:v>
                </c:pt>
                <c:pt idx="171">
                  <c:v>-7.4049693302725164E-2</c:v>
                </c:pt>
                <c:pt idx="172">
                  <c:v>-7.4209282306974794E-2</c:v>
                </c:pt>
                <c:pt idx="173">
                  <c:v>-7.4365581923269197E-2</c:v>
                </c:pt>
                <c:pt idx="174">
                  <c:v>-7.4518595075031488E-2</c:v>
                </c:pt>
                <c:pt idx="175">
                  <c:v>-7.4668324860484039E-2</c:v>
                </c:pt>
                <c:pt idx="176">
                  <c:v>-7.4814774554058341E-2</c:v>
                </c:pt>
                <c:pt idx="177">
                  <c:v>-7.4957947607780684E-2</c:v>
                </c:pt>
                <c:pt idx="178">
                  <c:v>-7.5097847652632249E-2</c:v>
                </c:pt>
                <c:pt idx="179">
                  <c:v>-7.5234478499883989E-2</c:v>
                </c:pt>
                <c:pt idx="180">
                  <c:v>-7.5367844142405271E-2</c:v>
                </c:pt>
                <c:pt idx="181">
                  <c:v>-7.5497948755946565E-2</c:v>
                </c:pt>
                <c:pt idx="182">
                  <c:v>-7.5624796700395319E-2</c:v>
                </c:pt>
                <c:pt idx="183">
                  <c:v>-7.5748392521004793E-2</c:v>
                </c:pt>
                <c:pt idx="184">
                  <c:v>-7.5868740949595614E-2</c:v>
                </c:pt>
                <c:pt idx="185">
                  <c:v>-7.5985846905729598E-2</c:v>
                </c:pt>
                <c:pt idx="186">
                  <c:v>-7.6099715497855283E-2</c:v>
                </c:pt>
                <c:pt idx="187">
                  <c:v>-7.621035202442529E-2</c:v>
                </c:pt>
                <c:pt idx="188">
                  <c:v>-7.6317761974984868E-2</c:v>
                </c:pt>
                <c:pt idx="189">
                  <c:v>-7.6421951031231034E-2</c:v>
                </c:pt>
                <c:pt idx="190">
                  <c:v>-7.6522925068042522E-2</c:v>
                </c:pt>
                <c:pt idx="191">
                  <c:v>-7.6620690154480031E-2</c:v>
                </c:pt>
                <c:pt idx="192">
                  <c:v>-7.6715252554755822E-2</c:v>
                </c:pt>
                <c:pt idx="193">
                  <c:v>-7.6806618729173562E-2</c:v>
                </c:pt>
                <c:pt idx="194">
                  <c:v>-7.6894795335036792E-2</c:v>
                </c:pt>
                <c:pt idx="195">
                  <c:v>-7.6979789227526615E-2</c:v>
                </c:pt>
                <c:pt idx="196">
                  <c:v>-7.7061607460547979E-2</c:v>
                </c:pt>
                <c:pt idx="197">
                  <c:v>-7.7140257287544228E-2</c:v>
                </c:pt>
                <c:pt idx="198">
                  <c:v>-7.7215746162279289E-2</c:v>
                </c:pt>
                <c:pt idx="199">
                  <c:v>-7.7288081739588343E-2</c:v>
                </c:pt>
                <c:pt idx="200">
                  <c:v>-7.7357271876094952E-2</c:v>
                </c:pt>
                <c:pt idx="201">
                  <c:v>-7.7423324630896129E-2</c:v>
                </c:pt>
                <c:pt idx="202">
                  <c:v>-7.7486248266213517E-2</c:v>
                </c:pt>
                <c:pt idx="203">
                  <c:v>-7.7546051248011866E-2</c:v>
                </c:pt>
                <c:pt idx="204">
                  <c:v>-7.7602742246582992E-2</c:v>
                </c:pt>
                <c:pt idx="205">
                  <c:v>-7.7656330137096469E-2</c:v>
                </c:pt>
                <c:pt idx="206">
                  <c:v>-7.7706824000115415E-2</c:v>
                </c:pt>
                <c:pt idx="207">
                  <c:v>-7.7754233122078589E-2</c:v>
                </c:pt>
                <c:pt idx="208">
                  <c:v>-7.7798566995746707E-2</c:v>
                </c:pt>
                <c:pt idx="209">
                  <c:v>-7.7839835320614725E-2</c:v>
                </c:pt>
                <c:pt idx="210">
                  <c:v>-7.7878048003288181E-2</c:v>
                </c:pt>
                <c:pt idx="211">
                  <c:v>-7.7913215157824595E-2</c:v>
                </c:pt>
                <c:pt idx="212">
                  <c:v>-7.7945347106038662E-2</c:v>
                </c:pt>
                <c:pt idx="213">
                  <c:v>-7.7974454377771937E-2</c:v>
                </c:pt>
                <c:pt idx="214">
                  <c:v>-7.8000547711126245E-2</c:v>
                </c:pt>
                <c:pt idx="215">
                  <c:v>-7.8023638052660507E-2</c:v>
                </c:pt>
                <c:pt idx="216">
                  <c:v>-7.8043736557551618E-2</c:v>
                </c:pt>
                <c:pt idx="217">
                  <c:v>-7.8060854589717676E-2</c:v>
                </c:pt>
                <c:pt idx="218">
                  <c:v>-7.8075003721905178E-2</c:v>
                </c:pt>
                <c:pt idx="219">
                  <c:v>-7.8086195735738481E-2</c:v>
                </c:pt>
                <c:pt idx="220">
                  <c:v>-7.8094442621732235E-2</c:v>
                </c:pt>
                <c:pt idx="221">
                  <c:v>-7.809975657926628E-2</c:v>
                </c:pt>
                <c:pt idx="222">
                  <c:v>-7.8102150016522723E-2</c:v>
                </c:pt>
                <c:pt idx="223">
                  <c:v>-7.8101635550385587E-2</c:v>
                </c:pt>
                <c:pt idx="224">
                  <c:v>-7.809822600630198E-2</c:v>
                </c:pt>
                <c:pt idx="225">
                  <c:v>-7.8091934418105843E-2</c:v>
                </c:pt>
                <c:pt idx="226">
                  <c:v>-7.8082774027802587E-2</c:v>
                </c:pt>
                <c:pt idx="227">
                  <c:v>-7.8070758285316275E-2</c:v>
                </c:pt>
                <c:pt idx="228">
                  <c:v>-7.8055900848197482E-2</c:v>
                </c:pt>
                <c:pt idx="229">
                  <c:v>-7.8038215581293036E-2</c:v>
                </c:pt>
                <c:pt idx="230">
                  <c:v>-7.8017716556376973E-2</c:v>
                </c:pt>
                <c:pt idx="231">
                  <c:v>-7.7994418051742287E-2</c:v>
                </c:pt>
                <c:pt idx="232">
                  <c:v>-7.796833455175417E-2</c:v>
                </c:pt>
                <c:pt idx="233">
                  <c:v>-7.7939480746363976E-2</c:v>
                </c:pt>
                <c:pt idx="234">
                  <c:v>-7.7907871530584122E-2</c:v>
                </c:pt>
                <c:pt idx="235">
                  <c:v>-7.7873522003923695E-2</c:v>
                </c:pt>
                <c:pt idx="236">
                  <c:v>-7.7836447469785103E-2</c:v>
                </c:pt>
                <c:pt idx="237">
                  <c:v>-7.7796663434820848E-2</c:v>
                </c:pt>
                <c:pt idx="238">
                  <c:v>-7.7754185608251425E-2</c:v>
                </c:pt>
                <c:pt idx="239">
                  <c:v>-7.7709029901143548E-2</c:v>
                </c:pt>
                <c:pt idx="240">
                  <c:v>-7.7661212425648857E-2</c:v>
                </c:pt>
                <c:pt idx="241">
                  <c:v>-7.7610749494203171E-2</c:v>
                </c:pt>
                <c:pt idx="242">
                  <c:v>-7.7557657618686285E-2</c:v>
                </c:pt>
                <c:pt idx="243">
                  <c:v>-7.7501953509541921E-2</c:v>
                </c:pt>
                <c:pt idx="244">
                  <c:v>-7.7443654074858606E-2</c:v>
                </c:pt>
                <c:pt idx="245">
                  <c:v>-7.7382776419410215E-2</c:v>
                </c:pt>
                <c:pt idx="246">
                  <c:v>-7.7319337843657798E-2</c:v>
                </c:pt>
                <c:pt idx="247">
                  <c:v>-7.725335584271123E-2</c:v>
                </c:pt>
                <c:pt idx="248">
                  <c:v>-7.7184848105251544E-2</c:v>
                </c:pt>
                <c:pt idx="249">
                  <c:v>-7.7113832512413633E-2</c:v>
                </c:pt>
                <c:pt idx="250">
                  <c:v>-7.7040327136629616E-2</c:v>
                </c:pt>
                <c:pt idx="251">
                  <c:v>-7.6964350240432744E-2</c:v>
                </c:pt>
                <c:pt idx="252">
                  <c:v>-7.6885920275221481E-2</c:v>
                </c:pt>
                <c:pt idx="253">
                  <c:v>-7.6805055879985318E-2</c:v>
                </c:pt>
                <c:pt idx="254">
                  <c:v>-7.6721775879989851E-2</c:v>
                </c:pt>
                <c:pt idx="255">
                  <c:v>-7.6636099285423698E-2</c:v>
                </c:pt>
                <c:pt idx="256">
                  <c:v>-7.6548045290006278E-2</c:v>
                </c:pt>
                <c:pt idx="257">
                  <c:v>-7.6457633269555778E-2</c:v>
                </c:pt>
                <c:pt idx="258">
                  <c:v>-7.6364882780519144E-2</c:v>
                </c:pt>
                <c:pt idx="259">
                  <c:v>-7.6269813558462476E-2</c:v>
                </c:pt>
                <c:pt idx="260">
                  <c:v>-7.6172445516523149E-2</c:v>
                </c:pt>
                <c:pt idx="261">
                  <c:v>-7.6072798743823139E-2</c:v>
                </c:pt>
                <c:pt idx="262">
                  <c:v>-7.5970893503844075E-2</c:v>
                </c:pt>
                <c:pt idx="263">
                  <c:v>-7.5866750232763527E-2</c:v>
                </c:pt>
                <c:pt idx="264">
                  <c:v>-7.5760389537753728E-2</c:v>
                </c:pt>
                <c:pt idx="265">
                  <c:v>-7.5651832195241728E-2</c:v>
                </c:pt>
                <c:pt idx="266">
                  <c:v>-7.5541099149131652E-2</c:v>
                </c:pt>
                <c:pt idx="267">
                  <c:v>-7.542821150899004E-2</c:v>
                </c:pt>
                <c:pt idx="268">
                  <c:v>-7.5313190548192341E-2</c:v>
                </c:pt>
                <c:pt idx="269">
                  <c:v>-7.5196057702033442E-2</c:v>
                </c:pt>
                <c:pt idx="270">
                  <c:v>-7.5076834565799805E-2</c:v>
                </c:pt>
                <c:pt idx="271">
                  <c:v>-7.4955542892805496E-2</c:v>
                </c:pt>
                <c:pt idx="272">
                  <c:v>-7.4832204592391205E-2</c:v>
                </c:pt>
                <c:pt idx="273">
                  <c:v>-7.4706841727886414E-2</c:v>
                </c:pt>
                <c:pt idx="274">
                  <c:v>-7.4579476514536031E-2</c:v>
                </c:pt>
                <c:pt idx="275">
                  <c:v>-7.4450131317389701E-2</c:v>
                </c:pt>
                <c:pt idx="276">
                  <c:v>-7.4318828649156843E-2</c:v>
                </c:pt>
                <c:pt idx="277">
                  <c:v>-7.4185591168024465E-2</c:v>
                </c:pt>
                <c:pt idx="278">
                  <c:v>-7.4050441675441142E-2</c:v>
                </c:pt>
                <c:pt idx="279">
                  <c:v>-7.3913403113864573E-2</c:v>
                </c:pt>
                <c:pt idx="280">
                  <c:v>-7.3774498564475557E-2</c:v>
                </c:pt>
                <c:pt idx="281">
                  <c:v>-7.3633751244856285E-2</c:v>
                </c:pt>
                <c:pt idx="282">
                  <c:v>-7.3491184506635485E-2</c:v>
                </c:pt>
                <c:pt idx="283">
                  <c:v>-7.3346821833098583E-2</c:v>
                </c:pt>
                <c:pt idx="284">
                  <c:v>-7.3200686836765227E-2</c:v>
                </c:pt>
                <c:pt idx="285">
                  <c:v>-7.3052803256932669E-2</c:v>
                </c:pt>
                <c:pt idx="286">
                  <c:v>-7.2903194957186418E-2</c:v>
                </c:pt>
                <c:pt idx="287">
                  <c:v>-7.2751885922878581E-2</c:v>
                </c:pt>
                <c:pt idx="288">
                  <c:v>-7.2598900258572963E-2</c:v>
                </c:pt>
                <c:pt idx="289">
                  <c:v>-7.2444262185459296E-2</c:v>
                </c:pt>
                <c:pt idx="290">
                  <c:v>-7.2287996038734634E-2</c:v>
                </c:pt>
                <c:pt idx="291">
                  <c:v>-7.2130126264954325E-2</c:v>
                </c:pt>
                <c:pt idx="292">
                  <c:v>-7.1970677419351675E-2</c:v>
                </c:pt>
                <c:pt idx="293">
                  <c:v>-7.1809674163127099E-2</c:v>
                </c:pt>
                <c:pt idx="294">
                  <c:v>-7.1647141260706676E-2</c:v>
                </c:pt>
                <c:pt idx="295">
                  <c:v>-7.1482991707691054E-2</c:v>
                </c:pt>
                <c:pt idx="296">
                  <c:v>-7.1316317370877069E-2</c:v>
                </c:pt>
                <c:pt idx="297">
                  <c:v>-7.1146926646533173E-2</c:v>
                </c:pt>
                <c:pt idx="298">
                  <c:v>-7.0974835505083961E-2</c:v>
                </c:pt>
                <c:pt idx="299">
                  <c:v>-7.080006001515371E-2</c:v>
                </c:pt>
                <c:pt idx="300">
                  <c:v>-7.0622616340969835E-2</c:v>
                </c:pt>
                <c:pt idx="301">
                  <c:v>-7.0442520739742151E-2</c:v>
                </c:pt>
                <c:pt idx="302">
                  <c:v>-7.0259789559018029E-2</c:v>
                </c:pt>
                <c:pt idx="303">
                  <c:v>-7.007443923401413E-2</c:v>
                </c:pt>
                <c:pt idx="304">
                  <c:v>-6.9886486284924471E-2</c:v>
                </c:pt>
                <c:pt idx="305">
                  <c:v>-6.9695947314206849E-2</c:v>
                </c:pt>
                <c:pt idx="306">
                  <c:v>-6.9502839003846184E-2</c:v>
                </c:pt>
                <c:pt idx="307">
                  <c:v>-6.9307178112596485E-2</c:v>
                </c:pt>
                <c:pt idx="308">
                  <c:v>-6.9108981473201408E-2</c:v>
                </c:pt>
                <c:pt idx="309">
                  <c:v>-6.8908265989594139E-2</c:v>
                </c:pt>
                <c:pt idx="310">
                  <c:v>-6.8705048634076907E-2</c:v>
                </c:pt>
                <c:pt idx="311">
                  <c:v>-6.8499346444480205E-2</c:v>
                </c:pt>
                <c:pt idx="312">
                  <c:v>-6.8291176521303398E-2</c:v>
                </c:pt>
                <c:pt idx="313">
                  <c:v>-6.8080556024835592E-2</c:v>
                </c:pt>
                <c:pt idx="314">
                  <c:v>-6.7867502172258801E-2</c:v>
                </c:pt>
                <c:pt idx="315">
                  <c:v>-6.7652032234732401E-2</c:v>
                </c:pt>
                <c:pt idx="316">
                  <c:v>-6.7434163534461244E-2</c:v>
                </c:pt>
                <c:pt idx="317">
                  <c:v>-6.7213913441745432E-2</c:v>
                </c:pt>
                <c:pt idx="318">
                  <c:v>-6.699129937201509E-2</c:v>
                </c:pt>
                <c:pt idx="319">
                  <c:v>-6.6766338782848045E-2</c:v>
                </c:pt>
                <c:pt idx="320">
                  <c:v>-6.653904917097303E-2</c:v>
                </c:pt>
                <c:pt idx="321">
                  <c:v>-6.6309448069257426E-2</c:v>
                </c:pt>
                <c:pt idx="322">
                  <c:v>-6.6077553043680681E-2</c:v>
                </c:pt>
                <c:pt idx="323">
                  <c:v>-6.5843381690294384E-2</c:v>
                </c:pt>
                <c:pt idx="324">
                  <c:v>-6.560695163216855E-2</c:v>
                </c:pt>
                <c:pt idx="325">
                  <c:v>-6.5368280516325067E-2</c:v>
                </c:pt>
                <c:pt idx="326">
                  <c:v>-6.5127386010659441E-2</c:v>
                </c:pt>
                <c:pt idx="327">
                  <c:v>-6.4884285800850455E-2</c:v>
                </c:pt>
                <c:pt idx="328">
                  <c:v>-6.4638997587258662E-2</c:v>
                </c:pt>
                <c:pt idx="329">
                  <c:v>-6.4391539081814636E-2</c:v>
                </c:pt>
                <c:pt idx="330">
                  <c:v>-6.4141928004896653E-2</c:v>
                </c:pt>
                <c:pt idx="331">
                  <c:v>-6.389018208219932E-2</c:v>
                </c:pt>
                <c:pt idx="332">
                  <c:v>-6.3636319041593087E-2</c:v>
                </c:pt>
                <c:pt idx="333">
                  <c:v>-6.3380356609975472E-2</c:v>
                </c:pt>
                <c:pt idx="334">
                  <c:v>-6.3122312510114284E-2</c:v>
                </c:pt>
                <c:pt idx="335">
                  <c:v>-6.2862204457483528E-2</c:v>
                </c:pt>
                <c:pt idx="336">
                  <c:v>-6.2600050157093384E-2</c:v>
                </c:pt>
                <c:pt idx="337">
                  <c:v>-6.2335867300312993E-2</c:v>
                </c:pt>
                <c:pt idx="338">
                  <c:v>-6.2069673561688285E-2</c:v>
                </c:pt>
                <c:pt idx="339">
                  <c:v>-6.1801486595754997E-2</c:v>
                </c:pt>
                <c:pt idx="340">
                  <c:v>-6.153132403384682E-2</c:v>
                </c:pt>
                <c:pt idx="341">
                  <c:v>-6.125920348090011E-2</c:v>
                </c:pt>
                <c:pt idx="342">
                  <c:v>-6.0985142512255126E-2</c:v>
                </c:pt>
                <c:pt idx="343">
                  <c:v>-6.070915867045501E-2</c:v>
                </c:pt>
                <c:pt idx="344">
                  <c:v>-6.043126946204222E-2</c:v>
                </c:pt>
                <c:pt idx="345">
                  <c:v>-6.0151492354353561E-2</c:v>
                </c:pt>
                <c:pt idx="346">
                  <c:v>-5.9869844772314849E-2</c:v>
                </c:pt>
                <c:pt idx="347">
                  <c:v>-5.9586344095234688E-2</c:v>
                </c:pt>
                <c:pt idx="348">
                  <c:v>-5.9301007653598761E-2</c:v>
                </c:pt>
                <c:pt idx="349">
                  <c:v>-5.9013852725864888E-2</c:v>
                </c:pt>
                <c:pt idx="350">
                  <c:v>-5.8724896535260071E-2</c:v>
                </c:pt>
                <c:pt idx="351">
                  <c:v>-5.8434156246578724E-2</c:v>
                </c:pt>
                <c:pt idx="352">
                  <c:v>-5.8141648962984294E-2</c:v>
                </c:pt>
                <c:pt idx="353">
                  <c:v>-5.7847391722814161E-2</c:v>
                </c:pt>
                <c:pt idx="354">
                  <c:v>-5.7551401496387614E-2</c:v>
                </c:pt>
                <c:pt idx="355">
                  <c:v>-5.725369518281935E-2</c:v>
                </c:pt>
                <c:pt idx="356">
                  <c:v>-5.6954289606837308E-2</c:v>
                </c:pt>
                <c:pt idx="357">
                  <c:v>-5.6653201515606107E-2</c:v>
                </c:pt>
                <c:pt idx="358">
                  <c:v>-5.6350447575557648E-2</c:v>
                </c:pt>
                <c:pt idx="359">
                  <c:v>-5.6046044369227339E-2</c:v>
                </c:pt>
                <c:pt idx="360">
                  <c:v>-5.5740008392098563E-2</c:v>
                </c:pt>
                <c:pt idx="361">
                  <c:v>-5.5432356049455164E-2</c:v>
                </c:pt>
                <c:pt idx="362">
                  <c:v>-5.5123103653242238E-2</c:v>
                </c:pt>
                <c:pt idx="363">
                  <c:v>-5.4812267418936307E-2</c:v>
                </c:pt>
                <c:pt idx="364">
                  <c:v>-5.4499863462425871E-2</c:v>
                </c:pt>
                <c:pt idx="365">
                  <c:v>-5.4185907796901328E-2</c:v>
                </c:pt>
                <c:pt idx="366">
                  <c:v>-5.3870416329757052E-2</c:v>
                </c:pt>
                <c:pt idx="367">
                  <c:v>-5.3553404859504522E-2</c:v>
                </c:pt>
                <c:pt idx="368">
                  <c:v>-5.3234889072697647E-2</c:v>
                </c:pt>
                <c:pt idx="369">
                  <c:v>-5.2914884540871239E-2</c:v>
                </c:pt>
                <c:pt idx="370">
                  <c:v>-5.2593406717493227E-2</c:v>
                </c:pt>
                <c:pt idx="371">
                  <c:v>-5.2270470934929543E-2</c:v>
                </c:pt>
                <c:pt idx="372">
                  <c:v>-5.1946092401425253E-2</c:v>
                </c:pt>
                <c:pt idx="373">
                  <c:v>-5.1620286198100315E-2</c:v>
                </c:pt>
                <c:pt idx="374">
                  <c:v>-5.1293067275960391E-2</c:v>
                </c:pt>
                <c:pt idx="375">
                  <c:v>-5.0964450452925351E-2</c:v>
                </c:pt>
                <c:pt idx="376">
                  <c:v>-5.0634450410873812E-2</c:v>
                </c:pt>
                <c:pt idx="377">
                  <c:v>-5.0303081692705524E-2</c:v>
                </c:pt>
                <c:pt idx="378">
                  <c:v>-4.997035869942229E-2</c:v>
                </c:pt>
                <c:pt idx="379">
                  <c:v>-4.9636295687226724E-2</c:v>
                </c:pt>
                <c:pt idx="380">
                  <c:v>-4.9300906764641314E-2</c:v>
                </c:pt>
                <c:pt idx="381">
                  <c:v>-4.8964205889646978E-2</c:v>
                </c:pt>
                <c:pt idx="382">
                  <c:v>-4.862620686684152E-2</c:v>
                </c:pt>
                <c:pt idx="383">
                  <c:v>-4.8286923344620272E-2</c:v>
                </c:pt>
                <c:pt idx="384">
                  <c:v>-4.7946368812377411E-2</c:v>
                </c:pt>
                <c:pt idx="385">
                  <c:v>-4.7604556597729941E-2</c:v>
                </c:pt>
                <c:pt idx="386">
                  <c:v>-4.72614998637641E-2</c:v>
                </c:pt>
                <c:pt idx="387">
                  <c:v>-4.6917211606305326E-2</c:v>
                </c:pt>
                <c:pt idx="388">
                  <c:v>-4.6571704651212152E-2</c:v>
                </c:pt>
                <c:pt idx="389">
                  <c:v>-4.6224991651694136E-2</c:v>
                </c:pt>
                <c:pt idx="390">
                  <c:v>-4.5877085085655238E-2</c:v>
                </c:pt>
                <c:pt idx="391">
                  <c:v>-4.5527997253062322E-2</c:v>
                </c:pt>
                <c:pt idx="392">
                  <c:v>-4.5177740273340275E-2</c:v>
                </c:pt>
                <c:pt idx="393">
                  <c:v>-4.482632608279298E-2</c:v>
                </c:pt>
                <c:pt idx="394">
                  <c:v>-4.4473766432052302E-2</c:v>
                </c:pt>
                <c:pt idx="395">
                  <c:v>-4.4120072883553969E-2</c:v>
                </c:pt>
                <c:pt idx="396">
                  <c:v>-4.3765256809042384E-2</c:v>
                </c:pt>
                <c:pt idx="397">
                  <c:v>-4.340932938710397E-2</c:v>
                </c:pt>
                <c:pt idx="398">
                  <c:v>-4.3052301600729141E-2</c:v>
                </c:pt>
                <c:pt idx="399">
                  <c:v>-4.2694184234905633E-2</c:v>
                </c:pt>
                <c:pt idx="400">
                  <c:v>-4.2334987874240337E-2</c:v>
                </c:pt>
                <c:pt idx="401">
                  <c:v>-4.1974722900613465E-2</c:v>
                </c:pt>
                <c:pt idx="402">
                  <c:v>-4.16133994908632E-2</c:v>
                </c:pt>
                <c:pt idx="403">
                  <c:v>-4.1251027614502389E-2</c:v>
                </c:pt>
                <c:pt idx="404">
                  <c:v>-4.0887617031467927E-2</c:v>
                </c:pt>
                <c:pt idx="405">
                  <c:v>-4.0523177289902609E-2</c:v>
                </c:pt>
                <c:pt idx="406">
                  <c:v>-4.0157717723970573E-2</c:v>
                </c:pt>
                <c:pt idx="407">
                  <c:v>-3.9791247451706133E-2</c:v>
                </c:pt>
                <c:pt idx="408">
                  <c:v>-3.9423775372898005E-2</c:v>
                </c:pt>
                <c:pt idx="409">
                  <c:v>-3.9055310167006765E-2</c:v>
                </c:pt>
                <c:pt idx="410">
                  <c:v>-3.8685860291118812E-2</c:v>
                </c:pt>
                <c:pt idx="411">
                  <c:v>-3.8315433977935714E-2</c:v>
                </c:pt>
                <c:pt idx="412">
                  <c:v>-3.7944039233799451E-2</c:v>
                </c:pt>
                <c:pt idx="413">
                  <c:v>-3.7571683836754771E-2</c:v>
                </c:pt>
                <c:pt idx="414">
                  <c:v>-3.7198375334648176E-2</c:v>
                </c:pt>
                <c:pt idx="415">
                  <c:v>-3.6824121043264706E-2</c:v>
                </c:pt>
                <c:pt idx="416">
                  <c:v>-3.6448928044503025E-2</c:v>
                </c:pt>
                <c:pt idx="417">
                  <c:v>-3.607280318458804E-2</c:v>
                </c:pt>
                <c:pt idx="418">
                  <c:v>-3.5695753072323269E-2</c:v>
                </c:pt>
                <c:pt idx="419">
                  <c:v>-3.5317784077382189E-2</c:v>
                </c:pt>
                <c:pt idx="420">
                  <c:v>-3.49389023286387E-2</c:v>
                </c:pt>
                <c:pt idx="421">
                  <c:v>-3.4559113712538732E-2</c:v>
                </c:pt>
                <c:pt idx="422">
                  <c:v>-3.4178423871511376E-2</c:v>
                </c:pt>
                <c:pt idx="423">
                  <c:v>-3.3796838202421679E-2</c:v>
                </c:pt>
                <c:pt idx="424">
                  <c:v>-3.3414361855063884E-2</c:v>
                </c:pt>
                <c:pt idx="425">
                  <c:v>-3.3030999730697425E-2</c:v>
                </c:pt>
                <c:pt idx="426">
                  <c:v>-3.2646756480623776E-2</c:v>
                </c:pt>
                <c:pt idx="427">
                  <c:v>-3.2261636504806818E-2</c:v>
                </c:pt>
                <c:pt idx="428">
                  <c:v>-3.1875643950535194E-2</c:v>
                </c:pt>
                <c:pt idx="429">
                  <c:v>-3.1488782711128094E-2</c:v>
                </c:pt>
                <c:pt idx="430">
                  <c:v>-3.1101056424684796E-2</c:v>
                </c:pt>
                <c:pt idx="431">
                  <c:v>-3.0712468472877657E-2</c:v>
                </c:pt>
                <c:pt idx="432">
                  <c:v>-3.0323021979789477E-2</c:v>
                </c:pt>
                <c:pt idx="433">
                  <c:v>-2.9932719810795316E-2</c:v>
                </c:pt>
                <c:pt idx="434">
                  <c:v>-2.9541564571489445E-2</c:v>
                </c:pt>
                <c:pt idx="435">
                  <c:v>-2.9149558606656523E-2</c:v>
                </c:pt>
                <c:pt idx="436">
                  <c:v>-2.8756703999289965E-2</c:v>
                </c:pt>
                <c:pt idx="437">
                  <c:v>-2.8363002569654013E-2</c:v>
                </c:pt>
                <c:pt idx="438">
                  <c:v>-2.7968455874393623E-2</c:v>
                </c:pt>
                <c:pt idx="439">
                  <c:v>-2.7573065205689719E-2</c:v>
                </c:pt>
                <c:pt idx="440">
                  <c:v>-2.7176831590461296E-2</c:v>
                </c:pt>
                <c:pt idx="441">
                  <c:v>-2.6779755789614598E-2</c:v>
                </c:pt>
                <c:pt idx="442">
                  <c:v>-2.6381838297339536E-2</c:v>
                </c:pt>
                <c:pt idx="443">
                  <c:v>-2.5983079340453089E-2</c:v>
                </c:pt>
                <c:pt idx="444">
                  <c:v>-2.5583478877790986E-2</c:v>
                </c:pt>
                <c:pt idx="445">
                  <c:v>-2.5183036599646776E-2</c:v>
                </c:pt>
                <c:pt idx="446">
                  <c:v>-2.4781751927259576E-2</c:v>
                </c:pt>
                <c:pt idx="447">
                  <c:v>-2.4379624012349957E-2</c:v>
                </c:pt>
                <c:pt idx="448">
                  <c:v>-2.3976651736704064E-2</c:v>
                </c:pt>
                <c:pt idx="449">
                  <c:v>-2.3572833711807746E-2</c:v>
                </c:pt>
                <c:pt idx="450">
                  <c:v>-2.3168168278528193E-2</c:v>
                </c:pt>
                <c:pt idx="451">
                  <c:v>-2.2762653506845875E-2</c:v>
                </c:pt>
                <c:pt idx="452">
                  <c:v>-2.2356287195635531E-2</c:v>
                </c:pt>
                <c:pt idx="453">
                  <c:v>-2.194906687249714E-2</c:v>
                </c:pt>
                <c:pt idx="454">
                  <c:v>-2.1540989793635869E-2</c:v>
                </c:pt>
                <c:pt idx="455">
                  <c:v>-2.1132052943792536E-2</c:v>
                </c:pt>
                <c:pt idx="456">
                  <c:v>-2.0722253036224089E-2</c:v>
                </c:pt>
                <c:pt idx="457">
                  <c:v>-2.031158651273449E-2</c:v>
                </c:pt>
                <c:pt idx="458">
                  <c:v>-1.990004954375562E-2</c:v>
                </c:pt>
                <c:pt idx="459">
                  <c:v>-1.94876380284787E-2</c:v>
                </c:pt>
                <c:pt idx="460">
                  <c:v>-1.9074347595036827E-2</c:v>
                </c:pt>
                <c:pt idx="461">
                  <c:v>-1.8660173600737733E-2</c:v>
                </c:pt>
                <c:pt idx="462">
                  <c:v>-1.8245111132347353E-2</c:v>
                </c:pt>
                <c:pt idx="463">
                  <c:v>-1.7829155006425207E-2</c:v>
                </c:pt>
                <c:pt idx="464">
                  <c:v>-1.7412299769709524E-2</c:v>
                </c:pt>
                <c:pt idx="465">
                  <c:v>-1.6994539699554608E-2</c:v>
                </c:pt>
                <c:pt idx="466">
                  <c:v>-1.6575868804418643E-2</c:v>
                </c:pt>
                <c:pt idx="467">
                  <c:v>-1.6156280824403318E-2</c:v>
                </c:pt>
                <c:pt idx="468">
                  <c:v>-1.5735769231844235E-2</c:v>
                </c:pt>
                <c:pt idx="469">
                  <c:v>-1.5314327231952932E-2</c:v>
                </c:pt>
                <c:pt idx="470">
                  <c:v>-1.4891947763510681E-2</c:v>
                </c:pt>
                <c:pt idx="471">
                  <c:v>-1.4468623499612504E-2</c:v>
                </c:pt>
                <c:pt idx="472">
                  <c:v>-1.4044346848464341E-2</c:v>
                </c:pt>
                <c:pt idx="473">
                  <c:v>-1.3619109954230178E-2</c:v>
                </c:pt>
                <c:pt idx="474">
                  <c:v>-1.3192904697931133E-2</c:v>
                </c:pt>
                <c:pt idx="475">
                  <c:v>-1.2765722698396731E-2</c:v>
                </c:pt>
                <c:pt idx="476">
                  <c:v>-1.2337555313265931E-2</c:v>
                </c:pt>
                <c:pt idx="477">
                  <c:v>-1.1908393640041409E-2</c:v>
                </c:pt>
                <c:pt idx="478">
                  <c:v>-1.1478228517194052E-2</c:v>
                </c:pt>
                <c:pt idx="479">
                  <c:v>-1.1047050525318904E-2</c:v>
                </c:pt>
                <c:pt idx="480">
                  <c:v>-1.0614849988343E-2</c:v>
                </c:pt>
                <c:pt idx="481">
                  <c:v>-1.0181616974783626E-2</c:v>
                </c:pt>
                <c:pt idx="482">
                  <c:v>-9.7473412990582813E-3</c:v>
                </c:pt>
                <c:pt idx="483">
                  <c:v>-9.3120125228456294E-3</c:v>
                </c:pt>
                <c:pt idx="484">
                  <c:v>-8.8756199564973947E-3</c:v>
                </c:pt>
                <c:pt idx="485">
                  <c:v>-8.4381526605006515E-3</c:v>
                </c:pt>
                <c:pt idx="486">
                  <c:v>-7.9995994469923108E-3</c:v>
                </c:pt>
                <c:pt idx="487">
                  <c:v>-7.5599488813223722E-3</c:v>
                </c:pt>
                <c:pt idx="488">
                  <c:v>-7.1191892836694141E-3</c:v>
                </c:pt>
                <c:pt idx="489">
                  <c:v>-6.6773087307057145E-3</c:v>
                </c:pt>
                <c:pt idx="490">
                  <c:v>-6.2342950573126207E-3</c:v>
                </c:pt>
                <c:pt idx="491">
                  <c:v>-5.7901358583465424E-3</c:v>
                </c:pt>
                <c:pt idx="492">
                  <c:v>-5.3448184904543302E-3</c:v>
                </c:pt>
                <c:pt idx="493">
                  <c:v>-4.8983300739390903E-3</c:v>
                </c:pt>
                <c:pt idx="494">
                  <c:v>-4.4506574946754033E-3</c:v>
                </c:pt>
                <c:pt idx="495">
                  <c:v>-4.0017874060735148E-3</c:v>
                </c:pt>
                <c:pt idx="496">
                  <c:v>-3.5517062310941499E-3</c:v>
                </c:pt>
                <c:pt idx="497">
                  <c:v>-3.1004001643109257E-3</c:v>
                </c:pt>
                <c:pt idx="498">
                  <c:v>-2.6478551740223874E-3</c:v>
                </c:pt>
                <c:pt idx="499">
                  <c:v>-2.1940570044129927E-3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61-4C0C-9ED7-DC2067F83667}"/>
            </c:ext>
          </c:extLst>
        </c:ser>
        <c:ser>
          <c:idx val="5"/>
          <c:order val="2"/>
          <c:tx>
            <c:v>Mean Camber Line</c:v>
          </c:tx>
          <c:spPr>
            <a:ln w="3175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Data1!$B$1:$B$500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Data1!$M$1:$M$500</c:f>
              <c:numCache>
                <c:formatCode>0.0</c:formatCode>
                <c:ptCount val="50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  <c:pt idx="50">
                  <c:v>-0.2</c:v>
                </c:pt>
                <c:pt idx="51">
                  <c:v>-0.2</c:v>
                </c:pt>
                <c:pt idx="52">
                  <c:v>-0.2</c:v>
                </c:pt>
                <c:pt idx="53">
                  <c:v>-0.2</c:v>
                </c:pt>
                <c:pt idx="54">
                  <c:v>-0.2</c:v>
                </c:pt>
                <c:pt idx="55">
                  <c:v>-0.2</c:v>
                </c:pt>
                <c:pt idx="56">
                  <c:v>-0.2</c:v>
                </c:pt>
                <c:pt idx="57">
                  <c:v>-0.2</c:v>
                </c:pt>
                <c:pt idx="58">
                  <c:v>-0.2</c:v>
                </c:pt>
                <c:pt idx="59">
                  <c:v>-0.2</c:v>
                </c:pt>
                <c:pt idx="60">
                  <c:v>-0.2</c:v>
                </c:pt>
                <c:pt idx="61">
                  <c:v>-0.2</c:v>
                </c:pt>
                <c:pt idx="62">
                  <c:v>-0.2</c:v>
                </c:pt>
                <c:pt idx="63">
                  <c:v>-0.2</c:v>
                </c:pt>
                <c:pt idx="64">
                  <c:v>-0.2</c:v>
                </c:pt>
                <c:pt idx="65">
                  <c:v>-0.2</c:v>
                </c:pt>
                <c:pt idx="66">
                  <c:v>-0.2</c:v>
                </c:pt>
                <c:pt idx="67">
                  <c:v>-0.2</c:v>
                </c:pt>
                <c:pt idx="68">
                  <c:v>-0.2</c:v>
                </c:pt>
                <c:pt idx="69">
                  <c:v>-0.2</c:v>
                </c:pt>
                <c:pt idx="70">
                  <c:v>-0.2</c:v>
                </c:pt>
                <c:pt idx="71">
                  <c:v>-0.2</c:v>
                </c:pt>
                <c:pt idx="72">
                  <c:v>-0.2</c:v>
                </c:pt>
                <c:pt idx="73">
                  <c:v>-0.2</c:v>
                </c:pt>
                <c:pt idx="74">
                  <c:v>-0.2</c:v>
                </c:pt>
                <c:pt idx="75">
                  <c:v>-0.2</c:v>
                </c:pt>
                <c:pt idx="76">
                  <c:v>-0.2</c:v>
                </c:pt>
                <c:pt idx="77">
                  <c:v>-0.2</c:v>
                </c:pt>
                <c:pt idx="78">
                  <c:v>-0.2</c:v>
                </c:pt>
                <c:pt idx="79">
                  <c:v>-0.2</c:v>
                </c:pt>
                <c:pt idx="80">
                  <c:v>-0.2</c:v>
                </c:pt>
                <c:pt idx="81">
                  <c:v>-0.2</c:v>
                </c:pt>
                <c:pt idx="82">
                  <c:v>-0.2</c:v>
                </c:pt>
                <c:pt idx="83">
                  <c:v>-0.2</c:v>
                </c:pt>
                <c:pt idx="84">
                  <c:v>-0.2</c:v>
                </c:pt>
                <c:pt idx="85">
                  <c:v>-0.2</c:v>
                </c:pt>
                <c:pt idx="86">
                  <c:v>-0.2</c:v>
                </c:pt>
                <c:pt idx="87">
                  <c:v>-0.2</c:v>
                </c:pt>
                <c:pt idx="88">
                  <c:v>-0.2</c:v>
                </c:pt>
                <c:pt idx="89">
                  <c:v>-0.2</c:v>
                </c:pt>
                <c:pt idx="90">
                  <c:v>-0.2</c:v>
                </c:pt>
                <c:pt idx="91">
                  <c:v>-0.2</c:v>
                </c:pt>
                <c:pt idx="92">
                  <c:v>-0.2</c:v>
                </c:pt>
                <c:pt idx="93">
                  <c:v>-0.2</c:v>
                </c:pt>
                <c:pt idx="94">
                  <c:v>-0.2</c:v>
                </c:pt>
                <c:pt idx="95">
                  <c:v>-0.2</c:v>
                </c:pt>
                <c:pt idx="96">
                  <c:v>-0.2</c:v>
                </c:pt>
                <c:pt idx="97">
                  <c:v>-0.2</c:v>
                </c:pt>
                <c:pt idx="98">
                  <c:v>-0.2</c:v>
                </c:pt>
                <c:pt idx="99">
                  <c:v>-0.2</c:v>
                </c:pt>
                <c:pt idx="100">
                  <c:v>-0.2</c:v>
                </c:pt>
                <c:pt idx="101">
                  <c:v>-0.2</c:v>
                </c:pt>
                <c:pt idx="102">
                  <c:v>-0.2</c:v>
                </c:pt>
                <c:pt idx="103">
                  <c:v>-0.2</c:v>
                </c:pt>
                <c:pt idx="104">
                  <c:v>-0.2</c:v>
                </c:pt>
                <c:pt idx="105">
                  <c:v>-0.2</c:v>
                </c:pt>
                <c:pt idx="106">
                  <c:v>-0.2</c:v>
                </c:pt>
                <c:pt idx="107">
                  <c:v>-0.2</c:v>
                </c:pt>
                <c:pt idx="108">
                  <c:v>-0.2</c:v>
                </c:pt>
                <c:pt idx="109">
                  <c:v>-0.2</c:v>
                </c:pt>
                <c:pt idx="110">
                  <c:v>-0.2</c:v>
                </c:pt>
                <c:pt idx="111">
                  <c:v>-0.2</c:v>
                </c:pt>
                <c:pt idx="112">
                  <c:v>-0.2</c:v>
                </c:pt>
                <c:pt idx="113">
                  <c:v>-0.2</c:v>
                </c:pt>
                <c:pt idx="114">
                  <c:v>-0.2</c:v>
                </c:pt>
                <c:pt idx="115">
                  <c:v>-0.2</c:v>
                </c:pt>
                <c:pt idx="116">
                  <c:v>-0.2</c:v>
                </c:pt>
                <c:pt idx="117">
                  <c:v>-0.2</c:v>
                </c:pt>
                <c:pt idx="118">
                  <c:v>-0.2</c:v>
                </c:pt>
                <c:pt idx="119">
                  <c:v>-0.2</c:v>
                </c:pt>
                <c:pt idx="120">
                  <c:v>-0.2</c:v>
                </c:pt>
                <c:pt idx="121">
                  <c:v>-0.2</c:v>
                </c:pt>
                <c:pt idx="122">
                  <c:v>-0.2</c:v>
                </c:pt>
                <c:pt idx="123">
                  <c:v>-0.2</c:v>
                </c:pt>
                <c:pt idx="124">
                  <c:v>-0.2</c:v>
                </c:pt>
                <c:pt idx="125">
                  <c:v>-0.2</c:v>
                </c:pt>
                <c:pt idx="126">
                  <c:v>-0.2</c:v>
                </c:pt>
                <c:pt idx="127">
                  <c:v>-0.2</c:v>
                </c:pt>
                <c:pt idx="128">
                  <c:v>-0.2</c:v>
                </c:pt>
                <c:pt idx="129">
                  <c:v>-0.2</c:v>
                </c:pt>
                <c:pt idx="130">
                  <c:v>-0.2</c:v>
                </c:pt>
                <c:pt idx="131">
                  <c:v>-0.2</c:v>
                </c:pt>
                <c:pt idx="132">
                  <c:v>-0.2</c:v>
                </c:pt>
                <c:pt idx="133">
                  <c:v>-0.2</c:v>
                </c:pt>
                <c:pt idx="134">
                  <c:v>-0.2</c:v>
                </c:pt>
                <c:pt idx="135">
                  <c:v>-0.2</c:v>
                </c:pt>
                <c:pt idx="136">
                  <c:v>-0.2</c:v>
                </c:pt>
                <c:pt idx="137">
                  <c:v>-0.2</c:v>
                </c:pt>
                <c:pt idx="138">
                  <c:v>-0.2</c:v>
                </c:pt>
                <c:pt idx="139">
                  <c:v>-0.2</c:v>
                </c:pt>
                <c:pt idx="140">
                  <c:v>-0.2</c:v>
                </c:pt>
                <c:pt idx="141">
                  <c:v>-0.2</c:v>
                </c:pt>
                <c:pt idx="142">
                  <c:v>-0.2</c:v>
                </c:pt>
                <c:pt idx="143">
                  <c:v>-0.2</c:v>
                </c:pt>
                <c:pt idx="144">
                  <c:v>-0.2</c:v>
                </c:pt>
                <c:pt idx="145">
                  <c:v>-0.2</c:v>
                </c:pt>
                <c:pt idx="146">
                  <c:v>-0.2</c:v>
                </c:pt>
                <c:pt idx="147">
                  <c:v>-0.2</c:v>
                </c:pt>
                <c:pt idx="148">
                  <c:v>-0.2</c:v>
                </c:pt>
                <c:pt idx="149">
                  <c:v>-0.2</c:v>
                </c:pt>
                <c:pt idx="150">
                  <c:v>-0.2</c:v>
                </c:pt>
                <c:pt idx="151">
                  <c:v>-0.2</c:v>
                </c:pt>
                <c:pt idx="152">
                  <c:v>-0.2</c:v>
                </c:pt>
                <c:pt idx="153">
                  <c:v>-0.2</c:v>
                </c:pt>
                <c:pt idx="154">
                  <c:v>-0.2</c:v>
                </c:pt>
                <c:pt idx="155">
                  <c:v>-0.2</c:v>
                </c:pt>
                <c:pt idx="156">
                  <c:v>-0.2</c:v>
                </c:pt>
                <c:pt idx="157">
                  <c:v>-0.2</c:v>
                </c:pt>
                <c:pt idx="158">
                  <c:v>-0.2</c:v>
                </c:pt>
                <c:pt idx="159">
                  <c:v>-0.2</c:v>
                </c:pt>
                <c:pt idx="160">
                  <c:v>-0.2</c:v>
                </c:pt>
                <c:pt idx="161">
                  <c:v>-0.2</c:v>
                </c:pt>
                <c:pt idx="162">
                  <c:v>-0.2</c:v>
                </c:pt>
                <c:pt idx="163">
                  <c:v>-0.2</c:v>
                </c:pt>
                <c:pt idx="164">
                  <c:v>-0.2</c:v>
                </c:pt>
                <c:pt idx="165">
                  <c:v>-0.2</c:v>
                </c:pt>
                <c:pt idx="166">
                  <c:v>-0.2</c:v>
                </c:pt>
                <c:pt idx="167">
                  <c:v>-0.2</c:v>
                </c:pt>
                <c:pt idx="168">
                  <c:v>-0.2</c:v>
                </c:pt>
                <c:pt idx="169">
                  <c:v>-0.2</c:v>
                </c:pt>
                <c:pt idx="170">
                  <c:v>-0.2</c:v>
                </c:pt>
                <c:pt idx="171">
                  <c:v>-0.2</c:v>
                </c:pt>
                <c:pt idx="172">
                  <c:v>-0.2</c:v>
                </c:pt>
                <c:pt idx="173">
                  <c:v>-0.2</c:v>
                </c:pt>
                <c:pt idx="174">
                  <c:v>-0.2</c:v>
                </c:pt>
                <c:pt idx="175">
                  <c:v>-0.2</c:v>
                </c:pt>
                <c:pt idx="176">
                  <c:v>-0.2</c:v>
                </c:pt>
                <c:pt idx="177">
                  <c:v>-0.2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-0.2</c:v>
                </c:pt>
                <c:pt idx="183">
                  <c:v>-0.2</c:v>
                </c:pt>
                <c:pt idx="184">
                  <c:v>-0.2</c:v>
                </c:pt>
                <c:pt idx="185">
                  <c:v>-0.2</c:v>
                </c:pt>
                <c:pt idx="186">
                  <c:v>-0.2</c:v>
                </c:pt>
                <c:pt idx="187">
                  <c:v>-0.2</c:v>
                </c:pt>
                <c:pt idx="188">
                  <c:v>-0.2</c:v>
                </c:pt>
                <c:pt idx="189">
                  <c:v>-0.2</c:v>
                </c:pt>
                <c:pt idx="190">
                  <c:v>-0.2</c:v>
                </c:pt>
                <c:pt idx="191">
                  <c:v>-0.2</c:v>
                </c:pt>
                <c:pt idx="192">
                  <c:v>-0.2</c:v>
                </c:pt>
                <c:pt idx="193">
                  <c:v>-0.2</c:v>
                </c:pt>
                <c:pt idx="194">
                  <c:v>-0.2</c:v>
                </c:pt>
                <c:pt idx="195">
                  <c:v>-0.2</c:v>
                </c:pt>
                <c:pt idx="196">
                  <c:v>-0.2</c:v>
                </c:pt>
                <c:pt idx="197">
                  <c:v>-0.2</c:v>
                </c:pt>
                <c:pt idx="198">
                  <c:v>-0.2</c:v>
                </c:pt>
                <c:pt idx="199">
                  <c:v>-0.2</c:v>
                </c:pt>
                <c:pt idx="200">
                  <c:v>-0.2</c:v>
                </c:pt>
                <c:pt idx="201">
                  <c:v>-0.2</c:v>
                </c:pt>
                <c:pt idx="202">
                  <c:v>-0.2</c:v>
                </c:pt>
                <c:pt idx="203">
                  <c:v>-0.2</c:v>
                </c:pt>
                <c:pt idx="204">
                  <c:v>-0.2</c:v>
                </c:pt>
                <c:pt idx="205">
                  <c:v>-0.2</c:v>
                </c:pt>
                <c:pt idx="206">
                  <c:v>-0.2</c:v>
                </c:pt>
                <c:pt idx="207">
                  <c:v>-0.2</c:v>
                </c:pt>
                <c:pt idx="208">
                  <c:v>-0.2</c:v>
                </c:pt>
                <c:pt idx="209">
                  <c:v>-0.2</c:v>
                </c:pt>
                <c:pt idx="210">
                  <c:v>-0.2</c:v>
                </c:pt>
                <c:pt idx="211">
                  <c:v>-0.2</c:v>
                </c:pt>
                <c:pt idx="212">
                  <c:v>-0.2</c:v>
                </c:pt>
                <c:pt idx="213">
                  <c:v>-0.2</c:v>
                </c:pt>
                <c:pt idx="214">
                  <c:v>-0.2</c:v>
                </c:pt>
                <c:pt idx="215">
                  <c:v>-0.2</c:v>
                </c:pt>
                <c:pt idx="216">
                  <c:v>-0.2</c:v>
                </c:pt>
                <c:pt idx="217">
                  <c:v>-0.2</c:v>
                </c:pt>
                <c:pt idx="218">
                  <c:v>-0.2</c:v>
                </c:pt>
                <c:pt idx="219">
                  <c:v>-0.2</c:v>
                </c:pt>
                <c:pt idx="220">
                  <c:v>-0.2</c:v>
                </c:pt>
                <c:pt idx="221">
                  <c:v>-0.2</c:v>
                </c:pt>
                <c:pt idx="222">
                  <c:v>-0.2</c:v>
                </c:pt>
                <c:pt idx="223">
                  <c:v>-0.2</c:v>
                </c:pt>
                <c:pt idx="224">
                  <c:v>-0.2</c:v>
                </c:pt>
                <c:pt idx="225">
                  <c:v>-0.2</c:v>
                </c:pt>
                <c:pt idx="226">
                  <c:v>-0.2</c:v>
                </c:pt>
                <c:pt idx="227">
                  <c:v>-0.2</c:v>
                </c:pt>
                <c:pt idx="228">
                  <c:v>-0.2</c:v>
                </c:pt>
                <c:pt idx="229">
                  <c:v>-0.2</c:v>
                </c:pt>
                <c:pt idx="230">
                  <c:v>-0.2</c:v>
                </c:pt>
                <c:pt idx="231">
                  <c:v>-0.2</c:v>
                </c:pt>
                <c:pt idx="232">
                  <c:v>-0.2</c:v>
                </c:pt>
                <c:pt idx="233">
                  <c:v>-0.2</c:v>
                </c:pt>
                <c:pt idx="234">
                  <c:v>-0.2</c:v>
                </c:pt>
                <c:pt idx="235">
                  <c:v>-0.2</c:v>
                </c:pt>
                <c:pt idx="236">
                  <c:v>-0.2</c:v>
                </c:pt>
                <c:pt idx="237">
                  <c:v>-0.2</c:v>
                </c:pt>
                <c:pt idx="238">
                  <c:v>-0.2</c:v>
                </c:pt>
                <c:pt idx="239">
                  <c:v>-0.2</c:v>
                </c:pt>
                <c:pt idx="240">
                  <c:v>-0.2</c:v>
                </c:pt>
                <c:pt idx="241">
                  <c:v>-0.2</c:v>
                </c:pt>
                <c:pt idx="242">
                  <c:v>-0.2</c:v>
                </c:pt>
                <c:pt idx="243">
                  <c:v>-0.2</c:v>
                </c:pt>
                <c:pt idx="244">
                  <c:v>-0.2</c:v>
                </c:pt>
                <c:pt idx="245">
                  <c:v>-0.2</c:v>
                </c:pt>
                <c:pt idx="246">
                  <c:v>-0.2</c:v>
                </c:pt>
                <c:pt idx="247">
                  <c:v>-0.2</c:v>
                </c:pt>
                <c:pt idx="248">
                  <c:v>-0.2</c:v>
                </c:pt>
                <c:pt idx="249">
                  <c:v>-0.2</c:v>
                </c:pt>
                <c:pt idx="250">
                  <c:v>-0.2</c:v>
                </c:pt>
                <c:pt idx="251">
                  <c:v>-0.2</c:v>
                </c:pt>
                <c:pt idx="252">
                  <c:v>-0.2</c:v>
                </c:pt>
                <c:pt idx="253">
                  <c:v>-0.2</c:v>
                </c:pt>
                <c:pt idx="254">
                  <c:v>-0.2</c:v>
                </c:pt>
                <c:pt idx="255">
                  <c:v>-0.2</c:v>
                </c:pt>
                <c:pt idx="256">
                  <c:v>-0.2</c:v>
                </c:pt>
                <c:pt idx="257">
                  <c:v>-0.2</c:v>
                </c:pt>
                <c:pt idx="258">
                  <c:v>-0.2</c:v>
                </c:pt>
                <c:pt idx="259">
                  <c:v>-0.2</c:v>
                </c:pt>
                <c:pt idx="260">
                  <c:v>-0.2</c:v>
                </c:pt>
                <c:pt idx="261">
                  <c:v>-0.2</c:v>
                </c:pt>
                <c:pt idx="262">
                  <c:v>-0.2</c:v>
                </c:pt>
                <c:pt idx="263">
                  <c:v>-0.2</c:v>
                </c:pt>
                <c:pt idx="264">
                  <c:v>-0.2</c:v>
                </c:pt>
                <c:pt idx="265">
                  <c:v>-0.2</c:v>
                </c:pt>
                <c:pt idx="266">
                  <c:v>-0.2</c:v>
                </c:pt>
                <c:pt idx="267">
                  <c:v>-0.2</c:v>
                </c:pt>
                <c:pt idx="268">
                  <c:v>-0.2</c:v>
                </c:pt>
                <c:pt idx="269">
                  <c:v>-0.2</c:v>
                </c:pt>
                <c:pt idx="270">
                  <c:v>-0.2</c:v>
                </c:pt>
                <c:pt idx="271">
                  <c:v>-0.2</c:v>
                </c:pt>
                <c:pt idx="272">
                  <c:v>-0.2</c:v>
                </c:pt>
                <c:pt idx="273">
                  <c:v>-0.2</c:v>
                </c:pt>
                <c:pt idx="274">
                  <c:v>-0.2</c:v>
                </c:pt>
                <c:pt idx="275">
                  <c:v>-0.2</c:v>
                </c:pt>
                <c:pt idx="276">
                  <c:v>-0.2</c:v>
                </c:pt>
                <c:pt idx="277">
                  <c:v>-0.2</c:v>
                </c:pt>
                <c:pt idx="278">
                  <c:v>-0.2</c:v>
                </c:pt>
                <c:pt idx="279">
                  <c:v>-0.2</c:v>
                </c:pt>
                <c:pt idx="280">
                  <c:v>-0.2</c:v>
                </c:pt>
                <c:pt idx="281">
                  <c:v>-0.2</c:v>
                </c:pt>
                <c:pt idx="282">
                  <c:v>-0.2</c:v>
                </c:pt>
                <c:pt idx="283">
                  <c:v>-0.2</c:v>
                </c:pt>
                <c:pt idx="284">
                  <c:v>-0.2</c:v>
                </c:pt>
                <c:pt idx="285">
                  <c:v>-0.2</c:v>
                </c:pt>
                <c:pt idx="286">
                  <c:v>-0.2</c:v>
                </c:pt>
                <c:pt idx="287">
                  <c:v>-0.2</c:v>
                </c:pt>
                <c:pt idx="288">
                  <c:v>-0.2</c:v>
                </c:pt>
                <c:pt idx="289">
                  <c:v>-0.2</c:v>
                </c:pt>
                <c:pt idx="290">
                  <c:v>-0.2</c:v>
                </c:pt>
                <c:pt idx="291">
                  <c:v>-0.2</c:v>
                </c:pt>
                <c:pt idx="292">
                  <c:v>-0.2</c:v>
                </c:pt>
                <c:pt idx="293">
                  <c:v>-0.2</c:v>
                </c:pt>
                <c:pt idx="294">
                  <c:v>-0.2</c:v>
                </c:pt>
                <c:pt idx="295">
                  <c:v>-0.2</c:v>
                </c:pt>
                <c:pt idx="296">
                  <c:v>-0.2</c:v>
                </c:pt>
                <c:pt idx="297">
                  <c:v>-0.2</c:v>
                </c:pt>
                <c:pt idx="298">
                  <c:v>-0.2</c:v>
                </c:pt>
                <c:pt idx="299">
                  <c:v>-0.2</c:v>
                </c:pt>
                <c:pt idx="300">
                  <c:v>-0.2</c:v>
                </c:pt>
                <c:pt idx="301">
                  <c:v>-0.2</c:v>
                </c:pt>
                <c:pt idx="302">
                  <c:v>-0.2</c:v>
                </c:pt>
                <c:pt idx="303">
                  <c:v>-0.2</c:v>
                </c:pt>
                <c:pt idx="304">
                  <c:v>-0.2</c:v>
                </c:pt>
                <c:pt idx="305">
                  <c:v>-0.2</c:v>
                </c:pt>
                <c:pt idx="306">
                  <c:v>-0.2</c:v>
                </c:pt>
                <c:pt idx="307">
                  <c:v>-0.2</c:v>
                </c:pt>
                <c:pt idx="308">
                  <c:v>-0.2</c:v>
                </c:pt>
                <c:pt idx="309">
                  <c:v>-0.2</c:v>
                </c:pt>
                <c:pt idx="310">
                  <c:v>-0.2</c:v>
                </c:pt>
                <c:pt idx="311">
                  <c:v>-0.2</c:v>
                </c:pt>
                <c:pt idx="312">
                  <c:v>-0.2</c:v>
                </c:pt>
                <c:pt idx="313">
                  <c:v>-0.2</c:v>
                </c:pt>
                <c:pt idx="314">
                  <c:v>-0.2</c:v>
                </c:pt>
                <c:pt idx="315">
                  <c:v>-0.2</c:v>
                </c:pt>
                <c:pt idx="316">
                  <c:v>-0.2</c:v>
                </c:pt>
                <c:pt idx="317">
                  <c:v>-0.2</c:v>
                </c:pt>
                <c:pt idx="318">
                  <c:v>-0.2</c:v>
                </c:pt>
                <c:pt idx="319">
                  <c:v>-0.2</c:v>
                </c:pt>
                <c:pt idx="320">
                  <c:v>-0.2</c:v>
                </c:pt>
                <c:pt idx="321">
                  <c:v>-0.2</c:v>
                </c:pt>
                <c:pt idx="322">
                  <c:v>-0.2</c:v>
                </c:pt>
                <c:pt idx="323">
                  <c:v>-0.2</c:v>
                </c:pt>
                <c:pt idx="324">
                  <c:v>-0.2</c:v>
                </c:pt>
                <c:pt idx="325">
                  <c:v>-0.2</c:v>
                </c:pt>
                <c:pt idx="326">
                  <c:v>-0.2</c:v>
                </c:pt>
                <c:pt idx="327">
                  <c:v>-0.2</c:v>
                </c:pt>
                <c:pt idx="328">
                  <c:v>-0.2</c:v>
                </c:pt>
                <c:pt idx="329">
                  <c:v>-0.2</c:v>
                </c:pt>
                <c:pt idx="330">
                  <c:v>-0.2</c:v>
                </c:pt>
                <c:pt idx="331">
                  <c:v>-0.2</c:v>
                </c:pt>
                <c:pt idx="332">
                  <c:v>-0.2</c:v>
                </c:pt>
                <c:pt idx="333">
                  <c:v>-0.2</c:v>
                </c:pt>
                <c:pt idx="334">
                  <c:v>-0.2</c:v>
                </c:pt>
                <c:pt idx="335">
                  <c:v>-0.2</c:v>
                </c:pt>
                <c:pt idx="336">
                  <c:v>-0.2</c:v>
                </c:pt>
                <c:pt idx="337">
                  <c:v>-0.2</c:v>
                </c:pt>
                <c:pt idx="338">
                  <c:v>-0.2</c:v>
                </c:pt>
                <c:pt idx="339">
                  <c:v>-0.2</c:v>
                </c:pt>
                <c:pt idx="340">
                  <c:v>-0.2</c:v>
                </c:pt>
                <c:pt idx="341">
                  <c:v>-0.2</c:v>
                </c:pt>
                <c:pt idx="342">
                  <c:v>-0.2</c:v>
                </c:pt>
                <c:pt idx="343">
                  <c:v>-0.2</c:v>
                </c:pt>
                <c:pt idx="344">
                  <c:v>-0.2</c:v>
                </c:pt>
                <c:pt idx="345">
                  <c:v>-0.2</c:v>
                </c:pt>
                <c:pt idx="346">
                  <c:v>-0.2</c:v>
                </c:pt>
                <c:pt idx="347">
                  <c:v>-0.2</c:v>
                </c:pt>
                <c:pt idx="348">
                  <c:v>-0.2</c:v>
                </c:pt>
                <c:pt idx="349">
                  <c:v>-0.2</c:v>
                </c:pt>
                <c:pt idx="350">
                  <c:v>-0.2</c:v>
                </c:pt>
                <c:pt idx="351">
                  <c:v>-0.2</c:v>
                </c:pt>
                <c:pt idx="352">
                  <c:v>-0.2</c:v>
                </c:pt>
                <c:pt idx="353">
                  <c:v>-0.2</c:v>
                </c:pt>
                <c:pt idx="354">
                  <c:v>-0.2</c:v>
                </c:pt>
                <c:pt idx="355">
                  <c:v>-0.2</c:v>
                </c:pt>
                <c:pt idx="356">
                  <c:v>-0.2</c:v>
                </c:pt>
                <c:pt idx="357">
                  <c:v>-0.2</c:v>
                </c:pt>
                <c:pt idx="358">
                  <c:v>-0.2</c:v>
                </c:pt>
                <c:pt idx="359">
                  <c:v>-0.2</c:v>
                </c:pt>
                <c:pt idx="360">
                  <c:v>-0.2</c:v>
                </c:pt>
                <c:pt idx="361">
                  <c:v>-0.2</c:v>
                </c:pt>
                <c:pt idx="362">
                  <c:v>-0.2</c:v>
                </c:pt>
                <c:pt idx="363">
                  <c:v>-0.2</c:v>
                </c:pt>
                <c:pt idx="364">
                  <c:v>-0.2</c:v>
                </c:pt>
                <c:pt idx="365">
                  <c:v>-0.2</c:v>
                </c:pt>
                <c:pt idx="366">
                  <c:v>-0.2</c:v>
                </c:pt>
                <c:pt idx="367">
                  <c:v>-0.2</c:v>
                </c:pt>
                <c:pt idx="368">
                  <c:v>-0.2</c:v>
                </c:pt>
                <c:pt idx="369">
                  <c:v>-0.2</c:v>
                </c:pt>
                <c:pt idx="370">
                  <c:v>-0.2</c:v>
                </c:pt>
                <c:pt idx="371">
                  <c:v>-0.2</c:v>
                </c:pt>
                <c:pt idx="372">
                  <c:v>-0.2</c:v>
                </c:pt>
                <c:pt idx="373">
                  <c:v>-0.2</c:v>
                </c:pt>
                <c:pt idx="374">
                  <c:v>-0.2</c:v>
                </c:pt>
                <c:pt idx="375">
                  <c:v>-0.2</c:v>
                </c:pt>
                <c:pt idx="376">
                  <c:v>-0.2</c:v>
                </c:pt>
                <c:pt idx="377">
                  <c:v>-0.2</c:v>
                </c:pt>
                <c:pt idx="378">
                  <c:v>-0.2</c:v>
                </c:pt>
                <c:pt idx="379">
                  <c:v>-0.2</c:v>
                </c:pt>
                <c:pt idx="380">
                  <c:v>-0.2</c:v>
                </c:pt>
                <c:pt idx="381">
                  <c:v>-0.2</c:v>
                </c:pt>
                <c:pt idx="382">
                  <c:v>-0.2</c:v>
                </c:pt>
                <c:pt idx="383">
                  <c:v>-0.2</c:v>
                </c:pt>
                <c:pt idx="384">
                  <c:v>-0.2</c:v>
                </c:pt>
                <c:pt idx="385">
                  <c:v>-0.2</c:v>
                </c:pt>
                <c:pt idx="386">
                  <c:v>-0.2</c:v>
                </c:pt>
                <c:pt idx="387">
                  <c:v>-0.2</c:v>
                </c:pt>
                <c:pt idx="388">
                  <c:v>-0.2</c:v>
                </c:pt>
                <c:pt idx="389">
                  <c:v>-0.2</c:v>
                </c:pt>
                <c:pt idx="390">
                  <c:v>-0.2</c:v>
                </c:pt>
                <c:pt idx="391">
                  <c:v>-0.2</c:v>
                </c:pt>
                <c:pt idx="392">
                  <c:v>-0.2</c:v>
                </c:pt>
                <c:pt idx="393">
                  <c:v>-0.2</c:v>
                </c:pt>
                <c:pt idx="394">
                  <c:v>-0.2</c:v>
                </c:pt>
                <c:pt idx="395">
                  <c:v>-0.2</c:v>
                </c:pt>
                <c:pt idx="396">
                  <c:v>-0.2</c:v>
                </c:pt>
                <c:pt idx="397">
                  <c:v>-0.2</c:v>
                </c:pt>
                <c:pt idx="398">
                  <c:v>-0.2</c:v>
                </c:pt>
                <c:pt idx="399">
                  <c:v>-0.2</c:v>
                </c:pt>
                <c:pt idx="400">
                  <c:v>-0.2</c:v>
                </c:pt>
                <c:pt idx="401">
                  <c:v>-0.2</c:v>
                </c:pt>
                <c:pt idx="402">
                  <c:v>-0.2</c:v>
                </c:pt>
                <c:pt idx="403">
                  <c:v>-0.2</c:v>
                </c:pt>
                <c:pt idx="404">
                  <c:v>-0.2</c:v>
                </c:pt>
                <c:pt idx="405">
                  <c:v>-0.2</c:v>
                </c:pt>
                <c:pt idx="406">
                  <c:v>-0.2</c:v>
                </c:pt>
                <c:pt idx="407">
                  <c:v>-0.2</c:v>
                </c:pt>
                <c:pt idx="408">
                  <c:v>-0.2</c:v>
                </c:pt>
                <c:pt idx="409">
                  <c:v>-0.2</c:v>
                </c:pt>
                <c:pt idx="410">
                  <c:v>-0.2</c:v>
                </c:pt>
                <c:pt idx="411">
                  <c:v>-0.2</c:v>
                </c:pt>
                <c:pt idx="412">
                  <c:v>-0.2</c:v>
                </c:pt>
                <c:pt idx="413">
                  <c:v>-0.2</c:v>
                </c:pt>
                <c:pt idx="414">
                  <c:v>-0.2</c:v>
                </c:pt>
                <c:pt idx="415">
                  <c:v>-0.2</c:v>
                </c:pt>
                <c:pt idx="416">
                  <c:v>-0.2</c:v>
                </c:pt>
                <c:pt idx="417">
                  <c:v>-0.2</c:v>
                </c:pt>
                <c:pt idx="418">
                  <c:v>-0.2</c:v>
                </c:pt>
                <c:pt idx="419">
                  <c:v>-0.2</c:v>
                </c:pt>
                <c:pt idx="420">
                  <c:v>-0.2</c:v>
                </c:pt>
                <c:pt idx="421">
                  <c:v>-0.2</c:v>
                </c:pt>
                <c:pt idx="422">
                  <c:v>-0.2</c:v>
                </c:pt>
                <c:pt idx="423">
                  <c:v>-0.2</c:v>
                </c:pt>
                <c:pt idx="424">
                  <c:v>-0.2</c:v>
                </c:pt>
                <c:pt idx="425">
                  <c:v>-0.2</c:v>
                </c:pt>
                <c:pt idx="426">
                  <c:v>-0.2</c:v>
                </c:pt>
                <c:pt idx="427">
                  <c:v>-0.2</c:v>
                </c:pt>
                <c:pt idx="428">
                  <c:v>-0.2</c:v>
                </c:pt>
                <c:pt idx="429">
                  <c:v>-0.2</c:v>
                </c:pt>
                <c:pt idx="430">
                  <c:v>-0.2</c:v>
                </c:pt>
                <c:pt idx="431">
                  <c:v>-0.2</c:v>
                </c:pt>
                <c:pt idx="432">
                  <c:v>-0.2</c:v>
                </c:pt>
                <c:pt idx="433">
                  <c:v>-0.2</c:v>
                </c:pt>
                <c:pt idx="434">
                  <c:v>-0.2</c:v>
                </c:pt>
                <c:pt idx="435">
                  <c:v>-0.2</c:v>
                </c:pt>
                <c:pt idx="436">
                  <c:v>-0.2</c:v>
                </c:pt>
                <c:pt idx="437">
                  <c:v>-0.2</c:v>
                </c:pt>
                <c:pt idx="438">
                  <c:v>-0.2</c:v>
                </c:pt>
                <c:pt idx="439">
                  <c:v>-0.2</c:v>
                </c:pt>
                <c:pt idx="440">
                  <c:v>-0.2</c:v>
                </c:pt>
                <c:pt idx="441">
                  <c:v>-0.2</c:v>
                </c:pt>
                <c:pt idx="442">
                  <c:v>-0.2</c:v>
                </c:pt>
                <c:pt idx="443">
                  <c:v>-0.2</c:v>
                </c:pt>
                <c:pt idx="444">
                  <c:v>-0.2</c:v>
                </c:pt>
                <c:pt idx="445">
                  <c:v>-0.2</c:v>
                </c:pt>
                <c:pt idx="446">
                  <c:v>-0.2</c:v>
                </c:pt>
                <c:pt idx="447">
                  <c:v>-0.2</c:v>
                </c:pt>
                <c:pt idx="448">
                  <c:v>-0.2</c:v>
                </c:pt>
                <c:pt idx="449">
                  <c:v>-0.2</c:v>
                </c:pt>
                <c:pt idx="450">
                  <c:v>-0.2</c:v>
                </c:pt>
                <c:pt idx="451">
                  <c:v>-0.2</c:v>
                </c:pt>
                <c:pt idx="452">
                  <c:v>-0.2</c:v>
                </c:pt>
                <c:pt idx="453">
                  <c:v>-0.2</c:v>
                </c:pt>
                <c:pt idx="454">
                  <c:v>-0.2</c:v>
                </c:pt>
                <c:pt idx="455">
                  <c:v>-0.2</c:v>
                </c:pt>
                <c:pt idx="456">
                  <c:v>-0.2</c:v>
                </c:pt>
                <c:pt idx="457">
                  <c:v>-0.2</c:v>
                </c:pt>
                <c:pt idx="458">
                  <c:v>-0.2</c:v>
                </c:pt>
                <c:pt idx="459">
                  <c:v>-0.2</c:v>
                </c:pt>
                <c:pt idx="460">
                  <c:v>-0.2</c:v>
                </c:pt>
                <c:pt idx="461">
                  <c:v>-0.2</c:v>
                </c:pt>
                <c:pt idx="462">
                  <c:v>-0.2</c:v>
                </c:pt>
                <c:pt idx="463">
                  <c:v>-0.2</c:v>
                </c:pt>
                <c:pt idx="464">
                  <c:v>-0.2</c:v>
                </c:pt>
                <c:pt idx="465">
                  <c:v>-0.2</c:v>
                </c:pt>
                <c:pt idx="466">
                  <c:v>-0.2</c:v>
                </c:pt>
                <c:pt idx="467">
                  <c:v>-0.2</c:v>
                </c:pt>
                <c:pt idx="468">
                  <c:v>-0.2</c:v>
                </c:pt>
                <c:pt idx="469">
                  <c:v>-0.2</c:v>
                </c:pt>
                <c:pt idx="470">
                  <c:v>-0.2</c:v>
                </c:pt>
                <c:pt idx="471">
                  <c:v>-0.2</c:v>
                </c:pt>
                <c:pt idx="472">
                  <c:v>-0.2</c:v>
                </c:pt>
                <c:pt idx="473">
                  <c:v>-0.2</c:v>
                </c:pt>
                <c:pt idx="474">
                  <c:v>-0.2</c:v>
                </c:pt>
                <c:pt idx="475">
                  <c:v>-0.2</c:v>
                </c:pt>
                <c:pt idx="476">
                  <c:v>-0.2</c:v>
                </c:pt>
                <c:pt idx="477">
                  <c:v>-0.2</c:v>
                </c:pt>
                <c:pt idx="478">
                  <c:v>-0.2</c:v>
                </c:pt>
                <c:pt idx="479">
                  <c:v>-0.2</c:v>
                </c:pt>
                <c:pt idx="480">
                  <c:v>-0.2</c:v>
                </c:pt>
                <c:pt idx="481">
                  <c:v>-0.2</c:v>
                </c:pt>
                <c:pt idx="482">
                  <c:v>-0.2</c:v>
                </c:pt>
                <c:pt idx="483">
                  <c:v>-0.2</c:v>
                </c:pt>
                <c:pt idx="484">
                  <c:v>-0.2</c:v>
                </c:pt>
                <c:pt idx="485">
                  <c:v>-0.2</c:v>
                </c:pt>
                <c:pt idx="486">
                  <c:v>-0.2</c:v>
                </c:pt>
                <c:pt idx="487">
                  <c:v>-0.2</c:v>
                </c:pt>
                <c:pt idx="488">
                  <c:v>-0.2</c:v>
                </c:pt>
                <c:pt idx="489">
                  <c:v>-0.2</c:v>
                </c:pt>
                <c:pt idx="490">
                  <c:v>-0.2</c:v>
                </c:pt>
                <c:pt idx="491">
                  <c:v>-0.2</c:v>
                </c:pt>
                <c:pt idx="492">
                  <c:v>-0.2</c:v>
                </c:pt>
                <c:pt idx="493">
                  <c:v>-0.2</c:v>
                </c:pt>
                <c:pt idx="494">
                  <c:v>-0.2</c:v>
                </c:pt>
                <c:pt idx="495">
                  <c:v>-0.2</c:v>
                </c:pt>
                <c:pt idx="496">
                  <c:v>-0.2</c:v>
                </c:pt>
                <c:pt idx="497">
                  <c:v>-0.2</c:v>
                </c:pt>
                <c:pt idx="498">
                  <c:v>-0.2</c:v>
                </c:pt>
                <c:pt idx="49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E61-4C0C-9ED7-DC2067F83667}"/>
            </c:ext>
          </c:extLst>
        </c:ser>
        <c:ser>
          <c:idx val="0"/>
          <c:order val="3"/>
          <c:tx>
            <c:v>Chord line</c:v>
          </c:tx>
          <c:spPr>
            <a:ln w="31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Data1!$B$1:$B$500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Data1!$L$1:$L$500</c:f>
              <c:numCache>
                <c:formatCode>General</c:formatCode>
                <c:ptCount val="5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D8-493A-B9FB-F69BFBB4E9A9}"/>
            </c:ext>
          </c:extLst>
        </c:ser>
        <c:ser>
          <c:idx val="2"/>
          <c:order val="4"/>
          <c:tx>
            <c:v>Leading-edge Radius</c:v>
          </c:tx>
          <c:spPr>
            <a:ln w="635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D9D8-493A-B9FB-F69BFBB4E9A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2-D9D8-493A-B9FB-F69BFBB4E9A9}"/>
              </c:ext>
            </c:extLst>
          </c:dPt>
          <c:xVal>
            <c:numRef>
              <c:f>Data1!$T$1:$T$50</c:f>
              <c:numCache>
                <c:formatCode>0.000</c:formatCode>
                <c:ptCount val="50"/>
                <c:pt idx="0">
                  <c:v>9.6647335055864717E-2</c:v>
                </c:pt>
                <c:pt idx="1">
                  <c:v>9.6248391528242799E-2</c:v>
                </c:pt>
                <c:pt idx="2">
                  <c:v>9.5058111587071212E-2</c:v>
                </c:pt>
                <c:pt idx="3">
                  <c:v>9.3096039596076915E-2</c:v>
                </c:pt>
                <c:pt idx="4">
                  <c:v>9.0394392723107633E-2</c:v>
                </c:pt>
                <c:pt idx="5">
                  <c:v>8.6997531935126479E-2</c:v>
                </c:pt>
                <c:pt idx="6">
                  <c:v>8.2961233592360795E-2</c:v>
                </c:pt>
                <c:pt idx="7">
                  <c:v>7.8351773602009317E-2</c:v>
                </c:pt>
                <c:pt idx="8">
                  <c:v>7.3244839169678208E-2</c:v>
                </c:pt>
                <c:pt idx="9">
                  <c:v>6.772428601755752E-2</c:v>
                </c:pt>
                <c:pt idx="10">
                  <c:v>6.188076147578115E-2</c:v>
                </c:pt>
                <c:pt idx="11">
                  <c:v>5.5810216055772119E-2</c:v>
                </c:pt>
                <c:pt idx="12">
                  <c:v>4.9612327945497685E-2</c:v>
                </c:pt>
                <c:pt idx="13">
                  <c:v>4.3388866296378663E-2</c:v>
                </c:pt>
                <c:pt idx="14">
                  <c:v>3.7242020176636734E-2</c:v>
                </c:pt>
                <c:pt idx="15">
                  <c:v>3.1272720629619312E-2</c:v>
                </c:pt>
                <c:pt idx="16">
                  <c:v>2.5578983388858233E-2</c:v>
                </c:pt>
                <c:pt idx="17">
                  <c:v>2.0254299462434934E-2</c:v>
                </c:pt>
                <c:pt idx="18">
                  <c:v>1.5386100013212455E-2</c:v>
                </c:pt>
                <c:pt idx="19">
                  <c:v>1.1054320741558387E-2</c:v>
                </c:pt>
                <c:pt idx="20">
                  <c:v>7.3300893433547853E-3</c:v>
                </c:pt>
                <c:pt idx="21">
                  <c:v>4.2745575951982214E-3</c:v>
                </c:pt>
                <c:pt idx="22">
                  <c:v>1.937897243918693E-3</c:v>
                </c:pt>
                <c:pt idx="23">
                  <c:v>3.5847618788374365E-4</c:v>
                </c:pt>
                <c:pt idx="24">
                  <c:v>-4.377715228319824E-4</c:v>
                </c:pt>
                <c:pt idx="25">
                  <c:v>-4.3777152283199324E-4</c:v>
                </c:pt>
                <c:pt idx="26">
                  <c:v>3.5847618788371666E-4</c:v>
                </c:pt>
                <c:pt idx="27">
                  <c:v>1.9378972439186551E-3</c:v>
                </c:pt>
                <c:pt idx="28">
                  <c:v>4.2745575951981677E-3</c:v>
                </c:pt>
                <c:pt idx="29">
                  <c:v>7.3300893433547202E-3</c:v>
                </c:pt>
                <c:pt idx="30">
                  <c:v>1.1054320741558306E-2</c:v>
                </c:pt>
                <c:pt idx="31">
                  <c:v>1.5386100013212368E-2</c:v>
                </c:pt>
                <c:pt idx="32">
                  <c:v>2.0254299462434854E-2</c:v>
                </c:pt>
                <c:pt idx="33">
                  <c:v>2.5578983388858161E-2</c:v>
                </c:pt>
                <c:pt idx="34">
                  <c:v>3.1272720629619256E-2</c:v>
                </c:pt>
                <c:pt idx="35">
                  <c:v>3.7242020176636692E-2</c:v>
                </c:pt>
                <c:pt idx="36">
                  <c:v>4.3388866296378642E-2</c:v>
                </c:pt>
                <c:pt idx="37">
                  <c:v>4.9612327945497671E-2</c:v>
                </c:pt>
                <c:pt idx="38">
                  <c:v>5.581021605577214E-2</c:v>
                </c:pt>
                <c:pt idx="39">
                  <c:v>6.1880761475781199E-2</c:v>
                </c:pt>
                <c:pt idx="40">
                  <c:v>6.7724286017557589E-2</c:v>
                </c:pt>
                <c:pt idx="41">
                  <c:v>7.3244839169678277E-2</c:v>
                </c:pt>
                <c:pt idx="42">
                  <c:v>7.83517736020094E-2</c:v>
                </c:pt>
                <c:pt idx="43">
                  <c:v>8.2961233592360892E-2</c:v>
                </c:pt>
                <c:pt idx="44">
                  <c:v>8.6997531935126562E-2</c:v>
                </c:pt>
                <c:pt idx="45">
                  <c:v>9.039439272310773E-2</c:v>
                </c:pt>
                <c:pt idx="46">
                  <c:v>9.3096039596076985E-2</c:v>
                </c:pt>
                <c:pt idx="47">
                  <c:v>9.5058111587071267E-2</c:v>
                </c:pt>
                <c:pt idx="48">
                  <c:v>9.6248391528242827E-2</c:v>
                </c:pt>
                <c:pt idx="49">
                  <c:v>9.6647335055864717E-2</c:v>
                </c:pt>
              </c:numCache>
            </c:numRef>
          </c:xVal>
          <c:yVal>
            <c:numRef>
              <c:f>Data1!$U$1:$U$50</c:f>
              <c:numCache>
                <c:formatCode>0.000</c:formatCode>
                <c:ptCount val="5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D8-493A-B9FB-F69BFBB4E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514255"/>
        <c:axId val="398087727"/>
      </c:scatterChart>
      <c:valAx>
        <c:axId val="1592514255"/>
        <c:scaling>
          <c:orientation val="minMax"/>
          <c:max val="1.05"/>
          <c:min val="-5.000000000000001E-2"/>
        </c:scaling>
        <c:delete val="0"/>
        <c:axPos val="b"/>
        <c:majorGridlines>
          <c:spPr>
            <a:ln w="6350" cap="flat" cmpd="sng" algn="ctr">
              <a:noFill/>
              <a:prstDash val="sysDot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800" b="0" i="1">
                    <a:latin typeface="Segoe UI" panose="020B0502040204020203" pitchFamily="34" charset="0"/>
                    <a:cs typeface="Segoe UI" panose="020B0502040204020203" pitchFamily="34" charset="0"/>
                  </a:rPr>
                  <a:t>All</a:t>
                </a:r>
                <a:r>
                  <a:rPr lang="en-GB" sz="800" b="0" i="1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dimensions are nomalized by the chord length c</a:t>
                </a:r>
                <a:endParaRPr lang="en-GB" sz="800" b="0" i="1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74639403892931111"/>
              <c:y val="0.93634310615818461"/>
            </c:manualLayout>
          </c:layout>
          <c:overlay val="0"/>
        </c:title>
        <c:numFmt formatCode="0.0" sourceLinked="0"/>
        <c:majorTickMark val="none"/>
        <c:minorTickMark val="out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87727"/>
        <c:crosses val="autoZero"/>
        <c:crossBetween val="midCat"/>
        <c:majorUnit val="0.1"/>
        <c:minorUnit val="5.000000000000001E-2"/>
      </c:valAx>
      <c:valAx>
        <c:axId val="398087727"/>
        <c:scaling>
          <c:orientation val="minMax"/>
          <c:max val="0.2"/>
          <c:min val="-0.15000000000000002"/>
        </c:scaling>
        <c:delete val="0"/>
        <c:axPos val="l"/>
        <c:majorGridlines>
          <c:spPr>
            <a:ln w="6350" cap="flat" cmpd="sng" algn="ctr">
              <a:noFill/>
              <a:prstDash val="sysDot"/>
              <a:round/>
              <a:headEnd w="sm" len="sm"/>
            </a:ln>
            <a:effectLst/>
          </c:spPr>
        </c:majorGridlines>
        <c:numFmt formatCode="0.00" sourceLinked="0"/>
        <c:majorTickMark val="out"/>
        <c:minorTickMark val="none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514255"/>
        <c:crossesAt val="0"/>
        <c:crossBetween val="midCat"/>
        <c:majorUnit val="5.000000000000001E-2"/>
        <c:minorUnit val="1.0000000000000002E-2"/>
      </c:valAx>
      <c:spPr>
        <a:noFill/>
        <a:ln>
          <a:solidFill>
            <a:schemeClr val="bg1"/>
          </a:solidFill>
        </a:ln>
      </c:spPr>
    </c:plotArea>
    <c:plotVisOnly val="1"/>
    <c:dispBlanksAs val="gap"/>
    <c:showDLblsOverMax val="0"/>
    <c:extLst/>
  </c:chart>
  <c:spPr>
    <a:solidFill>
      <a:schemeClr val="bg1"/>
    </a:solidFill>
    <a:ln w="3175"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NACA 5-Digit</a:t>
            </a:r>
            <a:r>
              <a:rPr lang="en-GB" sz="14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Series</a:t>
            </a:r>
            <a:endParaRPr lang="en-GB" sz="1400" b="0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41018493105582704"/>
          <c:y val="9.159078327609824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4579447129630848E-2"/>
          <c:y val="8.4754534237835202E-2"/>
          <c:w val="0.9660238901107584"/>
          <c:h val="0.86443027641727177"/>
        </c:manualLayout>
      </c:layout>
      <c:scatterChart>
        <c:scatterStyle val="smoothMarker"/>
        <c:varyColors val="0"/>
        <c:ser>
          <c:idx val="0"/>
          <c:order val="0"/>
          <c:tx>
            <c:v>Upper Camber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Data2!$L$1:$L$500</c:f>
              <c:numCache>
                <c:formatCode>0.000000</c:formatCode>
                <c:ptCount val="500"/>
                <c:pt idx="0">
                  <c:v>0</c:v>
                </c:pt>
                <c:pt idx="1">
                  <c:v>-7.0907751894720562E-5</c:v>
                </c:pt>
                <c:pt idx="2">
                  <c:v>-1.3172673642475059E-4</c:v>
                </c:pt>
                <c:pt idx="3">
                  <c:v>-1.8242106549470812E-4</c:v>
                </c:pt>
                <c:pt idx="4">
                  <c:v>-2.2295508657911486E-4</c:v>
                </c:pt>
                <c:pt idx="5">
                  <c:v>-2.53293394529302E-4</c:v>
                </c:pt>
                <c:pt idx="6">
                  <c:v>-2.7340084339603929E-4</c:v>
                </c:pt>
                <c:pt idx="7">
                  <c:v>-2.8324255827019056E-4</c:v>
                </c:pt>
                <c:pt idx="8">
                  <c:v>-2.8278394715011679E-4</c:v>
                </c:pt>
                <c:pt idx="9">
                  <c:v>-2.7199071284197431E-4</c:v>
                </c:pt>
                <c:pt idx="10">
                  <c:v>-2.5082886489914615E-4</c:v>
                </c:pt>
                <c:pt idx="11">
                  <c:v>-2.1926473160692234E-4</c:v>
                </c:pt>
                <c:pt idx="12">
                  <c:v>-1.7726497201836727E-4</c:v>
                </c:pt>
                <c:pt idx="13">
                  <c:v>-1.2479658804696631E-4</c:v>
                </c:pt>
                <c:pt idx="14">
                  <c:v>-6.1826936621165243E-5</c:v>
                </c:pt>
                <c:pt idx="15">
                  <c:v>1.1676258093975623E-5</c:v>
                </c:pt>
                <c:pt idx="16">
                  <c:v>9.5744892402959293E-5</c:v>
                </c:pt>
                <c:pt idx="17">
                  <c:v>1.9041047071057231E-4</c:v>
                </c:pt>
                <c:pt idx="18">
                  <c:v>2.9570409307137237E-4</c:v>
                </c:pt>
                <c:pt idx="19">
                  <c:v>4.1165644265607568E-4</c:v>
                </c:pt>
                <c:pt idx="20">
                  <c:v>5.3829777312954094E-4</c:v>
                </c:pt>
                <c:pt idx="21">
                  <c:v>6.7565789593911139E-4</c:v>
                </c:pt>
                <c:pt idx="22">
                  <c:v>8.2376616750940617E-4</c:v>
                </c:pt>
                <c:pt idx="23">
                  <c:v>9.8265147634198839E-4</c:v>
                </c:pt>
                <c:pt idx="24">
                  <c:v>1.1523422300174597E-3</c:v>
                </c:pt>
                <c:pt idx="25">
                  <c:v>1.3328663420995683E-3</c:v>
                </c:pt>
                <c:pt idx="26">
                  <c:v>1.5242512189387171E-3</c:v>
                </c:pt>
                <c:pt idx="27">
                  <c:v>1.7265237463763995E-3</c:v>
                </c:pt>
                <c:pt idx="28">
                  <c:v>1.9397102763482261E-3</c:v>
                </c:pt>
                <c:pt idx="29">
                  <c:v>2.1638366133873909E-3</c:v>
                </c:pt>
                <c:pt idx="30">
                  <c:v>2.3989280010291705E-3</c:v>
                </c:pt>
                <c:pt idx="31">
                  <c:v>2.645009108116156E-3</c:v>
                </c:pt>
                <c:pt idx="32">
                  <c:v>2.9021040150088782E-3</c:v>
                </c:pt>
                <c:pt idx="33">
                  <c:v>3.1702361997010989E-3</c:v>
                </c:pt>
                <c:pt idx="34">
                  <c:v>3.449428523843839E-3</c:v>
                </c:pt>
                <c:pt idx="35">
                  <c:v>3.7397032186813816E-3</c:v>
                </c:pt>
                <c:pt idx="36">
                  <c:v>4.0410818709028899E-3</c:v>
                </c:pt>
                <c:pt idx="37">
                  <c:v>4.3535854084130986E-3</c:v>
                </c:pt>
                <c:pt idx="38">
                  <c:v>4.6772340860274592E-3</c:v>
                </c:pt>
                <c:pt idx="39">
                  <c:v>5.0120474710969812E-3</c:v>
                </c:pt>
                <c:pt idx="40">
                  <c:v>5.3580444290679246E-3</c:v>
                </c:pt>
                <c:pt idx="41">
                  <c:v>5.7152431089830414E-3</c:v>
                </c:pt>
                <c:pt idx="42">
                  <c:v>6.0836609289304641E-3</c:v>
                </c:pt>
                <c:pt idx="43">
                  <c:v>6.4633145614480126E-3</c:v>
                </c:pt>
                <c:pt idx="44">
                  <c:v>6.8542199188906128E-3</c:v>
                </c:pt>
                <c:pt idx="45">
                  <c:v>7.2563921387684147E-3</c:v>
                </c:pt>
                <c:pt idx="46">
                  <c:v>7.6698455690648679E-3</c:v>
                </c:pt>
                <c:pt idx="47">
                  <c:v>8.094593753543166E-3</c:v>
                </c:pt>
                <c:pt idx="48">
                  <c:v>8.5306494170522273E-3</c:v>
                </c:pt>
                <c:pt idx="49">
                  <c:v>8.9780244508398319E-3</c:v>
                </c:pt>
                <c:pt idx="50">
                  <c:v>9.4367298978860568E-3</c:v>
                </c:pt>
                <c:pt idx="51">
                  <c:v>9.9067759382658587E-3</c:v>
                </c:pt>
                <c:pt idx="52">
                  <c:v>1.0388171874553705E-2</c:v>
                </c:pt>
                <c:pt idx="53">
                  <c:v>1.0880926117281014E-2</c:v>
                </c:pt>
                <c:pt idx="54">
                  <c:v>1.1385046170458567E-2</c:v>
                </c:pt>
                <c:pt idx="55">
                  <c:v>1.1900538617178153E-2</c:v>
                </c:pt>
                <c:pt idx="56">
                  <c:v>1.2427409105303388E-2</c:v>
                </c:pt>
                <c:pt idx="57">
                  <c:v>1.2965662333266032E-2</c:v>
                </c:pt>
                <c:pt idx="58">
                  <c:v>1.3515302035978907E-2</c:v>
                </c:pt>
                <c:pt idx="59">
                  <c:v>1.4076330970880889E-2</c:v>
                </c:pt>
                <c:pt idx="60">
                  <c:v>1.4648750904127537E-2</c:v>
                </c:pt>
                <c:pt idx="61">
                  <c:v>1.5232562596941068E-2</c:v>
                </c:pt>
                <c:pt idx="62">
                  <c:v>1.5827765792135681E-2</c:v>
                </c:pt>
                <c:pt idx="63">
                  <c:v>1.6434359200831639E-2</c:v>
                </c:pt>
                <c:pt idx="64">
                  <c:v>1.7052340489373281E-2</c:v>
                </c:pt>
                <c:pt idx="65">
                  <c:v>1.7681706266467506E-2</c:v>
                </c:pt>
                <c:pt idx="66">
                  <c:v>1.8322452070554919E-2</c:v>
                </c:pt>
                <c:pt idx="67">
                  <c:v>1.8974572357431774E-2</c:v>
                </c:pt>
                <c:pt idx="68">
                  <c:v>1.9638060488136429E-2</c:v>
                </c:pt>
                <c:pt idx="69">
                  <c:v>2.0312908717115261E-2</c:v>
                </c:pt>
                <c:pt idx="70">
                  <c:v>2.0999108180684813E-2</c:v>
                </c:pt>
                <c:pt idx="71">
                  <c:v>2.1696648885802559E-2</c:v>
                </c:pt>
                <c:pt idx="72">
                  <c:v>2.2405519699164964E-2</c:v>
                </c:pt>
                <c:pt idx="73">
                  <c:v>2.3125708336643531E-2</c:v>
                </c:pt>
                <c:pt idx="74">
                  <c:v>2.3857201353077392E-2</c:v>
                </c:pt>
                <c:pt idx="75">
                  <c:v>2.459998413243359E-2</c:v>
                </c:pt>
                <c:pt idx="76">
                  <c:v>2.5354040878351011E-2</c:v>
                </c:pt>
                <c:pt idx="77">
                  <c:v>2.6119354605082468E-2</c:v>
                </c:pt>
                <c:pt idx="78">
                  <c:v>2.6895907128845278E-2</c:v>
                </c:pt>
                <c:pt idx="79">
                  <c:v>2.768367905959776E-2</c:v>
                </c:pt>
                <c:pt idx="80">
                  <c:v>2.848264979325037E-2</c:v>
                </c:pt>
                <c:pt idx="81">
                  <c:v>2.9292797504326673E-2</c:v>
                </c:pt>
                <c:pt idx="82">
                  <c:v>3.01140991390841E-2</c:v>
                </c:pt>
                <c:pt idx="83">
                  <c:v>3.0946530409106485E-2</c:v>
                </c:pt>
                <c:pt idx="84">
                  <c:v>3.1790065785378935E-2</c:v>
                </c:pt>
                <c:pt idx="85">
                  <c:v>3.2644678492854767E-2</c:v>
                </c:pt>
                <c:pt idx="86">
                  <c:v>3.3510340505524858E-2</c:v>
                </c:pt>
                <c:pt idx="87">
                  <c:v>3.4387022541996617E-2</c:v>
                </c:pt>
                <c:pt idx="88">
                  <c:v>3.5274694061592386E-2</c:v>
                </c:pt>
                <c:pt idx="89">
                  <c:v>3.6173323260973451E-2</c:v>
                </c:pt>
                <c:pt idx="90">
                  <c:v>3.7082877071296143E-2</c:v>
                </c:pt>
                <c:pt idx="91">
                  <c:v>3.8003321155907273E-2</c:v>
                </c:pt>
                <c:pt idx="92">
                  <c:v>3.8934619908582602E-2</c:v>
                </c:pt>
                <c:pt idx="93">
                  <c:v>3.987673645231217E-2</c:v>
                </c:pt>
                <c:pt idx="94">
                  <c:v>4.0829632638637717E-2</c:v>
                </c:pt>
                <c:pt idx="95">
                  <c:v>4.1793269047543234E-2</c:v>
                </c:pt>
                <c:pt idx="96">
                  <c:v>4.2767604987900137E-2</c:v>
                </c:pt>
                <c:pt idx="97">
                  <c:v>4.3752598498468881E-2</c:v>
                </c:pt>
                <c:pt idx="98">
                  <c:v>4.4748206349456823E-2</c:v>
                </c:pt>
                <c:pt idx="99">
                  <c:v>4.5754384044629622E-2</c:v>
                </c:pt>
                <c:pt idx="100">
                  <c:v>4.677108582397644E-2</c:v>
                </c:pt>
                <c:pt idx="101">
                  <c:v>4.7798264666924994E-2</c:v>
                </c:pt>
                <c:pt idx="102">
                  <c:v>4.8835872296103006E-2</c:v>
                </c:pt>
                <c:pt idx="103">
                  <c:v>4.9883859181641406E-2</c:v>
                </c:pt>
                <c:pt idx="104">
                  <c:v>5.0942174546013533E-2</c:v>
                </c:pt>
                <c:pt idx="105">
                  <c:v>5.2010766369404701E-2</c:v>
                </c:pt>
                <c:pt idx="106">
                  <c:v>5.3089581395604553E-2</c:v>
                </c:pt>
                <c:pt idx="107">
                  <c:v>5.4178565138413785E-2</c:v>
                </c:pt>
                <c:pt idx="108">
                  <c:v>5.5277661888557823E-2</c:v>
                </c:pt>
                <c:pt idx="109">
                  <c:v>5.6386814721095253E-2</c:v>
                </c:pt>
                <c:pt idx="110">
                  <c:v>5.750596550331432E-2</c:v>
                </c:pt>
                <c:pt idx="111">
                  <c:v>5.86350549031023E-2</c:v>
                </c:pt>
                <c:pt idx="112">
                  <c:v>5.9774022397780388E-2</c:v>
                </c:pt>
                <c:pt idx="113">
                  <c:v>6.0922806283387379E-2</c:v>
                </c:pt>
                <c:pt idx="114">
                  <c:v>6.2081343684402684E-2</c:v>
                </c:pt>
                <c:pt idx="115">
                  <c:v>6.3249570563893062E-2</c:v>
                </c:pt>
                <c:pt idx="116">
                  <c:v>6.442742173407022E-2</c:v>
                </c:pt>
                <c:pt idx="117">
                  <c:v>6.5614830867243706E-2</c:v>
                </c:pt>
                <c:pt idx="118">
                  <c:v>6.6811730507155234E-2</c:v>
                </c:pt>
                <c:pt idx="119">
                  <c:v>6.8018052080679167E-2</c:v>
                </c:pt>
                <c:pt idx="120">
                  <c:v>6.9233725909872951E-2</c:v>
                </c:pt>
                <c:pt idx="121">
                  <c:v>7.0458681224362163E-2</c:v>
                </c:pt>
                <c:pt idx="122">
                  <c:v>7.1692846174044811E-2</c:v>
                </c:pt>
                <c:pt idx="123">
                  <c:v>7.2936147842098828E-2</c:v>
                </c:pt>
                <c:pt idx="124">
                  <c:v>7.4188512258276565E-2</c:v>
                </c:pt>
                <c:pt idx="125">
                  <c:v>7.544986441247041E-2</c:v>
                </c:pt>
                <c:pt idx="126">
                  <c:v>7.6720128268534513E-2</c:v>
                </c:pt>
                <c:pt idx="127">
                  <c:v>7.7999226778347086E-2</c:v>
                </c:pt>
                <c:pt idx="128">
                  <c:v>7.92870818960974E-2</c:v>
                </c:pt>
                <c:pt idx="129">
                  <c:v>8.0583614592784195E-2</c:v>
                </c:pt>
                <c:pt idx="130">
                  <c:v>8.1888744870910093E-2</c:v>
                </c:pt>
                <c:pt idx="131">
                  <c:v>8.3202391779359036E-2</c:v>
                </c:pt>
                <c:pt idx="132">
                  <c:v>8.452447342844345E-2</c:v>
                </c:pt>
                <c:pt idx="133">
                  <c:v>8.5854907005110323E-2</c:v>
                </c:pt>
                <c:pt idx="134">
                  <c:v>8.7193608788292423E-2</c:v>
                </c:pt>
                <c:pt idx="135">
                  <c:v>8.8540494164396841E-2</c:v>
                </c:pt>
                <c:pt idx="136">
                  <c:v>8.989547764292001E-2</c:v>
                </c:pt>
                <c:pt idx="137">
                  <c:v>9.1258472872181515E-2</c:v>
                </c:pt>
                <c:pt idx="138">
                  <c:v>9.2629392655170659E-2</c:v>
                </c:pt>
                <c:pt idx="139">
                  <c:v>9.4008148965498153E-2</c:v>
                </c:pt>
                <c:pt idx="140">
                  <c:v>9.5394652963451676E-2</c:v>
                </c:pt>
                <c:pt idx="141">
                  <c:v>9.6788815012150295E-2</c:v>
                </c:pt>
                <c:pt idx="142">
                  <c:v>9.8190544693798537E-2</c:v>
                </c:pt>
                <c:pt idx="143">
                  <c:v>9.9599750826040043E-2</c:v>
                </c:pt>
                <c:pt idx="144">
                  <c:v>0.10101634147841511</c:v>
                </c:pt>
                <c:pt idx="145">
                  <c:v>0.10244022398892484</c:v>
                </c:pt>
                <c:pt idx="146">
                  <c:v>0.10387130498071041</c:v>
                </c:pt>
                <c:pt idx="147">
                  <c:v>0.1053094903788568</c:v>
                </c:pt>
                <c:pt idx="148">
                  <c:v>0.10675468542733048</c:v>
                </c:pt>
                <c:pt idx="149">
                  <c:v>0.10820679470606789</c:v>
                </c:pt>
                <c:pt idx="150">
                  <c:v>0.10966572214822873</c:v>
                </c:pt>
                <c:pt idx="151">
                  <c:v>0.11113137105763435</c:v>
                </c:pt>
                <c:pt idx="152">
                  <c:v>0.11260364412641308</c:v>
                </c:pt>
                <c:pt idx="153">
                  <c:v>0.11408244345287759</c:v>
                </c:pt>
                <c:pt idx="154">
                  <c:v>0.1155676705596615</c:v>
                </c:pt>
                <c:pt idx="155">
                  <c:v>0.11705922641214683</c:v>
                </c:pt>
                <c:pt idx="156">
                  <c:v>0.11855701143721641</c:v>
                </c:pt>
                <c:pt idx="157">
                  <c:v>0.12006092554236901</c:v>
                </c:pt>
                <c:pt idx="158">
                  <c:v>0.12157086813523796</c:v>
                </c:pt>
                <c:pt idx="159">
                  <c:v>0.12308673814355932</c:v>
                </c:pt>
                <c:pt idx="160">
                  <c:v>0.12460843403563554</c:v>
                </c:pt>
                <c:pt idx="161">
                  <c:v>0.12613585384135043</c:v>
                </c:pt>
                <c:pt idx="162">
                  <c:v>0.12766988990315112</c:v>
                </c:pt>
                <c:pt idx="163">
                  <c:v>0.12921250045945437</c:v>
                </c:pt>
                <c:pt idx="164">
                  <c:v>0.13076372760834162</c:v>
                </c:pt>
                <c:pt idx="165">
                  <c:v>0.13232355592588355</c:v>
                </c:pt>
                <c:pt idx="166">
                  <c:v>0.13389196990333851</c:v>
                </c:pt>
                <c:pt idx="167">
                  <c:v>0.13546895394731531</c:v>
                </c:pt>
                <c:pt idx="168">
                  <c:v>0.13705449237993803</c:v>
                </c:pt>
                <c:pt idx="169">
                  <c:v>0.13864856943901063</c:v>
                </c:pt>
                <c:pt idx="170">
                  <c:v>0.14025116927818285</c:v>
                </c:pt>
                <c:pt idx="171">
                  <c:v>0.1418622759671169</c:v>
                </c:pt>
                <c:pt idx="172">
                  <c:v>0.14348187349165456</c:v>
                </c:pt>
                <c:pt idx="173">
                  <c:v>0.14510994575398492</c:v>
                </c:pt>
                <c:pt idx="174">
                  <c:v>0.14674647657281303</c:v>
                </c:pt>
                <c:pt idx="175">
                  <c:v>0.1483914496835296</c:v>
                </c:pt>
                <c:pt idx="176">
                  <c:v>0.1500448487383805</c:v>
                </c:pt>
                <c:pt idx="177">
                  <c:v>0.15170665730663799</c:v>
                </c:pt>
                <c:pt idx="178">
                  <c:v>0.1533768588747717</c:v>
                </c:pt>
                <c:pt idx="179">
                  <c:v>0.15505543684662115</c:v>
                </c:pt>
                <c:pt idx="180">
                  <c:v>0.15674237454356826</c:v>
                </c:pt>
                <c:pt idx="181">
                  <c:v>0.15843765520471118</c:v>
                </c:pt>
                <c:pt idx="182">
                  <c:v>0.16014126198703826</c:v>
                </c:pt>
                <c:pt idx="183">
                  <c:v>0.16185317796560311</c:v>
                </c:pt>
                <c:pt idx="184">
                  <c:v>0.16357338613369965</c:v>
                </c:pt>
                <c:pt idx="185">
                  <c:v>0.16530186940303918</c:v>
                </c:pt>
                <c:pt idx="186">
                  <c:v>0.16703861060392641</c:v>
                </c:pt>
                <c:pt idx="187">
                  <c:v>0.16878359248543767</c:v>
                </c:pt>
                <c:pt idx="188">
                  <c:v>0.17053679771559876</c:v>
                </c:pt>
                <c:pt idx="189">
                  <c:v>0.17229820888156405</c:v>
                </c:pt>
                <c:pt idx="190">
                  <c:v>0.174067808489796</c:v>
                </c:pt>
                <c:pt idx="191">
                  <c:v>0.17584557896624528</c:v>
                </c:pt>
                <c:pt idx="192">
                  <c:v>0.17763150265653149</c:v>
                </c:pt>
                <c:pt idx="193">
                  <c:v>0.17942556182612535</c:v>
                </c:pt>
                <c:pt idx="194">
                  <c:v>0.1812277386605298</c:v>
                </c:pt>
                <c:pt idx="195">
                  <c:v>0.18303801526546365</c:v>
                </c:pt>
                <c:pt idx="196">
                  <c:v>0.18485637366704463</c:v>
                </c:pt>
                <c:pt idx="197">
                  <c:v>0.18668279581197361</c:v>
                </c:pt>
                <c:pt idx="198">
                  <c:v>0.1885172635677192</c:v>
                </c:pt>
                <c:pt idx="199">
                  <c:v>0.190359758722703</c:v>
                </c:pt>
                <c:pt idx="200">
                  <c:v>0.19221026298648605</c:v>
                </c:pt>
                <c:pt idx="201">
                  <c:v>0.19406875798995454</c:v>
                </c:pt>
                <c:pt idx="202">
                  <c:v>0.19593522528550791</c:v>
                </c:pt>
                <c:pt idx="203">
                  <c:v>0.1978096463472464</c:v>
                </c:pt>
                <c:pt idx="204">
                  <c:v>0.19969200257115893</c:v>
                </c:pt>
                <c:pt idx="205">
                  <c:v>0.20158227527531325</c:v>
                </c:pt>
                <c:pt idx="206">
                  <c:v>0.20348044570004425</c:v>
                </c:pt>
                <c:pt idx="207">
                  <c:v>0.2053864950081456</c:v>
                </c:pt>
                <c:pt idx="208">
                  <c:v>0.20730040428505972</c:v>
                </c:pt>
                <c:pt idx="209">
                  <c:v>0.20922215453906945</c:v>
                </c:pt>
                <c:pt idx="210">
                  <c:v>0.21115172670149057</c:v>
                </c:pt>
                <c:pt idx="211">
                  <c:v>0.21308910162686359</c:v>
                </c:pt>
                <c:pt idx="212">
                  <c:v>0.21503426009314799</c:v>
                </c:pt>
                <c:pt idx="213">
                  <c:v>0.21698718280191551</c:v>
                </c:pt>
                <c:pt idx="214">
                  <c:v>0.21894785037854464</c:v>
                </c:pt>
                <c:pt idx="215">
                  <c:v>0.22091624337241578</c:v>
                </c:pt>
                <c:pt idx="216">
                  <c:v>0.22289234225710694</c:v>
                </c:pt>
                <c:pt idx="217">
                  <c:v>0.22487612743058946</c:v>
                </c:pt>
                <c:pt idx="218">
                  <c:v>0.22686757921542547</c:v>
                </c:pt>
                <c:pt idx="219">
                  <c:v>0.22886667785896492</c:v>
                </c:pt>
                <c:pt idx="220">
                  <c:v>0.23087340353354324</c:v>
                </c:pt>
                <c:pt idx="221">
                  <c:v>0.23288773633668014</c:v>
                </c:pt>
                <c:pt idx="222">
                  <c:v>0.23490965629127855</c:v>
                </c:pt>
                <c:pt idx="223">
                  <c:v>0.23693914334582458</c:v>
                </c:pt>
                <c:pt idx="224">
                  <c:v>0.23897617737458696</c:v>
                </c:pt>
                <c:pt idx="225">
                  <c:v>0.24102073817781874</c:v>
                </c:pt>
                <c:pt idx="226">
                  <c:v>0.24307280548195773</c:v>
                </c:pt>
                <c:pt idx="227">
                  <c:v>0.24513235893982888</c:v>
                </c:pt>
                <c:pt idx="228">
                  <c:v>0.24719937813084639</c:v>
                </c:pt>
                <c:pt idx="229">
                  <c:v>0.24927384256121699</c:v>
                </c:pt>
                <c:pt idx="230">
                  <c:v>0.25135573166414338</c:v>
                </c:pt>
                <c:pt idx="231">
                  <c:v>0.2534450248000279</c:v>
                </c:pt>
                <c:pt idx="232">
                  <c:v>0.25554170125667763</c:v>
                </c:pt>
                <c:pt idx="233">
                  <c:v>0.25764574024950926</c:v>
                </c:pt>
                <c:pt idx="234">
                  <c:v>0.25975712092175496</c:v>
                </c:pt>
                <c:pt idx="235">
                  <c:v>0.26187582234466839</c:v>
                </c:pt>
                <c:pt idx="236">
                  <c:v>0.26400182351773172</c:v>
                </c:pt>
                <c:pt idx="237">
                  <c:v>0.26613510336886254</c:v>
                </c:pt>
                <c:pt idx="238">
                  <c:v>0.26827564075462196</c:v>
                </c:pt>
                <c:pt idx="239">
                  <c:v>0.27042341446042317</c:v>
                </c:pt>
                <c:pt idx="240">
                  <c:v>0.27257840320073984</c:v>
                </c:pt>
                <c:pt idx="241">
                  <c:v>0.27474058561931597</c:v>
                </c:pt>
                <c:pt idx="242">
                  <c:v>0.27690994028937521</c:v>
                </c:pt>
                <c:pt idx="243">
                  <c:v>0.27908644571383212</c:v>
                </c:pt>
                <c:pt idx="244">
                  <c:v>0.2812700803255026</c:v>
                </c:pt>
                <c:pt idx="245">
                  <c:v>0.28346082248731558</c:v>
                </c:pt>
                <c:pt idx="246">
                  <c:v>0.28565865049252481</c:v>
                </c:pt>
                <c:pt idx="247">
                  <c:v>0.28786354256492186</c:v>
                </c:pt>
                <c:pt idx="248">
                  <c:v>0.29007547685904839</c:v>
                </c:pt>
                <c:pt idx="249">
                  <c:v>0.29229443146041068</c:v>
                </c:pt>
                <c:pt idx="250">
                  <c:v>0.29452038438569267</c:v>
                </c:pt>
                <c:pt idx="251">
                  <c:v>0.2967533135829713</c:v>
                </c:pt>
                <c:pt idx="252">
                  <c:v>0.29899319693193127</c:v>
                </c:pt>
                <c:pt idx="253">
                  <c:v>0.30124001224408037</c:v>
                </c:pt>
                <c:pt idx="254">
                  <c:v>0.30349373726296613</c:v>
                </c:pt>
                <c:pt idx="255">
                  <c:v>0.30575434966439202</c:v>
                </c:pt>
                <c:pt idx="256">
                  <c:v>0.3080218270566345</c:v>
                </c:pt>
                <c:pt idx="257">
                  <c:v>0.31029614698066083</c:v>
                </c:pt>
                <c:pt idx="258">
                  <c:v>0.31257728691034675</c:v>
                </c:pt>
                <c:pt idx="259">
                  <c:v>0.31486522425269547</c:v>
                </c:pt>
                <c:pt idx="260">
                  <c:v>0.31715993634805667</c:v>
                </c:pt>
                <c:pt idx="261">
                  <c:v>0.31946140047034577</c:v>
                </c:pt>
                <c:pt idx="262">
                  <c:v>0.32176959382726444</c:v>
                </c:pt>
                <c:pt idx="263">
                  <c:v>0.32408449356051999</c:v>
                </c:pt>
                <c:pt idx="264">
                  <c:v>0.32640607674604832</c:v>
                </c:pt>
                <c:pt idx="265">
                  <c:v>0.32873432039423367</c:v>
                </c:pt>
                <c:pt idx="266">
                  <c:v>0.33106920145013163</c:v>
                </c:pt>
                <c:pt idx="267">
                  <c:v>0.33341069679369101</c:v>
                </c:pt>
                <c:pt idx="268">
                  <c:v>0.33575878323997743</c:v>
                </c:pt>
                <c:pt idx="269">
                  <c:v>0.33811343753939588</c:v>
                </c:pt>
                <c:pt idx="270">
                  <c:v>0.34047463637791558</c:v>
                </c:pt>
                <c:pt idx="271">
                  <c:v>0.34284235637729404</c:v>
                </c:pt>
                <c:pt idx="272">
                  <c:v>0.34521657409530165</c:v>
                </c:pt>
                <c:pt idx="273">
                  <c:v>0.34759726602594715</c:v>
                </c:pt>
                <c:pt idx="274">
                  <c:v>0.34998440859970392</c:v>
                </c:pt>
                <c:pt idx="275">
                  <c:v>0.35237797818373562</c:v>
                </c:pt>
                <c:pt idx="276">
                  <c:v>0.35477795108212362</c:v>
                </c:pt>
                <c:pt idx="277">
                  <c:v>0.35718430353609365</c:v>
                </c:pt>
                <c:pt idx="278">
                  <c:v>0.35959701172424424</c:v>
                </c:pt>
                <c:pt idx="279">
                  <c:v>0.3620160517627739</c:v>
                </c:pt>
                <c:pt idx="280">
                  <c:v>0.36444139970571088</c:v>
                </c:pt>
                <c:pt idx="281">
                  <c:v>0.36687303154514173</c:v>
                </c:pt>
                <c:pt idx="282">
                  <c:v>0.36931092321144099</c:v>
                </c:pt>
                <c:pt idx="283">
                  <c:v>0.37175505057350122</c:v>
                </c:pt>
                <c:pt idx="284">
                  <c:v>0.37420538943896364</c:v>
                </c:pt>
                <c:pt idx="285">
                  <c:v>0.37666191555444906</c:v>
                </c:pt>
                <c:pt idx="286">
                  <c:v>0.37912460460578956</c:v>
                </c:pt>
                <c:pt idx="287">
                  <c:v>0.3815934322182602</c:v>
                </c:pt>
                <c:pt idx="288">
                  <c:v>0.38406837395681159</c:v>
                </c:pt>
                <c:pt idx="289">
                  <c:v>0.38654940532630255</c:v>
                </c:pt>
                <c:pt idx="290">
                  <c:v>0.38903650177173343</c:v>
                </c:pt>
                <c:pt idx="291">
                  <c:v>0.39152963867848045</c:v>
                </c:pt>
                <c:pt idx="292">
                  <c:v>0.39402879137252922</c:v>
                </c:pt>
                <c:pt idx="293">
                  <c:v>0.39653393512070978</c:v>
                </c:pt>
                <c:pt idx="294">
                  <c:v>0.3990450451309322</c:v>
                </c:pt>
                <c:pt idx="295">
                  <c:v>0.40156209655242092</c:v>
                </c:pt>
                <c:pt idx="296">
                  <c:v>0.40408506447595233</c:v>
                </c:pt>
                <c:pt idx="297">
                  <c:v>0.40661392393409068</c:v>
                </c:pt>
                <c:pt idx="298">
                  <c:v>0.40914864990142474</c:v>
                </c:pt>
                <c:pt idx="299">
                  <c:v>0.41168921729480629</c:v>
                </c:pt>
                <c:pt idx="300">
                  <c:v>0.41423560097358642</c:v>
                </c:pt>
                <c:pt idx="301">
                  <c:v>0.41678777573985559</c:v>
                </c:pt>
                <c:pt idx="302">
                  <c:v>0.41934571633868151</c:v>
                </c:pt>
                <c:pt idx="303">
                  <c:v>0.42190939745834849</c:v>
                </c:pt>
                <c:pt idx="304">
                  <c:v>0.42447879373059771</c:v>
                </c:pt>
                <c:pt idx="305">
                  <c:v>0.42705387973086673</c:v>
                </c:pt>
                <c:pt idx="306">
                  <c:v>0.4296346299785303</c:v>
                </c:pt>
                <c:pt idx="307">
                  <c:v>0.43222101893714221</c:v>
                </c:pt>
                <c:pt idx="308">
                  <c:v>0.43481302101467562</c:v>
                </c:pt>
                <c:pt idx="309">
                  <c:v>0.43741061056376634</c:v>
                </c:pt>
                <c:pt idx="310">
                  <c:v>0.44001376188195401</c:v>
                </c:pt>
                <c:pt idx="311">
                  <c:v>0.44262244921192617</c:v>
                </c:pt>
                <c:pt idx="312">
                  <c:v>0.445236646741761</c:v>
                </c:pt>
                <c:pt idx="313">
                  <c:v>0.44785632860517116</c:v>
                </c:pt>
                <c:pt idx="314">
                  <c:v>0.4504814688817485</c:v>
                </c:pt>
                <c:pt idx="315">
                  <c:v>0.45311204159720792</c:v>
                </c:pt>
                <c:pt idx="316">
                  <c:v>0.45574802072363357</c:v>
                </c:pt>
                <c:pt idx="317">
                  <c:v>0.45838938017972369</c:v>
                </c:pt>
                <c:pt idx="318">
                  <c:v>0.46103609383103739</c:v>
                </c:pt>
                <c:pt idx="319">
                  <c:v>0.46368813549024013</c:v>
                </c:pt>
                <c:pt idx="320">
                  <c:v>0.46634547891735229</c:v>
                </c:pt>
                <c:pt idx="321">
                  <c:v>0.46900809781999475</c:v>
                </c:pt>
                <c:pt idx="322">
                  <c:v>0.47167596585363825</c:v>
                </c:pt>
                <c:pt idx="323">
                  <c:v>0.47434905662185095</c:v>
                </c:pt>
                <c:pt idx="324">
                  <c:v>0.47702734367654726</c:v>
                </c:pt>
                <c:pt idx="325">
                  <c:v>0.47971080051823772</c:v>
                </c:pt>
                <c:pt idx="326">
                  <c:v>0.48239940059627762</c:v>
                </c:pt>
                <c:pt idx="327">
                  <c:v>0.48509311730911836</c:v>
                </c:pt>
                <c:pt idx="328">
                  <c:v>0.48779192400455645</c:v>
                </c:pt>
                <c:pt idx="329">
                  <c:v>0.49049579397998638</c:v>
                </c:pt>
                <c:pt idx="330">
                  <c:v>0.49320470048265042</c:v>
                </c:pt>
                <c:pt idx="331">
                  <c:v>0.49591861670989223</c:v>
                </c:pt>
                <c:pt idx="332">
                  <c:v>0.49863751580940735</c:v>
                </c:pt>
                <c:pt idx="333">
                  <c:v>0.50136137087949739</c:v>
                </c:pt>
                <c:pt idx="334">
                  <c:v>0.50409015496932319</c:v>
                </c:pt>
                <c:pt idx="335">
                  <c:v>0.50682384107915801</c:v>
                </c:pt>
                <c:pt idx="336">
                  <c:v>0.50956240216064197</c:v>
                </c:pt>
                <c:pt idx="337">
                  <c:v>0.51230581111703655</c:v>
                </c:pt>
                <c:pt idx="338">
                  <c:v>0.51505404080348027</c:v>
                </c:pt>
                <c:pt idx="339">
                  <c:v>0.51780706402724308</c:v>
                </c:pt>
                <c:pt idx="340">
                  <c:v>0.52056485354798354</c:v>
                </c:pt>
                <c:pt idx="341">
                  <c:v>0.52332738207800444</c:v>
                </c:pt>
                <c:pt idx="342">
                  <c:v>0.52609462228251025</c:v>
                </c:pt>
                <c:pt idx="343">
                  <c:v>0.52886654677986367</c:v>
                </c:pt>
                <c:pt idx="344">
                  <c:v>0.53164312814184411</c:v>
                </c:pt>
                <c:pt idx="345">
                  <c:v>0.53442433889390584</c:v>
                </c:pt>
                <c:pt idx="346">
                  <c:v>0.53721015151543605</c:v>
                </c:pt>
                <c:pt idx="347">
                  <c:v>0.54000053844001517</c:v>
                </c:pt>
                <c:pt idx="348">
                  <c:v>0.54279547205567502</c:v>
                </c:pt>
                <c:pt idx="349">
                  <c:v>0.5455949247051598</c:v>
                </c:pt>
                <c:pt idx="350">
                  <c:v>0.54839886868618581</c:v>
                </c:pt>
                <c:pt idx="351">
                  <c:v>0.55120727625170385</c:v>
                </c:pt>
                <c:pt idx="352">
                  <c:v>0.55402011961015873</c:v>
                </c:pt>
                <c:pt idx="353">
                  <c:v>0.55683737092575236</c:v>
                </c:pt>
                <c:pt idx="354">
                  <c:v>0.55965900231870547</c:v>
                </c:pt>
                <c:pt idx="355">
                  <c:v>0.56248498586552031</c:v>
                </c:pt>
                <c:pt idx="356">
                  <c:v>0.56531529359924459</c:v>
                </c:pt>
                <c:pt idx="357">
                  <c:v>0.56814989750973366</c:v>
                </c:pt>
                <c:pt idx="358">
                  <c:v>0.57098876954391653</c:v>
                </c:pt>
                <c:pt idx="359">
                  <c:v>0.57383188160605814</c:v>
                </c:pt>
                <c:pt idx="360">
                  <c:v>0.57667920555802643</c:v>
                </c:pt>
                <c:pt idx="361">
                  <c:v>0.5795307132195564</c:v>
                </c:pt>
                <c:pt idx="362">
                  <c:v>0.58238637636851665</c:v>
                </c:pt>
                <c:pt idx="363">
                  <c:v>0.58524616674117558</c:v>
                </c:pt>
                <c:pt idx="364">
                  <c:v>0.58811005603246735</c:v>
                </c:pt>
                <c:pt idx="365">
                  <c:v>0.59097801589626109</c:v>
                </c:pt>
                <c:pt idx="366">
                  <c:v>0.59385001794562631</c:v>
                </c:pt>
                <c:pt idx="367">
                  <c:v>0.59672603375310274</c:v>
                </c:pt>
                <c:pt idx="368">
                  <c:v>0.59960603485096764</c:v>
                </c:pt>
                <c:pt idx="369">
                  <c:v>0.60248999273150627</c:v>
                </c:pt>
                <c:pt idx="370">
                  <c:v>0.60537787884727934</c:v>
                </c:pt>
                <c:pt idx="371">
                  <c:v>0.60826966461139542</c:v>
                </c:pt>
                <c:pt idx="372">
                  <c:v>0.61116532139777924</c:v>
                </c:pt>
                <c:pt idx="373">
                  <c:v>0.61406482054144362</c:v>
                </c:pt>
                <c:pt idx="374">
                  <c:v>0.61696813333876055</c:v>
                </c:pt>
                <c:pt idx="375">
                  <c:v>0.61987523104773234</c:v>
                </c:pt>
                <c:pt idx="376">
                  <c:v>0.62278608488826526</c:v>
                </c:pt>
                <c:pt idx="377">
                  <c:v>0.62570066604244023</c:v>
                </c:pt>
                <c:pt idx="378">
                  <c:v>0.62861894565478782</c:v>
                </c:pt>
                <c:pt idx="379">
                  <c:v>0.63154089483256026</c:v>
                </c:pt>
                <c:pt idx="380">
                  <c:v>0.63446648464600608</c:v>
                </c:pt>
                <c:pt idx="381">
                  <c:v>0.63739568612864461</c:v>
                </c:pt>
                <c:pt idx="382">
                  <c:v>0.64032847027754125</c:v>
                </c:pt>
                <c:pt idx="383">
                  <c:v>0.64326480805358166</c:v>
                </c:pt>
                <c:pt idx="384">
                  <c:v>0.64620467038174845</c:v>
                </c:pt>
                <c:pt idx="385">
                  <c:v>0.64914802815139738</c:v>
                </c:pt>
                <c:pt idx="386">
                  <c:v>0.65209485221653329</c:v>
                </c:pt>
                <c:pt idx="387">
                  <c:v>0.65504511339608829</c:v>
                </c:pt>
                <c:pt idx="388">
                  <c:v>0.65799878247419896</c:v>
                </c:pt>
                <c:pt idx="389">
                  <c:v>0.66095583020048376</c:v>
                </c:pt>
                <c:pt idx="390">
                  <c:v>0.66391622729032185</c:v>
                </c:pt>
                <c:pt idx="391">
                  <c:v>0.6668799444251331</c:v>
                </c:pt>
                <c:pt idx="392">
                  <c:v>0.66984695225265534</c:v>
                </c:pt>
                <c:pt idx="393">
                  <c:v>0.67281722138722633</c:v>
                </c:pt>
                <c:pt idx="394">
                  <c:v>0.67579072241006222</c:v>
                </c:pt>
                <c:pt idx="395">
                  <c:v>0.67876742586953998</c:v>
                </c:pt>
                <c:pt idx="396">
                  <c:v>0.68174730228147673</c:v>
                </c:pt>
                <c:pt idx="397">
                  <c:v>0.68473032212941265</c:v>
                </c:pt>
                <c:pt idx="398">
                  <c:v>0.68771645586489294</c:v>
                </c:pt>
                <c:pt idx="399">
                  <c:v>0.6907056739077494</c:v>
                </c:pt>
                <c:pt idx="400">
                  <c:v>0.69369794664638473</c:v>
                </c:pt>
                <c:pt idx="401">
                  <c:v>0.69669324443805392</c:v>
                </c:pt>
                <c:pt idx="402">
                  <c:v>0.6996915376091507</c:v>
                </c:pt>
                <c:pt idx="403">
                  <c:v>0.70269279645548921</c:v>
                </c:pt>
                <c:pt idx="404">
                  <c:v>0.70569699124259111</c:v>
                </c:pt>
                <c:pt idx="405">
                  <c:v>0.70870409220596786</c:v>
                </c:pt>
                <c:pt idx="406">
                  <c:v>0.71171406955140959</c:v>
                </c:pt>
                <c:pt idx="407">
                  <c:v>0.71472689345526852</c:v>
                </c:pt>
                <c:pt idx="408">
                  <c:v>0.7177425340647462</c:v>
                </c:pt>
                <c:pt idx="409">
                  <c:v>0.72076096149818125</c:v>
                </c:pt>
                <c:pt idx="410">
                  <c:v>0.72378214584533573</c:v>
                </c:pt>
                <c:pt idx="411">
                  <c:v>0.72680605716768321</c:v>
                </c:pt>
                <c:pt idx="412">
                  <c:v>0.72983266549869663</c:v>
                </c:pt>
                <c:pt idx="413">
                  <c:v>0.73286194084413814</c:v>
                </c:pt>
                <c:pt idx="414">
                  <c:v>0.73589385318234612</c:v>
                </c:pt>
                <c:pt idx="415">
                  <c:v>0.73892837246452758</c:v>
                </c:pt>
                <c:pt idx="416">
                  <c:v>0.74196546861504509</c:v>
                </c:pt>
                <c:pt idx="417">
                  <c:v>0.74500511153170856</c:v>
                </c:pt>
                <c:pt idx="418">
                  <c:v>0.74804727108606694</c:v>
                </c:pt>
                <c:pt idx="419">
                  <c:v>0.75109191712369761</c:v>
                </c:pt>
                <c:pt idx="420">
                  <c:v>0.75413901946449979</c:v>
                </c:pt>
                <c:pt idx="421">
                  <c:v>0.75718854790298495</c:v>
                </c:pt>
                <c:pt idx="422">
                  <c:v>0.76024047220857083</c:v>
                </c:pt>
                <c:pt idx="423">
                  <c:v>0.76329476212587333</c:v>
                </c:pt>
                <c:pt idx="424">
                  <c:v>0.76635138737500108</c:v>
                </c:pt>
                <c:pt idx="425">
                  <c:v>0.76941031765184731</c:v>
                </c:pt>
                <c:pt idx="426">
                  <c:v>0.77247152262838681</c:v>
                </c:pt>
                <c:pt idx="427">
                  <c:v>0.77553497195296772</c:v>
                </c:pt>
                <c:pt idx="428">
                  <c:v>0.77860063525060796</c:v>
                </c:pt>
                <c:pt idx="429">
                  <c:v>0.78166848212329176</c:v>
                </c:pt>
                <c:pt idx="430">
                  <c:v>0.78473848215026309</c:v>
                </c:pt>
                <c:pt idx="431">
                  <c:v>0.78781060488832466</c:v>
                </c:pt>
                <c:pt idx="432">
                  <c:v>0.79088481987213177</c:v>
                </c:pt>
                <c:pt idx="433">
                  <c:v>0.79396109661449266</c:v>
                </c:pt>
                <c:pt idx="434">
                  <c:v>0.79703940460666334</c:v>
                </c:pt>
                <c:pt idx="435">
                  <c:v>0.80011971331864706</c:v>
                </c:pt>
                <c:pt idx="436">
                  <c:v>0.80320199219949207</c:v>
                </c:pt>
                <c:pt idx="437">
                  <c:v>0.80628621067759121</c:v>
                </c:pt>
                <c:pt idx="438">
                  <c:v>0.80937233816097975</c:v>
                </c:pt>
                <c:pt idx="439">
                  <c:v>0.81246034403763578</c:v>
                </c:pt>
                <c:pt idx="440">
                  <c:v>0.81555019767578119</c:v>
                </c:pt>
                <c:pt idx="441">
                  <c:v>0.81864186842417985</c:v>
                </c:pt>
                <c:pt idx="442">
                  <c:v>0.82173532561244023</c:v>
                </c:pt>
                <c:pt idx="443">
                  <c:v>0.82483053855131583</c:v>
                </c:pt>
                <c:pt idx="444">
                  <c:v>0.82792747653300736</c:v>
                </c:pt>
                <c:pt idx="445">
                  <c:v>0.83102610883146322</c:v>
                </c:pt>
                <c:pt idx="446">
                  <c:v>0.83412640470268451</c:v>
                </c:pt>
                <c:pt idx="447">
                  <c:v>0.83722833338502489</c:v>
                </c:pt>
                <c:pt idx="448">
                  <c:v>0.84033186409949578</c:v>
                </c:pt>
                <c:pt idx="449">
                  <c:v>0.84343696605006946</c:v>
                </c:pt>
                <c:pt idx="450">
                  <c:v>0.84654360842398191</c:v>
                </c:pt>
                <c:pt idx="451">
                  <c:v>0.84965176039203905</c:v>
                </c:pt>
                <c:pt idx="452">
                  <c:v>0.85276139110891969</c:v>
                </c:pt>
                <c:pt idx="453">
                  <c:v>0.8558724697134813</c:v>
                </c:pt>
                <c:pt idx="454">
                  <c:v>0.85898496532906543</c:v>
                </c:pt>
                <c:pt idx="455">
                  <c:v>0.86209884706380435</c:v>
                </c:pt>
                <c:pt idx="456">
                  <c:v>0.86521408401092537</c:v>
                </c:pt>
                <c:pt idx="457">
                  <c:v>0.86833064524905934</c:v>
                </c:pt>
                <c:pt idx="458">
                  <c:v>0.87144849984254591</c:v>
                </c:pt>
                <c:pt idx="459">
                  <c:v>0.87456761684174245</c:v>
                </c:pt>
                <c:pt idx="460">
                  <c:v>0.87768796528333037</c:v>
                </c:pt>
                <c:pt idx="461">
                  <c:v>0.8808095141906237</c:v>
                </c:pt>
                <c:pt idx="462">
                  <c:v>0.88393223257387832</c:v>
                </c:pt>
                <c:pt idx="463">
                  <c:v>0.88705608943059777</c:v>
                </c:pt>
                <c:pt idx="464">
                  <c:v>0.89018105374584688</c:v>
                </c:pt>
                <c:pt idx="465">
                  <c:v>0.89330709449255674</c:v>
                </c:pt>
                <c:pt idx="466">
                  <c:v>0.89643418063183777</c:v>
                </c:pt>
                <c:pt idx="467">
                  <c:v>0.8995622811132874</c:v>
                </c:pt>
                <c:pt idx="468">
                  <c:v>0.90269136487530277</c:v>
                </c:pt>
                <c:pt idx="469">
                  <c:v>0.90582140084538942</c:v>
                </c:pt>
                <c:pt idx="470">
                  <c:v>0.90895235794047435</c:v>
                </c:pt>
                <c:pt idx="471">
                  <c:v>0.91208420506721599</c:v>
                </c:pt>
                <c:pt idx="472">
                  <c:v>0.91521691112231662</c:v>
                </c:pt>
                <c:pt idx="473">
                  <c:v>0.91835044499283469</c:v>
                </c:pt>
                <c:pt idx="474">
                  <c:v>0.9214847755564971</c:v>
                </c:pt>
                <c:pt idx="475">
                  <c:v>0.92461987168201198</c:v>
                </c:pt>
                <c:pt idx="476">
                  <c:v>0.92775570222938153</c:v>
                </c:pt>
                <c:pt idx="477">
                  <c:v>0.93089223605021632</c:v>
                </c:pt>
                <c:pt idx="478">
                  <c:v>0.9340294419880476</c:v>
                </c:pt>
                <c:pt idx="479">
                  <c:v>0.93716728887864287</c:v>
                </c:pt>
                <c:pt idx="480">
                  <c:v>0.94030574555031876</c:v>
                </c:pt>
                <c:pt idx="481">
                  <c:v>0.94344478082425742</c:v>
                </c:pt>
                <c:pt idx="482">
                  <c:v>0.94658436351481956</c:v>
                </c:pt>
                <c:pt idx="483">
                  <c:v>0.94972446242986108</c:v>
                </c:pt>
                <c:pt idx="484">
                  <c:v>0.95286504637104785</c:v>
                </c:pt>
                <c:pt idx="485">
                  <c:v>0.95600608413417199</c:v>
                </c:pt>
                <c:pt idx="486">
                  <c:v>0.95914754450946804</c:v>
                </c:pt>
                <c:pt idx="487">
                  <c:v>0.96228939628192867</c:v>
                </c:pt>
                <c:pt idx="488">
                  <c:v>0.96543160823162277</c:v>
                </c:pt>
                <c:pt idx="489">
                  <c:v>0.9685741491340103</c:v>
                </c:pt>
                <c:pt idx="490">
                  <c:v>0.9717169877602615</c:v>
                </c:pt>
                <c:pt idx="491">
                  <c:v>0.97486009287757358</c:v>
                </c:pt>
                <c:pt idx="492">
                  <c:v>0.97800343324948791</c:v>
                </c:pt>
                <c:pt idx="493">
                  <c:v>0.98114697763620951</c:v>
                </c:pt>
                <c:pt idx="494">
                  <c:v>0.98429069479492326</c:v>
                </c:pt>
                <c:pt idx="495">
                  <c:v>0.98743455348011511</c:v>
                </c:pt>
                <c:pt idx="496">
                  <c:v>0.990578522443888</c:v>
                </c:pt>
                <c:pt idx="497">
                  <c:v>0.99372257043628331</c:v>
                </c:pt>
                <c:pt idx="498">
                  <c:v>0.99686666620559838</c:v>
                </c:pt>
                <c:pt idx="499">
                  <c:v>1.0000107784987071</c:v>
                </c:pt>
              </c:numCache>
            </c:numRef>
          </c:xVal>
          <c:yVal>
            <c:numRef>
              <c:f>Data2!$M$1:$M$500</c:f>
              <c:numCache>
                <c:formatCode>0.000000</c:formatCode>
                <c:ptCount val="500"/>
                <c:pt idx="0">
                  <c:v>0</c:v>
                </c:pt>
                <c:pt idx="1">
                  <c:v>3.8978092422533434E-4</c:v>
                </c:pt>
                <c:pt idx="2">
                  <c:v>7.8076555924824569E-4</c:v>
                </c:pt>
                <c:pt idx="3">
                  <c:v>1.1729582929824527E-3</c:v>
                </c:pt>
                <c:pt idx="4">
                  <c:v>1.5663623854367651E-3</c:v>
                </c:pt>
                <c:pt idx="5">
                  <c:v>1.9609799618451489E-3</c:v>
                </c:pt>
                <c:pt idx="6">
                  <c:v>2.3568120063184534E-3</c:v>
                </c:pt>
                <c:pt idx="7">
                  <c:v>2.7538583559896961E-3</c:v>
                </c:pt>
                <c:pt idx="8">
                  <c:v>3.1521176956739996E-3</c:v>
                </c:pt>
                <c:pt idx="9">
                  <c:v>3.5515875530491023E-3</c:v>
                </c:pt>
                <c:pt idx="10">
                  <c:v>3.9522642943603144E-3</c:v>
                </c:pt>
                <c:pt idx="11">
                  <c:v>4.3541431206590309E-3</c:v>
                </c:pt>
                <c:pt idx="12">
                  <c:v>4.7572180645788749E-3</c:v>
                </c:pt>
                <c:pt idx="13">
                  <c:v>5.1614819876577653E-3</c:v>
                </c:pt>
                <c:pt idx="14">
                  <c:v>5.5669265782132106E-3</c:v>
                </c:pt>
                <c:pt idx="15">
                  <c:v>5.9735423497752089E-3</c:v>
                </c:pt>
                <c:pt idx="16">
                  <c:v>6.3813186400823998E-3</c:v>
                </c:pt>
                <c:pt idx="17">
                  <c:v>6.7902436106535491E-3</c:v>
                </c:pt>
                <c:pt idx="18">
                  <c:v>7.2003042469317487E-3</c:v>
                </c:pt>
                <c:pt idx="19">
                  <c:v>7.6114863590167831E-3</c:v>
                </c:pt>
                <c:pt idx="20">
                  <c:v>8.0237745829834037E-3</c:v>
                </c:pt>
                <c:pt idx="21">
                  <c:v>8.4371523827989504E-3</c:v>
                </c:pt>
                <c:pt idx="22">
                  <c:v>8.8516020528412922E-3</c:v>
                </c:pt>
                <c:pt idx="23">
                  <c:v>9.26710472102572E-3</c:v>
                </c:pt>
                <c:pt idx="24">
                  <c:v>9.6836403525449016E-3</c:v>
                </c:pt>
                <c:pt idx="25">
                  <c:v>1.0101187754230455E-2</c:v>
                </c:pt>
                <c:pt idx="26">
                  <c:v>1.0519724579537905E-2</c:v>
                </c:pt>
                <c:pt idx="27">
                  <c:v>1.0939227334165825E-2</c:v>
                </c:pt>
                <c:pt idx="28">
                  <c:v>1.1359671382309498E-2</c:v>
                </c:pt>
                <c:pt idx="29">
                  <c:v>1.1781030953558367E-2</c:v>
                </c:pt>
                <c:pt idx="30">
                  <c:v>1.2203279150441814E-2</c:v>
                </c:pt>
                <c:pt idx="31">
                  <c:v>1.2626387956625931E-2</c:v>
                </c:pt>
                <c:pt idx="32">
                  <c:v>1.3050328245771677E-2</c:v>
                </c:pt>
                <c:pt idx="33">
                  <c:v>1.3475069791054211E-2</c:v>
                </c:pt>
                <c:pt idx="34">
                  <c:v>1.3900581275350793E-2</c:v>
                </c:pt>
                <c:pt idx="35">
                  <c:v>1.4326830302101905E-2</c:v>
                </c:pt>
                <c:pt idx="36">
                  <c:v>1.4753783406850164E-2</c:v>
                </c:pt>
                <c:pt idx="37">
                  <c:v>1.5181406069460094E-2</c:v>
                </c:pt>
                <c:pt idx="38">
                  <c:v>1.5609662727024244E-2</c:v>
                </c:pt>
                <c:pt idx="39">
                  <c:v>1.6038516787459368E-2</c:v>
                </c:pt>
                <c:pt idx="40">
                  <c:v>1.6467930643795786E-2</c:v>
                </c:pt>
                <c:pt idx="41">
                  <c:v>1.6897865689164064E-2</c:v>
                </c:pt>
                <c:pt idx="42">
                  <c:v>1.7328282332481355E-2</c:v>
                </c:pt>
                <c:pt idx="43">
                  <c:v>1.775914001484119E-2</c:v>
                </c:pt>
                <c:pt idx="44">
                  <c:v>1.8190397226609215E-2</c:v>
                </c:pt>
                <c:pt idx="45">
                  <c:v>1.8622011525226568E-2</c:v>
                </c:pt>
                <c:pt idx="46">
                  <c:v>1.9053939553723472E-2</c:v>
                </c:pt>
                <c:pt idx="47">
                  <c:v>1.9486137059944085E-2</c:v>
                </c:pt>
                <c:pt idx="48">
                  <c:v>1.9918558916485328E-2</c:v>
                </c:pt>
                <c:pt idx="49">
                  <c:v>2.0351159141348101E-2</c:v>
                </c:pt>
                <c:pt idx="50">
                  <c:v>2.078389091930409E-2</c:v>
                </c:pt>
                <c:pt idx="51">
                  <c:v>2.1216706623976182E-2</c:v>
                </c:pt>
                <c:pt idx="52">
                  <c:v>2.1649557840633361E-2</c:v>
                </c:pt>
                <c:pt idx="53">
                  <c:v>2.2082395389698584E-2</c:v>
                </c:pt>
                <c:pt idx="54">
                  <c:v>2.2515169350968131E-2</c:v>
                </c:pt>
                <c:pt idx="55">
                  <c:v>2.2947829088542239E-2</c:v>
                </c:pt>
                <c:pt idx="56">
                  <c:v>2.3380323276462018E-2</c:v>
                </c:pt>
                <c:pt idx="57">
                  <c:v>2.3812599925052601E-2</c:v>
                </c:pt>
                <c:pt idx="58">
                  <c:v>2.4244606407966881E-2</c:v>
                </c:pt>
                <c:pt idx="59">
                  <c:v>2.4676289489927328E-2</c:v>
                </c:pt>
                <c:pt idx="60">
                  <c:v>2.5107595355160908E-2</c:v>
                </c:pt>
                <c:pt idx="61">
                  <c:v>2.5538469636521344E-2</c:v>
                </c:pt>
                <c:pt idx="62">
                  <c:v>2.5968857445294147E-2</c:v>
                </c:pt>
                <c:pt idx="63">
                  <c:v>2.6398703401676996E-2</c:v>
                </c:pt>
                <c:pt idx="64">
                  <c:v>2.6827951665928624E-2</c:v>
                </c:pt>
                <c:pt idx="65">
                  <c:v>2.7256545970179513E-2</c:v>
                </c:pt>
                <c:pt idx="66">
                  <c:v>2.7684429650894134E-2</c:v>
                </c:pt>
                <c:pt idx="67">
                  <c:v>2.8111545681977556E-2</c:v>
                </c:pt>
                <c:pt idx="68">
                  <c:v>2.8537836708515719E-2</c:v>
                </c:pt>
                <c:pt idx="69">
                  <c:v>2.8963245081138771E-2</c:v>
                </c:pt>
                <c:pt idx="70">
                  <c:v>2.9387712890997428E-2</c:v>
                </c:pt>
                <c:pt idx="71">
                  <c:v>2.9811182005338575E-2</c:v>
                </c:pt>
                <c:pt idx="72">
                  <c:v>3.0233594103670047E-2</c:v>
                </c:pt>
                <c:pt idx="73">
                  <c:v>3.0654890714498687E-2</c:v>
                </c:pt>
                <c:pt idx="74">
                  <c:v>3.1075013252629936E-2</c:v>
                </c:pt>
                <c:pt idx="75">
                  <c:v>3.1493903057012398E-2</c:v>
                </c:pt>
                <c:pt idx="76">
                  <c:v>3.1911501429112879E-2</c:v>
                </c:pt>
                <c:pt idx="77">
                  <c:v>3.2327749671806127E-2</c:v>
                </c:pt>
                <c:pt idx="78">
                  <c:v>3.2742589128760505E-2</c:v>
                </c:pt>
                <c:pt idx="79">
                  <c:v>3.3155961224304566E-2</c:v>
                </c:pt>
                <c:pt idx="80">
                  <c:v>3.3567807503753745E-2</c:v>
                </c:pt>
                <c:pt idx="81">
                  <c:v>3.397806967418001E-2</c:v>
                </c:pt>
                <c:pt idx="82">
                  <c:v>3.4386689645603652E-2</c:v>
                </c:pt>
                <c:pt idx="83">
                  <c:v>3.4793609572587293E-2</c:v>
                </c:pt>
                <c:pt idx="84">
                  <c:v>3.519877189621113E-2</c:v>
                </c:pt>
                <c:pt idx="85">
                  <c:v>3.5602119386407442E-2</c:v>
                </c:pt>
                <c:pt idx="86">
                  <c:v>3.6003595184632718E-2</c:v>
                </c:pt>
                <c:pt idx="87">
                  <c:v>3.6403142846853559E-2</c:v>
                </c:pt>
                <c:pt idx="88">
                  <c:v>3.6800706386823971E-2</c:v>
                </c:pt>
                <c:pt idx="89">
                  <c:v>3.7196230319629348E-2</c:v>
                </c:pt>
                <c:pt idx="90">
                  <c:v>3.7589659705472581E-2</c:v>
                </c:pt>
                <c:pt idx="91">
                  <c:v>3.7980940193677946E-2</c:v>
                </c:pt>
                <c:pt idx="92">
                  <c:v>3.8370018066886585E-2</c:v>
                </c:pt>
                <c:pt idx="93">
                  <c:v>3.8756840285417649E-2</c:v>
                </c:pt>
                <c:pt idx="94">
                  <c:v>3.9141354531769201E-2</c:v>
                </c:pt>
                <c:pt idx="95">
                  <c:v>3.9523509255231737E-2</c:v>
                </c:pt>
                <c:pt idx="96">
                  <c:v>3.9903253716587275E-2</c:v>
                </c:pt>
                <c:pt idx="97">
                  <c:v>4.0280538032866416E-2</c:v>
                </c:pt>
                <c:pt idx="98">
                  <c:v>4.0655313222136426E-2</c:v>
                </c:pt>
                <c:pt idx="99">
                  <c:v>4.1027531248290991E-2</c:v>
                </c:pt>
                <c:pt idx="100">
                  <c:v>4.1397145065814656E-2</c:v>
                </c:pt>
                <c:pt idx="101">
                  <c:v>4.1764108664493135E-2</c:v>
                </c:pt>
                <c:pt idx="102">
                  <c:v>4.2128377114040737E-2</c:v>
                </c:pt>
                <c:pt idx="103">
                  <c:v>4.2489906608616734E-2</c:v>
                </c:pt>
                <c:pt idx="104">
                  <c:v>4.284865451120129E-2</c:v>
                </c:pt>
                <c:pt idx="105">
                  <c:v>4.3204579397802943E-2</c:v>
                </c:pt>
                <c:pt idx="106">
                  <c:v>4.3557641101468411E-2</c:v>
                </c:pt>
                <c:pt idx="107">
                  <c:v>4.390780075606586E-2</c:v>
                </c:pt>
                <c:pt idx="108">
                  <c:v>4.4255020839813648E-2</c:v>
                </c:pt>
                <c:pt idx="109">
                  <c:v>4.4599265218524822E-2</c:v>
                </c:pt>
                <c:pt idx="110">
                  <c:v>4.4940499188540289E-2</c:v>
                </c:pt>
                <c:pt idx="111">
                  <c:v>4.5278689519321028E-2</c:v>
                </c:pt>
                <c:pt idx="112">
                  <c:v>4.5613804495672504E-2</c:v>
                </c:pt>
                <c:pt idx="113">
                  <c:v>4.5945813959572257E-2</c:v>
                </c:pt>
                <c:pt idx="114">
                  <c:v>4.6274689351573847E-2</c:v>
                </c:pt>
                <c:pt idx="115">
                  <c:v>4.6600403751759681E-2</c:v>
                </c:pt>
                <c:pt idx="116">
                  <c:v>4.6922931920215197E-2</c:v>
                </c:pt>
                <c:pt idx="117">
                  <c:v>4.7242250336998394E-2</c:v>
                </c:pt>
                <c:pt idx="118">
                  <c:v>4.7558337241577694E-2</c:v>
                </c:pt>
                <c:pt idx="119">
                  <c:v>4.7871172671712772E-2</c:v>
                </c:pt>
                <c:pt idx="120">
                  <c:v>4.8180738501752238E-2</c:v>
                </c:pt>
                <c:pt idx="121">
                  <c:v>4.8487018480323038E-2</c:v>
                </c:pt>
                <c:pt idx="122">
                  <c:v>4.8789998267387183E-2</c:v>
                </c:pt>
                <c:pt idx="123">
                  <c:v>4.9089665470641107E-2</c:v>
                </c:pt>
                <c:pt idx="124">
                  <c:v>4.9386009681233738E-2</c:v>
                </c:pt>
                <c:pt idx="125">
                  <c:v>4.9679022508780049E-2</c:v>
                </c:pt>
                <c:pt idx="126">
                  <c:v>4.9968697615646887E-2</c:v>
                </c:pt>
                <c:pt idx="127">
                  <c:v>5.0255030750488802E-2</c:v>
                </c:pt>
                <c:pt idx="128">
                  <c:v>5.0538019781011433E-2</c:v>
                </c:pt>
                <c:pt idx="129">
                  <c:v>5.081766472594141E-2</c:v>
                </c:pt>
                <c:pt idx="130">
                  <c:v>5.1093967786181006E-2</c:v>
                </c:pt>
                <c:pt idx="131">
                  <c:v>5.136693337512746E-2</c:v>
                </c:pt>
                <c:pt idx="132">
                  <c:v>5.1636568148136455E-2</c:v>
                </c:pt>
                <c:pt idx="133">
                  <c:v>5.1902881031110154E-2</c:v>
                </c:pt>
                <c:pt idx="134">
                  <c:v>5.2165883248190395E-2</c:v>
                </c:pt>
                <c:pt idx="135">
                  <c:v>5.2425588348538478E-2</c:v>
                </c:pt>
                <c:pt idx="136">
                  <c:v>5.268201223218278E-2</c:v>
                </c:pt>
                <c:pt idx="137">
                  <c:v>5.2935173174916549E-2</c:v>
                </c:pt>
                <c:pt idx="138">
                  <c:v>5.3185091852228396E-2</c:v>
                </c:pt>
                <c:pt idx="139">
                  <c:v>5.3431791362247814E-2</c:v>
                </c:pt>
                <c:pt idx="140">
                  <c:v>5.3675297247689949E-2</c:v>
                </c:pt>
                <c:pt idx="141">
                  <c:v>5.3915637516782265E-2</c:v>
                </c:pt>
                <c:pt idx="142">
                  <c:v>5.4152842663158014E-2</c:v>
                </c:pt>
                <c:pt idx="143">
                  <c:v>5.4386945684700469E-2</c:v>
                </c:pt>
                <c:pt idx="144">
                  <c:v>5.4617982101323091E-2</c:v>
                </c:pt>
                <c:pt idx="145">
                  <c:v>5.4845989971670603E-2</c:v>
                </c:pt>
                <c:pt idx="146">
                  <c:v>5.5071009908726397E-2</c:v>
                </c:pt>
                <c:pt idx="147">
                  <c:v>5.5293085094313084E-2</c:v>
                </c:pt>
                <c:pt idx="148">
                  <c:v>5.5512261292471228E-2</c:v>
                </c:pt>
                <c:pt idx="149">
                  <c:v>5.5728586861704357E-2</c:v>
                </c:pt>
                <c:pt idx="150">
                  <c:v>5.5942112766076274E-2</c:v>
                </c:pt>
                <c:pt idx="151">
                  <c:v>5.6152892585149022E-2</c:v>
                </c:pt>
                <c:pt idx="152">
                  <c:v>5.6360982522749056E-2</c:v>
                </c:pt>
                <c:pt idx="153">
                  <c:v>5.6566441414550375E-2</c:v>
                </c:pt>
                <c:pt idx="154">
                  <c:v>5.6769330734463441E-2</c:v>
                </c:pt>
                <c:pt idx="155">
                  <c:v>5.6969714599819463E-2</c:v>
                </c:pt>
                <c:pt idx="156">
                  <c:v>5.7167659775340281E-2</c:v>
                </c:pt>
                <c:pt idx="157">
                  <c:v>5.73632356758845E-2</c:v>
                </c:pt>
                <c:pt idx="158">
                  <c:v>5.7556514367961428E-2</c:v>
                </c:pt>
                <c:pt idx="159">
                  <c:v>5.774757057000527E-2</c:v>
                </c:pt>
                <c:pt idx="160">
                  <c:v>5.7936481651402597E-2</c:v>
                </c:pt>
                <c:pt idx="161">
                  <c:v>5.8123327630267299E-2</c:v>
                </c:pt>
                <c:pt idx="162">
                  <c:v>5.830817461550631E-2</c:v>
                </c:pt>
                <c:pt idx="163">
                  <c:v>5.849102318966537E-2</c:v>
                </c:pt>
                <c:pt idx="164">
                  <c:v>5.8671864975044383E-2</c:v>
                </c:pt>
                <c:pt idx="165">
                  <c:v>5.8850692040409699E-2</c:v>
                </c:pt>
                <c:pt idx="166">
                  <c:v>5.9027496523331606E-2</c:v>
                </c:pt>
                <c:pt idx="167">
                  <c:v>5.9202270631418738E-2</c:v>
                </c:pt>
                <c:pt idx="168">
                  <c:v>5.9375006643539487E-2</c:v>
                </c:pt>
                <c:pt idx="169">
                  <c:v>5.9545696911029719E-2</c:v>
                </c:pt>
                <c:pt idx="170">
                  <c:v>5.971433385888715E-2</c:v>
                </c:pt>
                <c:pt idx="171">
                  <c:v>5.988090998695185E-2</c:v>
                </c:pt>
                <c:pt idx="172">
                  <c:v>6.0045417871072551E-2</c:v>
                </c:pt>
                <c:pt idx="173">
                  <c:v>6.0207850164258746E-2</c:v>
                </c:pt>
                <c:pt idx="174">
                  <c:v>6.036819959781823E-2</c:v>
                </c:pt>
                <c:pt idx="175">
                  <c:v>6.052645898248013E-2</c:v>
                </c:pt>
                <c:pt idx="176">
                  <c:v>6.0682621209502595E-2</c:v>
                </c:pt>
                <c:pt idx="177">
                  <c:v>6.08366792517658E-2</c:v>
                </c:pt>
                <c:pt idx="178">
                  <c:v>6.0988626164849152E-2</c:v>
                </c:pt>
                <c:pt idx="179">
                  <c:v>6.1138455088093353E-2</c:v>
                </c:pt>
                <c:pt idx="180">
                  <c:v>6.1286159245646295E-2</c:v>
                </c:pt>
                <c:pt idx="181">
                  <c:v>6.1431731947493316E-2</c:v>
                </c:pt>
                <c:pt idx="182">
                  <c:v>6.1575166590471075E-2</c:v>
                </c:pt>
                <c:pt idx="183">
                  <c:v>6.171645665926518E-2</c:v>
                </c:pt>
                <c:pt idx="184">
                  <c:v>6.1855595727391154E-2</c:v>
                </c:pt>
                <c:pt idx="185">
                  <c:v>6.1992577458158858E-2</c:v>
                </c:pt>
                <c:pt idx="186">
                  <c:v>6.2127395605619688E-2</c:v>
                </c:pt>
                <c:pt idx="187">
                  <c:v>6.226004401549691E-2</c:v>
                </c:pt>
                <c:pt idx="188">
                  <c:v>6.2390516626098617E-2</c:v>
                </c:pt>
                <c:pt idx="189">
                  <c:v>6.2518807469213192E-2</c:v>
                </c:pt>
                <c:pt idx="190">
                  <c:v>6.2644910670987083E-2</c:v>
                </c:pt>
                <c:pt idx="191">
                  <c:v>6.2768820452784993E-2</c:v>
                </c:pt>
                <c:pt idx="192">
                  <c:v>6.2890531132031607E-2</c:v>
                </c:pt>
                <c:pt idx="193">
                  <c:v>6.3010037123035836E-2</c:v>
                </c:pt>
                <c:pt idx="194">
                  <c:v>6.3127332937796085E-2</c:v>
                </c:pt>
                <c:pt idx="195">
                  <c:v>6.3242413186787499E-2</c:v>
                </c:pt>
                <c:pt idx="196">
                  <c:v>6.3355272579730421E-2</c:v>
                </c:pt>
                <c:pt idx="197">
                  <c:v>6.3465905926340063E-2</c:v>
                </c:pt>
                <c:pt idx="198">
                  <c:v>6.3574308137057237E-2</c:v>
                </c:pt>
                <c:pt idx="199">
                  <c:v>6.3680474223760108E-2</c:v>
                </c:pt>
                <c:pt idx="200">
                  <c:v>6.3784399300456679E-2</c:v>
                </c:pt>
                <c:pt idx="201">
                  <c:v>6.3886078583957895E-2</c:v>
                </c:pt>
                <c:pt idx="202">
                  <c:v>6.3985507394531238E-2</c:v>
                </c:pt>
                <c:pt idx="203">
                  <c:v>6.4082681156534912E-2</c:v>
                </c:pt>
                <c:pt idx="204">
                  <c:v>6.4177595399031923E-2</c:v>
                </c:pt>
                <c:pt idx="205">
                  <c:v>6.4270245756384667E-2</c:v>
                </c:pt>
                <c:pt idx="206">
                  <c:v>6.4360627968829145E-2</c:v>
                </c:pt>
                <c:pt idx="207">
                  <c:v>6.4448737883029572E-2</c:v>
                </c:pt>
                <c:pt idx="208">
                  <c:v>6.4534571452612141E-2</c:v>
                </c:pt>
                <c:pt idx="209">
                  <c:v>6.4618124738678978E-2</c:v>
                </c:pt>
                <c:pt idx="210">
                  <c:v>6.4699393910301425E-2</c:v>
                </c:pt>
                <c:pt idx="211">
                  <c:v>6.4778375244992789E-2</c:v>
                </c:pt>
                <c:pt idx="212">
                  <c:v>6.485506512916045E-2</c:v>
                </c:pt>
                <c:pt idx="213">
                  <c:v>6.4929460058537308E-2</c:v>
                </c:pt>
                <c:pt idx="214">
                  <c:v>6.5001556638592431E-2</c:v>
                </c:pt>
                <c:pt idx="215">
                  <c:v>6.5071351584920445E-2</c:v>
                </c:pt>
                <c:pt idx="216">
                  <c:v>6.5138841723610522E-2</c:v>
                </c:pt>
                <c:pt idx="217">
                  <c:v>6.5204023991593682E-2</c:v>
                </c:pt>
                <c:pt idx="218">
                  <c:v>6.5266895436969397E-2</c:v>
                </c:pt>
                <c:pt idx="219">
                  <c:v>6.5327453219310674E-2</c:v>
                </c:pt>
                <c:pt idx="220">
                  <c:v>6.5385694609947961E-2</c:v>
                </c:pt>
                <c:pt idx="221">
                  <c:v>6.5441616992231749E-2</c:v>
                </c:pt>
                <c:pt idx="222">
                  <c:v>6.5495217861773536E-2</c:v>
                </c:pt>
                <c:pt idx="223">
                  <c:v>6.5546494826665622E-2</c:v>
                </c:pt>
                <c:pt idx="224">
                  <c:v>6.5595445607678979E-2</c:v>
                </c:pt>
                <c:pt idx="225">
                  <c:v>6.5642068038439971E-2</c:v>
                </c:pt>
                <c:pt idx="226">
                  <c:v>6.5686360065585064E-2</c:v>
                </c:pt>
                <c:pt idx="227">
                  <c:v>6.5728319748894107E-2</c:v>
                </c:pt>
                <c:pt idx="228">
                  <c:v>6.5767945261401797E-2</c:v>
                </c:pt>
                <c:pt idx="229">
                  <c:v>6.5805234889487405E-2</c:v>
                </c:pt>
                <c:pt idx="230">
                  <c:v>6.5840187032942754E-2</c:v>
                </c:pt>
                <c:pt idx="231">
                  <c:v>6.5872800205018456E-2</c:v>
                </c:pt>
                <c:pt idx="232">
                  <c:v>6.5903073032448106E-2</c:v>
                </c:pt>
                <c:pt idx="233">
                  <c:v>6.5931004255450967E-2</c:v>
                </c:pt>
                <c:pt idx="234">
                  <c:v>6.5956592727712565E-2</c:v>
                </c:pt>
                <c:pt idx="235">
                  <c:v>6.597983741634339E-2</c:v>
                </c:pt>
                <c:pt idx="236">
                  <c:v>6.6000737401816015E-2</c:v>
                </c:pt>
                <c:pt idx="237">
                  <c:v>6.6019291877879985E-2</c:v>
                </c:pt>
                <c:pt idx="238">
                  <c:v>6.6035500151455068E-2</c:v>
                </c:pt>
                <c:pt idx="239">
                  <c:v>6.6049361642502649E-2</c:v>
                </c:pt>
                <c:pt idx="240">
                  <c:v>6.6060875883875061E-2</c:v>
                </c:pt>
                <c:pt idx="241">
                  <c:v>6.607004252114336E-2</c:v>
                </c:pt>
                <c:pt idx="242">
                  <c:v>6.6076861312403104E-2</c:v>
                </c:pt>
                <c:pt idx="243">
                  <c:v>6.6081332128058307E-2</c:v>
                </c:pt>
                <c:pt idx="244">
                  <c:v>6.6083454950583861E-2</c:v>
                </c:pt>
                <c:pt idx="245">
                  <c:v>6.6083229874265778E-2</c:v>
                </c:pt>
                <c:pt idx="246">
                  <c:v>6.6080657104920282E-2</c:v>
                </c:pt>
                <c:pt idx="247">
                  <c:v>6.6075736959590778E-2</c:v>
                </c:pt>
                <c:pt idx="248">
                  <c:v>6.6068469866223473E-2</c:v>
                </c:pt>
                <c:pt idx="249">
                  <c:v>6.6058856363321192E-2</c:v>
                </c:pt>
                <c:pt idx="250">
                  <c:v>6.6046897099575869E-2</c:v>
                </c:pt>
                <c:pt idx="251">
                  <c:v>6.6032592833479523E-2</c:v>
                </c:pt>
                <c:pt idx="252">
                  <c:v>6.6015944432913587E-2</c:v>
                </c:pt>
                <c:pt idx="253">
                  <c:v>6.5996952874717379E-2</c:v>
                </c:pt>
                <c:pt idx="254">
                  <c:v>6.5975619244234729E-2</c:v>
                </c:pt>
                <c:pt idx="255">
                  <c:v>6.5951944734839715E-2</c:v>
                </c:pt>
                <c:pt idx="256">
                  <c:v>6.5925930647441316E-2</c:v>
                </c:pt>
                <c:pt idx="257">
                  <c:v>6.5897578389966641E-2</c:v>
                </c:pt>
                <c:pt idx="258">
                  <c:v>6.5866889476823662E-2</c:v>
                </c:pt>
                <c:pt idx="259">
                  <c:v>6.5833865528342625E-2</c:v>
                </c:pt>
                <c:pt idx="260">
                  <c:v>6.5798508270196884E-2</c:v>
                </c:pt>
                <c:pt idx="261">
                  <c:v>6.5760819532803036E-2</c:v>
                </c:pt>
                <c:pt idx="262">
                  <c:v>6.5720801250700345E-2</c:v>
                </c:pt>
                <c:pt idx="263">
                  <c:v>6.5678455461909618E-2</c:v>
                </c:pt>
                <c:pt idx="264">
                  <c:v>6.5633784307271958E-2</c:v>
                </c:pt>
                <c:pt idx="265">
                  <c:v>6.558679002976682E-2</c:v>
                </c:pt>
                <c:pt idx="266">
                  <c:v>6.5537474973810142E-2</c:v>
                </c:pt>
                <c:pt idx="267">
                  <c:v>6.5485841584532495E-2</c:v>
                </c:pt>
                <c:pt idx="268">
                  <c:v>6.543189240703691E-2</c:v>
                </c:pt>
                <c:pt idx="269">
                  <c:v>6.5375630085637446E-2</c:v>
                </c:pt>
                <c:pt idx="270">
                  <c:v>6.5317057363077455E-2</c:v>
                </c:pt>
                <c:pt idx="271">
                  <c:v>6.5256177079728778E-2</c:v>
                </c:pt>
                <c:pt idx="272">
                  <c:v>6.5192992172771302E-2</c:v>
                </c:pt>
                <c:pt idx="273">
                  <c:v>6.5127505675353248E-2</c:v>
                </c:pt>
                <c:pt idx="274">
                  <c:v>6.5059720715732516E-2</c:v>
                </c:pt>
                <c:pt idx="275">
                  <c:v>6.4989640516398481E-2</c:v>
                </c:pt>
                <c:pt idx="276">
                  <c:v>6.4917268393175923E-2</c:v>
                </c:pt>
                <c:pt idx="277">
                  <c:v>6.4842607754309153E-2</c:v>
                </c:pt>
                <c:pt idx="278">
                  <c:v>6.4765662099528637E-2</c:v>
                </c:pt>
                <c:pt idx="279">
                  <c:v>6.4686435019098404E-2</c:v>
                </c:pt>
                <c:pt idx="280">
                  <c:v>6.4604930192845952E-2</c:v>
                </c:pt>
                <c:pt idx="281">
                  <c:v>6.4521151389173609E-2</c:v>
                </c:pt>
                <c:pt idx="282">
                  <c:v>6.4435102464052471E-2</c:v>
                </c:pt>
                <c:pt idx="283">
                  <c:v>6.4346787359998145E-2</c:v>
                </c:pt>
                <c:pt idx="284">
                  <c:v>6.4256210105029674E-2</c:v>
                </c:pt>
                <c:pt idx="285">
                  <c:v>6.4163374811610496E-2</c:v>
                </c:pt>
                <c:pt idx="286">
                  <c:v>6.40682856755726E-2</c:v>
                </c:pt>
                <c:pt idx="287">
                  <c:v>6.3970946975023854E-2</c:v>
                </c:pt>
                <c:pt idx="288">
                  <c:v>6.3871363069238241E-2</c:v>
                </c:pt>
                <c:pt idx="289">
                  <c:v>6.3769538397529898E-2</c:v>
                </c:pt>
                <c:pt idx="290">
                  <c:v>6.3665477478110521E-2</c:v>
                </c:pt>
                <c:pt idx="291">
                  <c:v>6.3559184906930827E-2</c:v>
                </c:pt>
                <c:pt idx="292">
                  <c:v>6.345066535650605E-2</c:v>
                </c:pt>
                <c:pt idx="293">
                  <c:v>6.3339923574725648E-2</c:v>
                </c:pt>
                <c:pt idx="294">
                  <c:v>6.322696438364736E-2</c:v>
                </c:pt>
                <c:pt idx="295">
                  <c:v>6.3111792678276393E-2</c:v>
                </c:pt>
                <c:pt idx="296">
                  <c:v>6.299441342532909E-2</c:v>
                </c:pt>
                <c:pt idx="297">
                  <c:v>6.2874831661981864E-2</c:v>
                </c:pt>
                <c:pt idx="298">
                  <c:v>6.2753052494605721E-2</c:v>
                </c:pt>
                <c:pt idx="299">
                  <c:v>6.262908109748605E-2</c:v>
                </c:pt>
                <c:pt idx="300">
                  <c:v>6.2502922711528477E-2</c:v>
                </c:pt>
                <c:pt idx="301">
                  <c:v>6.2374582642950552E-2</c:v>
                </c:pt>
                <c:pt idx="302">
                  <c:v>6.2244066261960142E-2</c:v>
                </c:pt>
                <c:pt idx="303">
                  <c:v>6.2111379001419956E-2</c:v>
                </c:pt>
                <c:pt idx="304">
                  <c:v>6.197652635549885E-2</c:v>
                </c:pt>
                <c:pt idx="305">
                  <c:v>6.1839513878310576E-2</c:v>
                </c:pt>
                <c:pt idx="306">
                  <c:v>6.1700347182539396E-2</c:v>
                </c:pt>
                <c:pt idx="307">
                  <c:v>6.1559031938053344E-2</c:v>
                </c:pt>
                <c:pt idx="308">
                  <c:v>6.1415573870505315E-2</c:v>
                </c:pt>
                <c:pt idx="309">
                  <c:v>6.1269978759922163E-2</c:v>
                </c:pt>
                <c:pt idx="310">
                  <c:v>6.1122252439282168E-2</c:v>
                </c:pt>
                <c:pt idx="311">
                  <c:v>6.0972400793080785E-2</c:v>
                </c:pt>
                <c:pt idx="312">
                  <c:v>6.0820429755885613E-2</c:v>
                </c:pt>
                <c:pt idx="313">
                  <c:v>6.0666345310880165E-2</c:v>
                </c:pt>
                <c:pt idx="314">
                  <c:v>6.0510153488397056E-2</c:v>
                </c:pt>
                <c:pt idx="315">
                  <c:v>6.0351860364440804E-2</c:v>
                </c:pt>
                <c:pt idx="316">
                  <c:v>6.0191472059200793E-2</c:v>
                </c:pt>
                <c:pt idx="317">
                  <c:v>6.0028994735553835E-2</c:v>
                </c:pt>
                <c:pt idx="318">
                  <c:v>5.9864434597557803E-2</c:v>
                </c:pt>
                <c:pt idx="319">
                  <c:v>5.9697797888935561E-2</c:v>
                </c:pt>
                <c:pt idx="320">
                  <c:v>5.9529090891550229E-2</c:v>
                </c:pt>
                <c:pt idx="321">
                  <c:v>5.9358319923871465E-2</c:v>
                </c:pt>
                <c:pt idx="322">
                  <c:v>5.9185491339433495E-2</c:v>
                </c:pt>
                <c:pt idx="323">
                  <c:v>5.9010611525285001E-2</c:v>
                </c:pt>
                <c:pt idx="324">
                  <c:v>5.8833686900431253E-2</c:v>
                </c:pt>
                <c:pt idx="325">
                  <c:v>5.8654723914268389E-2</c:v>
                </c:pt>
                <c:pt idx="326">
                  <c:v>5.8473729045010844E-2</c:v>
                </c:pt>
                <c:pt idx="327">
                  <c:v>5.8290708798111532E-2</c:v>
                </c:pt>
                <c:pt idx="328">
                  <c:v>5.8105669704675608E-2</c:v>
                </c:pt>
                <c:pt idx="329">
                  <c:v>5.7918618319867658E-2</c:v>
                </c:pt>
                <c:pt idx="330">
                  <c:v>5.7729561221312939E-2</c:v>
                </c:pt>
                <c:pt idx="331">
                  <c:v>5.7538505007492857E-2</c:v>
                </c:pt>
                <c:pt idx="332">
                  <c:v>5.7345456296135029E-2</c:v>
                </c:pt>
                <c:pt idx="333">
                  <c:v>5.7150421722598203E-2</c:v>
                </c:pt>
                <c:pt idx="334">
                  <c:v>5.6953407938252251E-2</c:v>
                </c:pt>
                <c:pt idx="335">
                  <c:v>5.6754421608853613E-2</c:v>
                </c:pt>
                <c:pt idx="336">
                  <c:v>5.655346941291689E-2</c:v>
                </c:pt>
                <c:pt idx="337">
                  <c:v>5.6350558040081974E-2</c:v>
                </c:pt>
                <c:pt idx="338">
                  <c:v>5.6145694189477992E-2</c:v>
                </c:pt>
                <c:pt idx="339">
                  <c:v>5.5938884568083914E-2</c:v>
                </c:pt>
                <c:pt idx="340">
                  <c:v>5.5730135889085937E-2</c:v>
                </c:pt>
                <c:pt idx="341">
                  <c:v>5.5519454870232646E-2</c:v>
                </c:pt>
                <c:pt idx="342">
                  <c:v>5.5306848232187386E-2</c:v>
                </c:pt>
                <c:pt idx="343">
                  <c:v>5.5092322696879123E-2</c:v>
                </c:pt>
                <c:pt idx="344">
                  <c:v>5.487588498585115E-2</c:v>
                </c:pt>
                <c:pt idx="345">
                  <c:v>5.4657541818608602E-2</c:v>
                </c:pt>
                <c:pt idx="346">
                  <c:v>5.4437299910965055E-2</c:v>
                </c:pt>
                <c:pt idx="347">
                  <c:v>5.4215165973388255E-2</c:v>
                </c:pt>
                <c:pt idx="348">
                  <c:v>5.3991146709345371E-2</c:v>
                </c:pt>
                <c:pt idx="349">
                  <c:v>5.3765248813648296E-2</c:v>
                </c:pt>
                <c:pt idx="350">
                  <c:v>5.3537478970799246E-2</c:v>
                </c:pt>
                <c:pt idx="351">
                  <c:v>5.3307843853336617E-2</c:v>
                </c:pt>
                <c:pt idx="352">
                  <c:v>5.3076350120182018E-2</c:v>
                </c:pt>
                <c:pt idx="353">
                  <c:v>5.2843004414988612E-2</c:v>
                </c:pt>
                <c:pt idx="354">
                  <c:v>5.2607813364490469E-2</c:v>
                </c:pt>
                <c:pt idx="355">
                  <c:v>5.237078357685445E-2</c:v>
                </c:pt>
                <c:pt idx="356">
                  <c:v>5.2131921640033795E-2</c:v>
                </c:pt>
                <c:pt idx="357">
                  <c:v>5.1891234120124308E-2</c:v>
                </c:pt>
                <c:pt idx="358">
                  <c:v>5.1648727559723773E-2</c:v>
                </c:pt>
                <c:pt idx="359">
                  <c:v>5.1404408476293961E-2</c:v>
                </c:pt>
                <c:pt idx="360">
                  <c:v>5.1158283360526496E-2</c:v>
                </c:pt>
                <c:pt idx="361">
                  <c:v>5.0910358674712511E-2</c:v>
                </c:pt>
                <c:pt idx="362">
                  <c:v>5.0660640851116358E-2</c:v>
                </c:pt>
                <c:pt idx="363">
                  <c:v>5.0409136290353783E-2</c:v>
                </c:pt>
                <c:pt idx="364">
                  <c:v>5.0155851359775232E-2</c:v>
                </c:pt>
                <c:pt idx="365">
                  <c:v>4.990079239185357E-2</c:v>
                </c:pt>
                <c:pt idx="366">
                  <c:v>4.9643965682578138E-2</c:v>
                </c:pt>
                <c:pt idx="367">
                  <c:v>4.9385377489853922E-2</c:v>
                </c:pt>
                <c:pt idx="368">
                  <c:v>4.9125034031907086E-2</c:v>
                </c:pt>
                <c:pt idx="369">
                  <c:v>4.8862941485696948E-2</c:v>
                </c:pt>
                <c:pt idx="370">
                  <c:v>4.8599105985334894E-2</c:v>
                </c:pt>
                <c:pt idx="371">
                  <c:v>4.8333533620509656E-2</c:v>
                </c:pt>
                <c:pt idx="372">
                  <c:v>4.8066230434920934E-2</c:v>
                </c:pt>
                <c:pt idx="373">
                  <c:v>4.7797202424720242E-2</c:v>
                </c:pt>
                <c:pt idx="374">
                  <c:v>4.7526455536959673E-2</c:v>
                </c:pt>
                <c:pt idx="375">
                  <c:v>4.7253995668049414E-2</c:v>
                </c:pt>
                <c:pt idx="376">
                  <c:v>4.6979828662223645E-2</c:v>
                </c:pt>
                <c:pt idx="377">
                  <c:v>4.6703960310015613E-2</c:v>
                </c:pt>
                <c:pt idx="378">
                  <c:v>4.6426396346742074E-2</c:v>
                </c:pt>
                <c:pt idx="379">
                  <c:v>4.6147142450997061E-2</c:v>
                </c:pt>
                <c:pt idx="380">
                  <c:v>4.586620424315601E-2</c:v>
                </c:pt>
                <c:pt idx="381">
                  <c:v>4.5583587283890073E-2</c:v>
                </c:pt>
                <c:pt idx="382">
                  <c:v>4.5299297072690613E-2</c:v>
                </c:pt>
                <c:pt idx="383">
                  <c:v>4.5013339046405219E-2</c:v>
                </c:pt>
                <c:pt idx="384">
                  <c:v>4.4725718577784575E-2</c:v>
                </c:pt>
                <c:pt idx="385">
                  <c:v>4.4436440974040897E-2</c:v>
                </c:pt>
                <c:pt idx="386">
                  <c:v>4.4145511475418175E-2</c:v>
                </c:pt>
                <c:pt idx="387">
                  <c:v>4.3852935253774643E-2</c:v>
                </c:pt>
                <c:pt idx="388">
                  <c:v>4.3558717411177734E-2</c:v>
                </c:pt>
                <c:pt idx="389">
                  <c:v>4.3262862978511563E-2</c:v>
                </c:pt>
                <c:pt idx="390">
                  <c:v>4.2965376914097783E-2</c:v>
                </c:pt>
                <c:pt idx="391">
                  <c:v>4.266626410232937E-2</c:v>
                </c:pt>
                <c:pt idx="392">
                  <c:v>4.236552935231868E-2</c:v>
                </c:pt>
                <c:pt idx="393">
                  <c:v>4.2063177396558703E-2</c:v>
                </c:pt>
                <c:pt idx="394">
                  <c:v>4.1759212889599273E-2</c:v>
                </c:pt>
                <c:pt idx="395">
                  <c:v>4.1453640406737255E-2</c:v>
                </c:pt>
                <c:pt idx="396">
                  <c:v>4.1146464442721936E-2</c:v>
                </c:pt>
                <c:pt idx="397">
                  <c:v>4.0837689410475504E-2</c:v>
                </c:pt>
                <c:pt idx="398">
                  <c:v>4.0527319639828488E-2</c:v>
                </c:pt>
                <c:pt idx="399">
                  <c:v>4.0215359376271818E-2</c:v>
                </c:pt>
                <c:pt idx="400">
                  <c:v>3.9901812779723683E-2</c:v>
                </c:pt>
                <c:pt idx="401">
                  <c:v>3.9586683923313826E-2</c:v>
                </c:pt>
                <c:pt idx="402">
                  <c:v>3.9269976792183449E-2</c:v>
                </c:pt>
                <c:pt idx="403">
                  <c:v>3.8951695282302412E-2</c:v>
                </c:pt>
                <c:pt idx="404">
                  <c:v>3.8631843199303531E-2</c:v>
                </c:pt>
                <c:pt idx="405">
                  <c:v>3.8310424257334011E-2</c:v>
                </c:pt>
                <c:pt idx="406">
                  <c:v>3.7987442077924788E-2</c:v>
                </c:pt>
                <c:pt idx="407">
                  <c:v>3.7662900188877371E-2</c:v>
                </c:pt>
                <c:pt idx="408">
                  <c:v>3.7336802023169552E-2</c:v>
                </c:pt>
                <c:pt idx="409">
                  <c:v>3.7009150917878611E-2</c:v>
                </c:pt>
                <c:pt idx="410">
                  <c:v>3.6679950113124027E-2</c:v>
                </c:pt>
                <c:pt idx="411">
                  <c:v>3.6349202751028729E-2</c:v>
                </c:pt>
                <c:pt idx="412">
                  <c:v>3.6016911874699652E-2</c:v>
                </c:pt>
                <c:pt idx="413">
                  <c:v>3.5683080427227745E-2</c:v>
                </c:pt>
                <c:pt idx="414">
                  <c:v>3.5347711250707625E-2</c:v>
                </c:pt>
                <c:pt idx="415">
                  <c:v>3.5010807085277193E-2</c:v>
                </c:pt>
                <c:pt idx="416">
                  <c:v>3.4672370568177693E-2</c:v>
                </c:pt>
                <c:pt idx="417">
                  <c:v>3.4332404232833687E-2</c:v>
                </c:pt>
                <c:pt idx="418">
                  <c:v>3.3990910507954129E-2</c:v>
                </c:pt>
                <c:pt idx="419">
                  <c:v>3.3647891716654388E-2</c:v>
                </c:pt>
                <c:pt idx="420">
                  <c:v>3.3303350075598773E-2</c:v>
                </c:pt>
                <c:pt idx="421">
                  <c:v>3.2957287694165359E-2</c:v>
                </c:pt>
                <c:pt idx="422">
                  <c:v>3.2609706573631554E-2</c:v>
                </c:pt>
                <c:pt idx="423">
                  <c:v>3.2260608606382107E-2</c:v>
                </c:pt>
                <c:pt idx="424">
                  <c:v>3.1909995575138496E-2</c:v>
                </c:pt>
                <c:pt idx="425">
                  <c:v>3.1557869152211364E-2</c:v>
                </c:pt>
                <c:pt idx="426">
                  <c:v>3.1204230898774561E-2</c:v>
                </c:pt>
                <c:pt idx="427">
                  <c:v>3.0849082264162525E-2</c:v>
                </c:pt>
                <c:pt idx="428">
                  <c:v>3.0492424585190137E-2</c:v>
                </c:pt>
                <c:pt idx="429">
                  <c:v>3.0134259085495635E-2</c:v>
                </c:pt>
                <c:pt idx="430">
                  <c:v>2.9774586874907156E-2</c:v>
                </c:pt>
                <c:pt idx="431">
                  <c:v>2.941340894883224E-2</c:v>
                </c:pt>
                <c:pt idx="432">
                  <c:v>2.905072618767145E-2</c:v>
                </c:pt>
                <c:pt idx="433">
                  <c:v>2.8686539356255342E-2</c:v>
                </c:pt>
                <c:pt idx="434">
                  <c:v>2.8320849103306019E-2</c:v>
                </c:pt>
                <c:pt idx="435">
                  <c:v>2.7953655960922114E-2</c:v>
                </c:pt>
                <c:pt idx="436">
                  <c:v>2.7584960344089172E-2</c:v>
                </c:pt>
                <c:pt idx="437">
                  <c:v>2.7214762550213469E-2</c:v>
                </c:pt>
                <c:pt idx="438">
                  <c:v>2.6843062758681455E-2</c:v>
                </c:pt>
                <c:pt idx="439">
                  <c:v>2.6469861030443537E-2</c:v>
                </c:pt>
                <c:pt idx="440">
                  <c:v>2.6095157307623001E-2</c:v>
                </c:pt>
                <c:pt idx="441">
                  <c:v>2.5718951413150254E-2</c:v>
                </c:pt>
                <c:pt idx="442">
                  <c:v>2.5341243050422384E-2</c:v>
                </c:pt>
                <c:pt idx="443">
                  <c:v>2.4962031802988068E-2</c:v>
                </c:pt>
                <c:pt idx="444">
                  <c:v>2.4581317134258266E-2</c:v>
                </c:pt>
                <c:pt idx="445">
                  <c:v>2.4199098387242619E-2</c:v>
                </c:pt>
                <c:pt idx="446">
                  <c:v>2.3815374784311779E-2</c:v>
                </c:pt>
                <c:pt idx="447">
                  <c:v>2.3430145426985953E-2</c:v>
                </c:pt>
                <c:pt idx="448">
                  <c:v>2.3043409295749058E-2</c:v>
                </c:pt>
                <c:pt idx="449">
                  <c:v>2.2655165249890155E-2</c:v>
                </c:pt>
                <c:pt idx="450">
                  <c:v>2.226541202737025E-2</c:v>
                </c:pt>
                <c:pt idx="451">
                  <c:v>2.1874148244716275E-2</c:v>
                </c:pt>
                <c:pt idx="452">
                  <c:v>2.148137239694153E-2</c:v>
                </c:pt>
                <c:pt idx="453">
                  <c:v>2.1087082857493111E-2</c:v>
                </c:pt>
                <c:pt idx="454">
                  <c:v>2.0691277878225688E-2</c:v>
                </c:pt>
                <c:pt idx="455">
                  <c:v>2.0293955589402547E-2</c:v>
                </c:pt>
                <c:pt idx="456">
                  <c:v>1.9895113999723806E-2</c:v>
                </c:pt>
                <c:pt idx="457">
                  <c:v>1.9494750996381604E-2</c:v>
                </c:pt>
                <c:pt idx="458">
                  <c:v>1.9092864345142582E-2</c:v>
                </c:pt>
                <c:pt idx="459">
                  <c:v>1.8689451690457402E-2</c:v>
                </c:pt>
                <c:pt idx="460">
                  <c:v>1.8284510555598193E-2</c:v>
                </c:pt>
                <c:pt idx="461">
                  <c:v>1.7878038342822956E-2</c:v>
                </c:pt>
                <c:pt idx="462">
                  <c:v>1.7470032333567483E-2</c:v>
                </c:pt>
                <c:pt idx="463">
                  <c:v>1.7060489688665557E-2</c:v>
                </c:pt>
                <c:pt idx="464">
                  <c:v>1.6649407448595728E-2</c:v>
                </c:pt>
                <c:pt idx="465">
                  <c:v>1.6236782533756742E-2</c:v>
                </c:pt>
                <c:pt idx="466">
                  <c:v>1.5822611744770058E-2</c:v>
                </c:pt>
                <c:pt idx="467">
                  <c:v>1.5406891762810673E-2</c:v>
                </c:pt>
                <c:pt idx="468">
                  <c:v>1.4989619149965248E-2</c:v>
                </c:pt>
                <c:pt idx="469">
                  <c:v>1.4570790349618569E-2</c:v>
                </c:pt>
                <c:pt idx="470">
                  <c:v>1.4150401686867785E-2</c:v>
                </c:pt>
                <c:pt idx="471">
                  <c:v>1.372844936896416E-2</c:v>
                </c:pt>
                <c:pt idx="472">
                  <c:v>1.3304929485783604E-2</c:v>
                </c:pt>
                <c:pt idx="473">
                  <c:v>1.2879838010324392E-2</c:v>
                </c:pt>
                <c:pt idx="474">
                  <c:v>1.2453170799233085E-2</c:v>
                </c:pt>
                <c:pt idx="475">
                  <c:v>1.2024923593358924E-2</c:v>
                </c:pt>
                <c:pt idx="476">
                  <c:v>1.1595092018335265E-2</c:v>
                </c:pt>
                <c:pt idx="477">
                  <c:v>1.1163671585189971E-2</c:v>
                </c:pt>
                <c:pt idx="478">
                  <c:v>1.073065769098324E-2</c:v>
                </c:pt>
                <c:pt idx="479">
                  <c:v>1.0296045619473379E-2</c:v>
                </c:pt>
                <c:pt idx="480">
                  <c:v>9.8598305418109711E-3</c:v>
                </c:pt>
                <c:pt idx="481">
                  <c:v>9.4220075172604285E-3</c:v>
                </c:pt>
                <c:pt idx="482">
                  <c:v>8.9825714939498515E-3</c:v>
                </c:pt>
                <c:pt idx="483">
                  <c:v>8.541517309648668E-3</c:v>
                </c:pt>
                <c:pt idx="484">
                  <c:v>8.0988396925731621E-3</c:v>
                </c:pt>
                <c:pt idx="485">
                  <c:v>7.6545332622193953E-3</c:v>
                </c:pt>
                <c:pt idx="486">
                  <c:v>7.2085925302248369E-3</c:v>
                </c:pt>
                <c:pt idx="487">
                  <c:v>6.7610119012565485E-3</c:v>
                </c:pt>
                <c:pt idx="488">
                  <c:v>6.3117856739279632E-3</c:v>
                </c:pt>
                <c:pt idx="489">
                  <c:v>5.860908041742924E-3</c:v>
                </c:pt>
                <c:pt idx="490">
                  <c:v>5.4083730940670226E-3</c:v>
                </c:pt>
                <c:pt idx="491">
                  <c:v>4.9541748171269681E-3</c:v>
                </c:pt>
                <c:pt idx="492">
                  <c:v>4.4983070950367727E-3</c:v>
                </c:pt>
                <c:pt idx="493">
                  <c:v>4.0407637108517101E-3</c:v>
                </c:pt>
                <c:pt idx="494">
                  <c:v>3.5815383476494487E-3</c:v>
                </c:pt>
                <c:pt idx="495">
                  <c:v>3.1206245896378206E-3</c:v>
                </c:pt>
                <c:pt idx="496">
                  <c:v>2.6580159232907443E-3</c:v>
                </c:pt>
                <c:pt idx="497">
                  <c:v>2.1937057385099483E-3</c:v>
                </c:pt>
                <c:pt idx="498">
                  <c:v>1.7276873298142591E-3</c:v>
                </c:pt>
                <c:pt idx="499">
                  <c:v>1.2599538975556143E-3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93-4240-8F2E-337A63C4D4D2}"/>
            </c:ext>
          </c:extLst>
        </c:ser>
        <c:ser>
          <c:idx val="1"/>
          <c:order val="1"/>
          <c:tx>
            <c:v>Lower Camber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Data2!$N$1:$N$500</c:f>
              <c:numCache>
                <c:formatCode>0.000000</c:formatCode>
                <c:ptCount val="500"/>
                <c:pt idx="0">
                  <c:v>0</c:v>
                </c:pt>
                <c:pt idx="1">
                  <c:v>8.0816945282556474E-5</c:v>
                </c:pt>
                <c:pt idx="2">
                  <c:v>1.7136341178419518E-4</c:v>
                </c:pt>
                <c:pt idx="3">
                  <c:v>2.71603216833837E-4</c:v>
                </c:pt>
                <c:pt idx="4">
                  <c:v>3.8150021695072719E-4</c:v>
                </c:pt>
                <c:pt idx="5">
                  <c:v>5.0101831965467187E-4</c:v>
                </c:pt>
                <c:pt idx="6">
                  <c:v>6.3012149529666087E-4</c:v>
                </c:pt>
                <c:pt idx="7">
                  <c:v>7.6877378890796071E-4</c:v>
                </c:pt>
                <c:pt idx="8">
                  <c:v>9.1693933207795376E-4</c:v>
                </c:pt>
                <c:pt idx="9">
                  <c:v>1.0745823548673154E-3</c:v>
                </c:pt>
                <c:pt idx="10">
                  <c:v>1.2416671977618773E-3</c:v>
                </c:pt>
                <c:pt idx="11">
                  <c:v>1.4181583236741852E-3</c:v>
                </c:pt>
                <c:pt idx="12">
                  <c:v>1.6040203299975708E-3</c:v>
                </c:pt>
                <c:pt idx="13">
                  <c:v>1.7992179607190077E-3</c:v>
                </c:pt>
                <c:pt idx="14">
                  <c:v>2.0037161185965189E-3</c:v>
                </c:pt>
                <c:pt idx="15">
                  <c:v>2.2174798774052575E-3</c:v>
                </c:pt>
                <c:pt idx="16">
                  <c:v>2.4404744942564181E-3</c:v>
                </c:pt>
                <c:pt idx="17">
                  <c:v>2.6726654219964953E-3</c:v>
                </c:pt>
                <c:pt idx="18">
                  <c:v>2.914018321686215E-3</c:v>
                </c:pt>
                <c:pt idx="19">
                  <c:v>3.1644990751679E-3</c:v>
                </c:pt>
                <c:pt idx="20">
                  <c:v>3.4240737977199024E-3</c:v>
                </c:pt>
                <c:pt idx="21">
                  <c:v>3.6927088508053449E-3</c:v>
                </c:pt>
                <c:pt idx="22">
                  <c:v>3.970370854914855E-3</c:v>
                </c:pt>
                <c:pt idx="23">
                  <c:v>4.2570267025070834E-3</c:v>
                </c:pt>
                <c:pt idx="24">
                  <c:v>4.5526435710476947E-3</c:v>
                </c:pt>
                <c:pt idx="25">
                  <c:v>4.8571889361501046E-3</c:v>
                </c:pt>
                <c:pt idx="26">
                  <c:v>5.170630584816165E-3</c:v>
                </c:pt>
                <c:pt idx="27">
                  <c:v>5.4929366287810163E-3</c:v>
                </c:pt>
                <c:pt idx="28">
                  <c:v>5.8240755179584727E-3</c:v>
                </c:pt>
                <c:pt idx="29">
                  <c:v>6.1640160539892875E-3</c:v>
                </c:pt>
                <c:pt idx="30">
                  <c:v>6.5127274038910563E-3</c:v>
                </c:pt>
                <c:pt idx="31">
                  <c:v>6.8701791138062766E-3</c:v>
                </c:pt>
                <c:pt idx="32">
                  <c:v>7.2363411228512295E-3</c:v>
                </c:pt>
                <c:pt idx="33">
                  <c:v>7.6111837770590877E-3</c:v>
                </c:pt>
                <c:pt idx="34">
                  <c:v>7.9946778434167257E-3</c:v>
                </c:pt>
                <c:pt idx="35">
                  <c:v>8.3867945239919986E-3</c:v>
                </c:pt>
                <c:pt idx="36">
                  <c:v>8.7875054701478557E-3</c:v>
                </c:pt>
                <c:pt idx="37">
                  <c:v>9.1967827968380302E-3</c:v>
                </c:pt>
                <c:pt idx="38">
                  <c:v>9.6145990969807374E-3</c:v>
                </c:pt>
                <c:pt idx="39">
                  <c:v>1.0040927455905102E-2</c:v>
                </c:pt>
                <c:pt idx="40">
                  <c:v>1.0475741465864082E-2</c:v>
                </c:pt>
                <c:pt idx="41">
                  <c:v>1.0919015240608272E-2</c:v>
                </c:pt>
                <c:pt idx="42">
                  <c:v>1.1370723430013177E-2</c:v>
                </c:pt>
                <c:pt idx="43">
                  <c:v>1.1830841234753515E-2</c:v>
                </c:pt>
                <c:pt idx="44">
                  <c:v>1.2299344421016834E-2</c:v>
                </c:pt>
                <c:pt idx="45">
                  <c:v>1.2776209335247563E-2</c:v>
                </c:pt>
                <c:pt idx="46">
                  <c:v>1.326141291891352E-2</c:v>
                </c:pt>
                <c:pt idx="47">
                  <c:v>1.3754932723284975E-2</c:v>
                </c:pt>
                <c:pt idx="48">
                  <c:v>1.4256746924218355E-2</c:v>
                </c:pt>
                <c:pt idx="49">
                  <c:v>1.4766834336931718E-2</c:v>
                </c:pt>
                <c:pt idx="50">
                  <c:v>1.5285174430764567E-2</c:v>
                </c:pt>
                <c:pt idx="51">
                  <c:v>1.5811747343908528E-2</c:v>
                </c:pt>
                <c:pt idx="52">
                  <c:v>1.6346533898099317E-2</c:v>
                </c:pt>
                <c:pt idx="53">
                  <c:v>1.6889515613256984E-2</c:v>
                </c:pt>
                <c:pt idx="54">
                  <c:v>1.7440674722062323E-2</c:v>
                </c:pt>
                <c:pt idx="55">
                  <c:v>1.7999994184458697E-2</c:v>
                </c:pt>
                <c:pt idx="56">
                  <c:v>1.8567457702063129E-2</c:v>
                </c:pt>
                <c:pt idx="57">
                  <c:v>1.9143049732476807E-2</c:v>
                </c:pt>
                <c:pt idx="58">
                  <c:v>1.972675550347873E-2</c:v>
                </c:pt>
                <c:pt idx="59">
                  <c:v>2.0318561027090409E-2</c:v>
                </c:pt>
                <c:pt idx="60">
                  <c:v>2.0918453113496938E-2</c:v>
                </c:pt>
                <c:pt idx="61">
                  <c:v>2.1526419384809359E-2</c:v>
                </c:pt>
                <c:pt idx="62">
                  <c:v>2.2142448288655251E-2</c:v>
                </c:pt>
                <c:pt idx="63">
                  <c:v>2.2766529111581446E-2</c:v>
                </c:pt>
                <c:pt idx="64">
                  <c:v>2.3398651992254143E-2</c:v>
                </c:pt>
                <c:pt idx="65">
                  <c:v>2.4038807934442991E-2</c:v>
                </c:pt>
                <c:pt idx="66">
                  <c:v>2.4686988819770959E-2</c:v>
                </c:pt>
                <c:pt idx="67">
                  <c:v>2.534318742021785E-2</c:v>
                </c:pt>
                <c:pt idx="68">
                  <c:v>2.6007397410360625E-2</c:v>
                </c:pt>
                <c:pt idx="69">
                  <c:v>2.6679613379335179E-2</c:v>
                </c:pt>
                <c:pt idx="70">
                  <c:v>2.7359830842505848E-2</c:v>
                </c:pt>
                <c:pt idx="71">
                  <c:v>2.8048046252825001E-2</c:v>
                </c:pt>
                <c:pt idx="72">
                  <c:v>2.8744257011871301E-2</c:v>
                </c:pt>
                <c:pt idx="73">
                  <c:v>2.9448461480547788E-2</c:v>
                </c:pt>
                <c:pt idx="74">
                  <c:v>3.0160658989428938E-2</c:v>
                </c:pt>
                <c:pt idx="75">
                  <c:v>3.0880849848739171E-2</c:v>
                </c:pt>
                <c:pt idx="76">
                  <c:v>3.1609035357950357E-2</c:v>
                </c:pt>
                <c:pt idx="77">
                  <c:v>3.2345217814985172E-2</c:v>
                </c:pt>
                <c:pt idx="78">
                  <c:v>3.3089400525009735E-2</c:v>
                </c:pt>
                <c:pt idx="79">
                  <c:v>3.3841587808806556E-2</c:v>
                </c:pt>
                <c:pt idx="80">
                  <c:v>3.4601785010711275E-2</c:v>
                </c:pt>
                <c:pt idx="81">
                  <c:v>3.5369998506103784E-2</c:v>
                </c:pt>
                <c:pt idx="82">
                  <c:v>3.6146235708440257E-2</c:v>
                </c:pt>
                <c:pt idx="83">
                  <c:v>3.6930505075815592E-2</c:v>
                </c:pt>
                <c:pt idx="84">
                  <c:v>3.7722816117045505E-2</c:v>
                </c:pt>
                <c:pt idx="85">
                  <c:v>3.8523179397257939E-2</c:v>
                </c:pt>
                <c:pt idx="86">
                  <c:v>3.9331606542985134E-2</c:v>
                </c:pt>
                <c:pt idx="87">
                  <c:v>4.0148110246746291E-2</c:v>
                </c:pt>
                <c:pt idx="88">
                  <c:v>4.0972704271114165E-2</c:v>
                </c:pt>
                <c:pt idx="89">
                  <c:v>4.1805403452257354E-2</c:v>
                </c:pt>
                <c:pt idx="90">
                  <c:v>4.2646223702951409E-2</c:v>
                </c:pt>
                <c:pt idx="91">
                  <c:v>4.3495182015054361E-2</c:v>
                </c:pt>
                <c:pt idx="92">
                  <c:v>4.4352296461440344E-2</c:v>
                </c:pt>
                <c:pt idx="93">
                  <c:v>4.5217586197386792E-2</c:v>
                </c:pt>
                <c:pt idx="94">
                  <c:v>4.6091071461413544E-2</c:v>
                </c:pt>
                <c:pt idx="95">
                  <c:v>4.6972773575569927E-2</c:v>
                </c:pt>
                <c:pt idx="96">
                  <c:v>4.7862714945168111E-2</c:v>
                </c:pt>
                <c:pt idx="97">
                  <c:v>4.8760919057962898E-2</c:v>
                </c:pt>
                <c:pt idx="98">
                  <c:v>4.9667410482777938E-2</c:v>
                </c:pt>
                <c:pt idx="99">
                  <c:v>5.0582214867577961E-2</c:v>
                </c:pt>
                <c:pt idx="100">
                  <c:v>5.1505358936990757E-2</c:v>
                </c:pt>
                <c:pt idx="101">
                  <c:v>5.2436870489280862E-2</c:v>
                </c:pt>
                <c:pt idx="102">
                  <c:v>5.3376778392778629E-2</c:v>
                </c:pt>
                <c:pt idx="103">
                  <c:v>5.4325112581769523E-2</c:v>
                </c:pt>
                <c:pt idx="104">
                  <c:v>5.528190405184856E-2</c:v>
                </c:pt>
                <c:pt idx="105">
                  <c:v>5.6247184854747015E-2</c:v>
                </c:pt>
                <c:pt idx="106">
                  <c:v>5.7220988092638141E-2</c:v>
                </c:pt>
                <c:pt idx="107">
                  <c:v>5.8203347911929611E-2</c:v>
                </c:pt>
                <c:pt idx="108">
                  <c:v>5.9194299496552576E-2</c:v>
                </c:pt>
                <c:pt idx="109">
                  <c:v>6.0193879060754844E-2</c:v>
                </c:pt>
                <c:pt idx="110">
                  <c:v>6.1202123841411556E-2</c:v>
                </c:pt>
                <c:pt idx="111">
                  <c:v>6.2219072089860751E-2</c:v>
                </c:pt>
                <c:pt idx="112">
                  <c:v>6.3244763063279655E-2</c:v>
                </c:pt>
                <c:pt idx="113">
                  <c:v>6.4279237015609933E-2</c:v>
                </c:pt>
                <c:pt idx="114">
                  <c:v>6.5322535188048064E-2</c:v>
                </c:pt>
                <c:pt idx="115">
                  <c:v>6.637469979911266E-2</c:v>
                </c:pt>
                <c:pt idx="116">
                  <c:v>6.7435774034303578E-2</c:v>
                </c:pt>
                <c:pt idx="117">
                  <c:v>6.8505802035366409E-2</c:v>
                </c:pt>
                <c:pt idx="118">
                  <c:v>6.9584828889177983E-2</c:v>
                </c:pt>
                <c:pt idx="119">
                  <c:v>7.0672900616268367E-2</c:v>
                </c:pt>
                <c:pt idx="120">
                  <c:v>7.1770064158993369E-2</c:v>
                </c:pt>
                <c:pt idx="121">
                  <c:v>7.2876367369374639E-2</c:v>
                </c:pt>
                <c:pt idx="122">
                  <c:v>7.3991858996622306E-2</c:v>
                </c:pt>
                <c:pt idx="123">
                  <c:v>7.5116588674357068E-2</c:v>
                </c:pt>
                <c:pt idx="124">
                  <c:v>7.625060690754619E-2</c:v>
                </c:pt>
                <c:pt idx="125">
                  <c:v>7.7393965059170136E-2</c:v>
                </c:pt>
                <c:pt idx="126">
                  <c:v>7.8546715336635112E-2</c:v>
                </c:pt>
                <c:pt idx="127">
                  <c:v>7.970891077794745E-2</c:v>
                </c:pt>
                <c:pt idx="128">
                  <c:v>8.0880605237663772E-2</c:v>
                </c:pt>
                <c:pt idx="129">
                  <c:v>8.206185337263304E-2</c:v>
                </c:pt>
                <c:pt idx="130">
                  <c:v>8.3252710627543289E-2</c:v>
                </c:pt>
                <c:pt idx="131">
                  <c:v>8.4453233220287555E-2</c:v>
                </c:pt>
                <c:pt idx="132">
                  <c:v>8.5663478127161172E-2</c:v>
                </c:pt>
                <c:pt idx="133">
                  <c:v>8.6883503067903947E-2</c:v>
                </c:pt>
                <c:pt idx="134">
                  <c:v>8.8113366490596298E-2</c:v>
                </c:pt>
                <c:pt idx="135">
                  <c:v>8.9353127556421844E-2</c:v>
                </c:pt>
                <c:pt idx="136">
                  <c:v>9.0602846124304401E-2</c:v>
                </c:pt>
                <c:pt idx="137">
                  <c:v>9.1862582735427759E-2</c:v>
                </c:pt>
                <c:pt idx="138">
                  <c:v>9.3132398597646007E-2</c:v>
                </c:pt>
                <c:pt idx="139">
                  <c:v>9.4412355569787873E-2</c:v>
                </c:pt>
                <c:pt idx="140">
                  <c:v>9.5702516145861838E-2</c:v>
                </c:pt>
                <c:pt idx="141">
                  <c:v>9.7002943439161951E-2</c:v>
                </c:pt>
                <c:pt idx="142">
                  <c:v>9.8313701166276884E-2</c:v>
                </c:pt>
                <c:pt idx="143">
                  <c:v>9.9634853631000289E-2</c:v>
                </c:pt>
                <c:pt idx="144">
                  <c:v>0.10096646570814082</c:v>
                </c:pt>
                <c:pt idx="145">
                  <c:v>0.10230860282722508</c:v>
                </c:pt>
                <c:pt idx="146">
                  <c:v>0.10366133095608819</c:v>
                </c:pt>
                <c:pt idx="147">
                  <c:v>0.10502471658434269</c:v>
                </c:pt>
                <c:pt idx="148">
                  <c:v>0.10639882670671262</c:v>
                </c:pt>
                <c:pt idx="149">
                  <c:v>0.10778372880622153</c:v>
                </c:pt>
                <c:pt idx="150">
                  <c:v>0.1091794908372154</c:v>
                </c:pt>
                <c:pt idx="151">
                  <c:v>0.11058618120820288</c:v>
                </c:pt>
                <c:pt idx="152">
                  <c:v>0.11200386876449001</c:v>
                </c:pt>
                <c:pt idx="153">
                  <c:v>0.11343262277058548</c:v>
                </c:pt>
                <c:pt idx="154">
                  <c:v>0.1148725128923474</c:v>
                </c:pt>
                <c:pt idx="155">
                  <c:v>0.11632360917884155</c:v>
                </c:pt>
                <c:pt idx="156">
                  <c:v>0.11778598204387593</c:v>
                </c:pt>
                <c:pt idx="157">
                  <c:v>0.11925970224717487</c:v>
                </c:pt>
                <c:pt idx="158">
                  <c:v>0.1207448408751505</c:v>
                </c:pt>
                <c:pt idx="159">
                  <c:v>0.12224146932122824</c:v>
                </c:pt>
                <c:pt idx="160">
                  <c:v>0.12374965926567544</c:v>
                </c:pt>
                <c:pt idx="161">
                  <c:v>0.12526948265488366</c:v>
                </c:pt>
                <c:pt idx="162">
                  <c:v>0.12680001695068407</c:v>
                </c:pt>
                <c:pt idx="163">
                  <c:v>0.1283392735472389</c:v>
                </c:pt>
                <c:pt idx="164">
                  <c:v>0.12988717980764988</c:v>
                </c:pt>
                <c:pt idx="165">
                  <c:v>0.1314437204459333</c:v>
                </c:pt>
                <c:pt idx="166">
                  <c:v>0.13300888009012857</c:v>
                </c:pt>
                <c:pt idx="167">
                  <c:v>0.13458264328243971</c:v>
                </c:pt>
                <c:pt idx="168">
                  <c:v>0.13616499447937916</c:v>
                </c:pt>
                <c:pt idx="169">
                  <c:v>0.13775591805191198</c:v>
                </c:pt>
                <c:pt idx="170">
                  <c:v>0.13935539828560092</c:v>
                </c:pt>
                <c:pt idx="171">
                  <c:v>0.14096341938075316</c:v>
                </c:pt>
                <c:pt idx="172">
                  <c:v>0.14257996545256743</c:v>
                </c:pt>
                <c:pt idx="173">
                  <c:v>0.14420502053128184</c:v>
                </c:pt>
                <c:pt idx="174">
                  <c:v>0.14583856856232313</c:v>
                </c:pt>
                <c:pt idx="175">
                  <c:v>0.14748059340645722</c:v>
                </c:pt>
                <c:pt idx="176">
                  <c:v>0.14913107883993962</c:v>
                </c:pt>
                <c:pt idx="177">
                  <c:v>0.15079000855466798</c:v>
                </c:pt>
                <c:pt idx="178">
                  <c:v>0.15245736615833461</c:v>
                </c:pt>
                <c:pt idx="179">
                  <c:v>0.15413313517458083</c:v>
                </c:pt>
                <c:pt idx="180">
                  <c:v>0.1558172990431515</c:v>
                </c:pt>
                <c:pt idx="181">
                  <c:v>0.1575098411200512</c:v>
                </c:pt>
                <c:pt idx="182">
                  <c:v>0.15921074467770102</c:v>
                </c:pt>
                <c:pt idx="183">
                  <c:v>0.16091999290509623</c:v>
                </c:pt>
                <c:pt idx="184">
                  <c:v>0.16263756890796466</c:v>
                </c:pt>
                <c:pt idx="185">
                  <c:v>0.16436345570892738</c:v>
                </c:pt>
                <c:pt idx="186">
                  <c:v>0.16609763624765819</c:v>
                </c:pt>
                <c:pt idx="187">
                  <c:v>0.16784009338104627</c:v>
                </c:pt>
                <c:pt idx="188">
                  <c:v>0.16959080988335801</c:v>
                </c:pt>
                <c:pt idx="189">
                  <c:v>0.17134976844640099</c:v>
                </c:pt>
                <c:pt idx="190">
                  <c:v>0.17311695167968841</c:v>
                </c:pt>
                <c:pt idx="191">
                  <c:v>0.17489234211060448</c:v>
                </c:pt>
                <c:pt idx="192">
                  <c:v>0.17667592218457073</c:v>
                </c:pt>
                <c:pt idx="193">
                  <c:v>0.17846767426521382</c:v>
                </c:pt>
                <c:pt idx="194">
                  <c:v>0.18026758063453338</c:v>
                </c:pt>
                <c:pt idx="195">
                  <c:v>0.18207562349307155</c:v>
                </c:pt>
                <c:pt idx="196">
                  <c:v>0.18389178496008332</c:v>
                </c:pt>
                <c:pt idx="197">
                  <c:v>0.18571604707370765</c:v>
                </c:pt>
                <c:pt idx="198">
                  <c:v>0.18754839179113963</c:v>
                </c:pt>
                <c:pt idx="199">
                  <c:v>0.18938880098880345</c:v>
                </c:pt>
                <c:pt idx="200">
                  <c:v>0.19123725646252718</c:v>
                </c:pt>
                <c:pt idx="201">
                  <c:v>0.19309373992771656</c:v>
                </c:pt>
                <c:pt idx="202">
                  <c:v>0.19495823301953238</c:v>
                </c:pt>
                <c:pt idx="203">
                  <c:v>0.19683071729306667</c:v>
                </c:pt>
                <c:pt idx="204">
                  <c:v>0.19871117422352047</c:v>
                </c:pt>
                <c:pt idx="205">
                  <c:v>0.20059958520638344</c:v>
                </c:pt>
                <c:pt idx="206">
                  <c:v>0.20249593155761253</c:v>
                </c:pt>
                <c:pt idx="207">
                  <c:v>0.20440019451381392</c:v>
                </c:pt>
                <c:pt idx="208">
                  <c:v>0.20631235523242417</c:v>
                </c:pt>
                <c:pt idx="209">
                  <c:v>0.20823239479189259</c:v>
                </c:pt>
                <c:pt idx="210">
                  <c:v>0.21016029419186572</c:v>
                </c:pt>
                <c:pt idx="211">
                  <c:v>0.21209603435337074</c:v>
                </c:pt>
                <c:pt idx="212">
                  <c:v>0.21403959611900211</c:v>
                </c:pt>
                <c:pt idx="213">
                  <c:v>0.21599096025310729</c:v>
                </c:pt>
                <c:pt idx="214">
                  <c:v>0.21795010744197435</c:v>
                </c:pt>
                <c:pt idx="215">
                  <c:v>0.21991701829402033</c:v>
                </c:pt>
                <c:pt idx="216">
                  <c:v>0.22189167333998053</c:v>
                </c:pt>
                <c:pt idx="217">
                  <c:v>0.22387405303309851</c:v>
                </c:pt>
                <c:pt idx="218">
                  <c:v>0.22586413774931766</c:v>
                </c:pt>
                <c:pt idx="219">
                  <c:v>0.22786190778747312</c:v>
                </c:pt>
                <c:pt idx="220">
                  <c:v>0.22986734336948456</c:v>
                </c:pt>
                <c:pt idx="221">
                  <c:v>0.23188042464055036</c:v>
                </c:pt>
                <c:pt idx="222">
                  <c:v>0.23390113166934259</c:v>
                </c:pt>
                <c:pt idx="223">
                  <c:v>0.23592944444820294</c:v>
                </c:pt>
                <c:pt idx="224">
                  <c:v>0.23796534289333895</c:v>
                </c:pt>
                <c:pt idx="225">
                  <c:v>0.24000880684502249</c:v>
                </c:pt>
                <c:pt idx="226">
                  <c:v>0.24205981606778762</c:v>
                </c:pt>
                <c:pt idx="227">
                  <c:v>0.24411835025063078</c:v>
                </c:pt>
                <c:pt idx="228">
                  <c:v>0.2461843890072106</c:v>
                </c:pt>
                <c:pt idx="229">
                  <c:v>0.24825791187605006</c:v>
                </c:pt>
                <c:pt idx="230">
                  <c:v>0.2503388983207383</c:v>
                </c:pt>
                <c:pt idx="231">
                  <c:v>0.25242732773013393</c:v>
                </c:pt>
                <c:pt idx="232">
                  <c:v>0.25452317941856939</c:v>
                </c:pt>
                <c:pt idx="233">
                  <c:v>0.25662643262605556</c:v>
                </c:pt>
                <c:pt idx="234">
                  <c:v>0.25873706651848838</c:v>
                </c:pt>
                <c:pt idx="235">
                  <c:v>0.26085506018785548</c:v>
                </c:pt>
                <c:pt idx="236">
                  <c:v>0.26298039265244366</c:v>
                </c:pt>
                <c:pt idx="237">
                  <c:v>0.26511304285704812</c:v>
                </c:pt>
                <c:pt idx="238">
                  <c:v>0.26725298967318156</c:v>
                </c:pt>
                <c:pt idx="239">
                  <c:v>0.26940021189928554</c:v>
                </c:pt>
                <c:pt idx="240">
                  <c:v>0.27155468826094081</c:v>
                </c:pt>
                <c:pt idx="241">
                  <c:v>0.2737163974110805</c:v>
                </c:pt>
                <c:pt idx="242">
                  <c:v>0.27588531793020288</c:v>
                </c:pt>
                <c:pt idx="243">
                  <c:v>0.27806142832658576</c:v>
                </c:pt>
                <c:pt idx="244">
                  <c:v>0.28024470703650128</c:v>
                </c:pt>
                <c:pt idx="245">
                  <c:v>0.28243513242443213</c:v>
                </c:pt>
                <c:pt idx="246">
                  <c:v>0.28463268278328757</c:v>
                </c:pt>
                <c:pt idx="247">
                  <c:v>0.28683733633462238</c:v>
                </c:pt>
                <c:pt idx="248">
                  <c:v>0.28904907122885398</c:v>
                </c:pt>
                <c:pt idx="249">
                  <c:v>0.29126786554548312</c:v>
                </c:pt>
                <c:pt idx="250">
                  <c:v>0.29349369729331337</c:v>
                </c:pt>
                <c:pt idx="251">
                  <c:v>0.29572654441067259</c:v>
                </c:pt>
                <c:pt idx="252">
                  <c:v>0.29796638476563508</c:v>
                </c:pt>
                <c:pt idx="253">
                  <c:v>0.3002131961562442</c:v>
                </c:pt>
                <c:pt idx="254">
                  <c:v>0.30246695631073661</c:v>
                </c:pt>
                <c:pt idx="255">
                  <c:v>0.30472764288776649</c:v>
                </c:pt>
                <c:pt idx="256">
                  <c:v>0.3069952334766316</c:v>
                </c:pt>
                <c:pt idx="257">
                  <c:v>0.30926970559749917</c:v>
                </c:pt>
                <c:pt idx="258">
                  <c:v>0.31155103670163292</c:v>
                </c:pt>
                <c:pt idx="259">
                  <c:v>0.31383920417162203</c:v>
                </c:pt>
                <c:pt idx="260">
                  <c:v>0.31613418532160947</c:v>
                </c:pt>
                <c:pt idx="261">
                  <c:v>0.31843595739752173</c:v>
                </c:pt>
                <c:pt idx="262">
                  <c:v>0.32074449757729995</c:v>
                </c:pt>
                <c:pt idx="263">
                  <c:v>0.32305978297113019</c:v>
                </c:pt>
                <c:pt idx="264">
                  <c:v>0.32538179062167766</c:v>
                </c:pt>
                <c:pt idx="265">
                  <c:v>0.32771049750431813</c:v>
                </c:pt>
                <c:pt idx="266">
                  <c:v>0.33004588052737283</c:v>
                </c:pt>
                <c:pt idx="267">
                  <c:v>0.33238791653234284</c:v>
                </c:pt>
                <c:pt idx="268">
                  <c:v>0.33473658229414494</c:v>
                </c:pt>
                <c:pt idx="269">
                  <c:v>0.33709185452134777</c:v>
                </c:pt>
                <c:pt idx="270">
                  <c:v>0.33945370985640949</c:v>
                </c:pt>
                <c:pt idx="271">
                  <c:v>0.34182212487591562</c:v>
                </c:pt>
                <c:pt idx="272">
                  <c:v>0.34419707609081801</c:v>
                </c:pt>
                <c:pt idx="273">
                  <c:v>0.34657853994667415</c:v>
                </c:pt>
                <c:pt idx="274">
                  <c:v>0.34896649282388825</c:v>
                </c:pt>
                <c:pt idx="275">
                  <c:v>0.35136091103795219</c:v>
                </c:pt>
                <c:pt idx="276">
                  <c:v>0.35376177083968785</c:v>
                </c:pt>
                <c:pt idx="277">
                  <c:v>0.35616904841548946</c:v>
                </c:pt>
                <c:pt idx="278">
                  <c:v>0.35858271988756835</c:v>
                </c:pt>
                <c:pt idx="279">
                  <c:v>0.36100276131419579</c:v>
                </c:pt>
                <c:pt idx="280">
                  <c:v>0.3634291486899498</c:v>
                </c:pt>
                <c:pt idx="281">
                  <c:v>0.36586185794596038</c:v>
                </c:pt>
                <c:pt idx="282">
                  <c:v>0.36830086495015635</c:v>
                </c:pt>
                <c:pt idx="283">
                  <c:v>0.37074614550751317</c:v>
                </c:pt>
                <c:pt idx="284">
                  <c:v>0.3731976753603008</c:v>
                </c:pt>
                <c:pt idx="285">
                  <c:v>0.37565543018833325</c:v>
                </c:pt>
                <c:pt idx="286">
                  <c:v>0.37811938560921832</c:v>
                </c:pt>
                <c:pt idx="287">
                  <c:v>0.38058951717860817</c:v>
                </c:pt>
                <c:pt idx="288">
                  <c:v>0.38306580039045057</c:v>
                </c:pt>
                <c:pt idx="289">
                  <c:v>0.38554821067724121</c:v>
                </c:pt>
                <c:pt idx="290">
                  <c:v>0.38803672341027617</c:v>
                </c:pt>
                <c:pt idx="291">
                  <c:v>0.39053131389990592</c:v>
                </c:pt>
                <c:pt idx="292">
                  <c:v>0.39303195739578956</c:v>
                </c:pt>
                <c:pt idx="293">
                  <c:v>0.39553862908714943</c:v>
                </c:pt>
                <c:pt idx="294">
                  <c:v>0.3980513041030278</c:v>
                </c:pt>
                <c:pt idx="295">
                  <c:v>0.40056995751254187</c:v>
                </c:pt>
                <c:pt idx="296">
                  <c:v>0.40309456432514251</c:v>
                </c:pt>
                <c:pt idx="297">
                  <c:v>0.40562509949087167</c:v>
                </c:pt>
                <c:pt idx="298">
                  <c:v>0.40816153790062026</c:v>
                </c:pt>
                <c:pt idx="299">
                  <c:v>0.41070385438638884</c:v>
                </c:pt>
                <c:pt idx="300">
                  <c:v>0.41325202372154596</c:v>
                </c:pt>
                <c:pt idx="301">
                  <c:v>0.41580602062109084</c:v>
                </c:pt>
                <c:pt idx="302">
                  <c:v>0.41836581974191295</c:v>
                </c:pt>
                <c:pt idx="303">
                  <c:v>0.42093139568305543</c:v>
                </c:pt>
                <c:pt idx="304">
                  <c:v>0.42350272298597724</c:v>
                </c:pt>
                <c:pt idx="305">
                  <c:v>0.42607977613481651</c:v>
                </c:pt>
                <c:pt idx="306">
                  <c:v>0.42866252955665507</c:v>
                </c:pt>
                <c:pt idx="307">
                  <c:v>0.43125095762178317</c:v>
                </c:pt>
                <c:pt idx="308">
                  <c:v>0.43384503464396446</c:v>
                </c:pt>
                <c:pt idx="309">
                  <c:v>0.43644473488070318</c:v>
                </c:pt>
                <c:pt idx="310">
                  <c:v>0.43905003253350933</c:v>
                </c:pt>
                <c:pt idx="311">
                  <c:v>0.44166090174816763</c:v>
                </c:pt>
                <c:pt idx="312">
                  <c:v>0.44427731661500469</c:v>
                </c:pt>
                <c:pt idx="313">
                  <c:v>0.44689925116915802</c:v>
                </c:pt>
                <c:pt idx="314">
                  <c:v>0.4495266793908454</c:v>
                </c:pt>
                <c:pt idx="315">
                  <c:v>0.45215957520563438</c:v>
                </c:pt>
                <c:pt idx="316">
                  <c:v>0.45479791248471341</c:v>
                </c:pt>
                <c:pt idx="317">
                  <c:v>0.45744166504516287</c:v>
                </c:pt>
                <c:pt idx="318">
                  <c:v>0.46009080665022695</c:v>
                </c:pt>
                <c:pt idx="319">
                  <c:v>0.46274531100958571</c:v>
                </c:pt>
                <c:pt idx="320">
                  <c:v>0.46540515177962888</c:v>
                </c:pt>
                <c:pt idx="321">
                  <c:v>0.46807030256372839</c:v>
                </c:pt>
                <c:pt idx="322">
                  <c:v>0.47074073691251384</c:v>
                </c:pt>
                <c:pt idx="323">
                  <c:v>0.47341642832414615</c:v>
                </c:pt>
                <c:pt idx="324">
                  <c:v>0.4760973502445936</c:v>
                </c:pt>
                <c:pt idx="325">
                  <c:v>0.47878347606790822</c:v>
                </c:pt>
                <c:pt idx="326">
                  <c:v>0.48147477913650094</c:v>
                </c:pt>
                <c:pt idx="327">
                  <c:v>0.48417123274142054</c:v>
                </c:pt>
                <c:pt idx="328">
                  <c:v>0.48687281012262945</c:v>
                </c:pt>
                <c:pt idx="329">
                  <c:v>0.48957948446928373</c:v>
                </c:pt>
                <c:pt idx="330">
                  <c:v>0.49229122892001043</c:v>
                </c:pt>
                <c:pt idx="331">
                  <c:v>0.49500801656318816</c:v>
                </c:pt>
                <c:pt idx="332">
                  <c:v>0.49772982043722586</c:v>
                </c:pt>
                <c:pt idx="333">
                  <c:v>0.50045661353084403</c:v>
                </c:pt>
                <c:pt idx="334">
                  <c:v>0.50318836878335527</c:v>
                </c:pt>
                <c:pt idx="335">
                  <c:v>0.50592505908494589</c:v>
                </c:pt>
                <c:pt idx="336">
                  <c:v>0.50866665727695826</c:v>
                </c:pt>
                <c:pt idx="337">
                  <c:v>0.51141313615217243</c:v>
                </c:pt>
                <c:pt idx="338">
                  <c:v>0.51416446845509034</c:v>
                </c:pt>
                <c:pt idx="339">
                  <c:v>0.51692062688221785</c:v>
                </c:pt>
                <c:pt idx="340">
                  <c:v>0.51968158408235043</c:v>
                </c:pt>
                <c:pt idx="341">
                  <c:v>0.52244731265685673</c:v>
                </c:pt>
                <c:pt idx="342">
                  <c:v>0.52521778515996398</c:v>
                </c:pt>
                <c:pt idx="343">
                  <c:v>0.52799297409904278</c:v>
                </c:pt>
                <c:pt idx="344">
                  <c:v>0.53077285193489399</c:v>
                </c:pt>
                <c:pt idx="345">
                  <c:v>0.53355739108203482</c:v>
                </c:pt>
                <c:pt idx="346">
                  <c:v>0.53634656390898561</c:v>
                </c:pt>
                <c:pt idx="347">
                  <c:v>0.5391403427385576</c:v>
                </c:pt>
                <c:pt idx="348">
                  <c:v>0.54193869984814025</c:v>
                </c:pt>
                <c:pt idx="349">
                  <c:v>0.54474160746999012</c:v>
                </c:pt>
                <c:pt idx="350">
                  <c:v>0.54754903779151864</c:v>
                </c:pt>
                <c:pt idx="351">
                  <c:v>0.5503609629555829</c:v>
                </c:pt>
                <c:pt idx="352">
                  <c:v>0.55317735506077381</c:v>
                </c:pt>
                <c:pt idx="353">
                  <c:v>0.55599818616170671</c:v>
                </c:pt>
                <c:pt idx="354">
                  <c:v>0.55882342826931197</c:v>
                </c:pt>
                <c:pt idx="355">
                  <c:v>0.56165305335112503</c:v>
                </c:pt>
                <c:pt idx="356">
                  <c:v>0.56448703333157979</c:v>
                </c:pt>
                <c:pt idx="357">
                  <c:v>0.56732534009229729</c:v>
                </c:pt>
                <c:pt idx="358">
                  <c:v>0.57016794547238103</c:v>
                </c:pt>
                <c:pt idx="359">
                  <c:v>0.57301482126870606</c:v>
                </c:pt>
                <c:pt idx="360">
                  <c:v>0.57586593923621543</c:v>
                </c:pt>
                <c:pt idx="361">
                  <c:v>0.57872127108821059</c:v>
                </c:pt>
                <c:pt idx="362">
                  <c:v>0.58158078849664707</c:v>
                </c:pt>
                <c:pt idx="363">
                  <c:v>0.58444446309242715</c:v>
                </c:pt>
                <c:pt idx="364">
                  <c:v>0.58731226646569434</c:v>
                </c:pt>
                <c:pt idx="365">
                  <c:v>0.59018417016612978</c:v>
                </c:pt>
                <c:pt idx="366">
                  <c:v>0.59306014570324517</c:v>
                </c:pt>
                <c:pt idx="367">
                  <c:v>0.59594016454667964</c:v>
                </c:pt>
                <c:pt idx="368">
                  <c:v>0.59882419812649512</c:v>
                </c:pt>
                <c:pt idx="369">
                  <c:v>0.60171221783347273</c:v>
                </c:pt>
                <c:pt idx="370">
                  <c:v>0.60460419501940821</c:v>
                </c:pt>
                <c:pt idx="371">
                  <c:v>0.60750010099741103</c:v>
                </c:pt>
                <c:pt idx="372">
                  <c:v>0.61039990704219926</c:v>
                </c:pt>
                <c:pt idx="373">
                  <c:v>0.61330358439039823</c:v>
                </c:pt>
                <c:pt idx="374">
                  <c:v>0.61621110424083791</c:v>
                </c:pt>
                <c:pt idx="375">
                  <c:v>0.61912243775485087</c:v>
                </c:pt>
                <c:pt idx="376">
                  <c:v>0.62203755605657174</c:v>
                </c:pt>
                <c:pt idx="377">
                  <c:v>0.62495643023323377</c:v>
                </c:pt>
                <c:pt idx="378">
                  <c:v>0.62787903133547063</c:v>
                </c:pt>
                <c:pt idx="379">
                  <c:v>0.63080533037761288</c:v>
                </c:pt>
                <c:pt idx="380">
                  <c:v>0.63373529833798925</c:v>
                </c:pt>
                <c:pt idx="381">
                  <c:v>0.636668906159226</c:v>
                </c:pt>
                <c:pt idx="382">
                  <c:v>0.63960612474854706</c:v>
                </c:pt>
                <c:pt idx="383">
                  <c:v>0.64254692497807397</c:v>
                </c:pt>
                <c:pt idx="384">
                  <c:v>0.64549127768512748</c:v>
                </c:pt>
                <c:pt idx="385">
                  <c:v>0.6484391536725268</c:v>
                </c:pt>
                <c:pt idx="386">
                  <c:v>0.65139052370889239</c:v>
                </c:pt>
                <c:pt idx="387">
                  <c:v>0.65434535852894637</c:v>
                </c:pt>
                <c:pt idx="388">
                  <c:v>0.65730362883381399</c:v>
                </c:pt>
                <c:pt idx="389">
                  <c:v>0.66026530529132643</c:v>
                </c:pt>
                <c:pt idx="390">
                  <c:v>0.66323035853632084</c:v>
                </c:pt>
                <c:pt idx="391">
                  <c:v>0.6661987591709454</c:v>
                </c:pt>
                <c:pt idx="392">
                  <c:v>0.66917047776495919</c:v>
                </c:pt>
                <c:pt idx="393">
                  <c:v>0.67214548485603642</c:v>
                </c:pt>
                <c:pt idx="394">
                  <c:v>0.67512375095006838</c:v>
                </c:pt>
                <c:pt idx="395">
                  <c:v>0.67810524652146786</c:v>
                </c:pt>
                <c:pt idx="396">
                  <c:v>0.68108994201347051</c:v>
                </c:pt>
                <c:pt idx="397">
                  <c:v>0.68407780783843941</c:v>
                </c:pt>
                <c:pt idx="398">
                  <c:v>0.68706881437816936</c:v>
                </c:pt>
                <c:pt idx="399">
                  <c:v>0.690062931984189</c:v>
                </c:pt>
                <c:pt idx="400">
                  <c:v>0.69306013097806651</c:v>
                </c:pt>
                <c:pt idx="401">
                  <c:v>0.6960603816517118</c:v>
                </c:pt>
                <c:pt idx="402">
                  <c:v>0.6990636542676828</c:v>
                </c:pt>
                <c:pt idx="403">
                  <c:v>0.70206991905948901</c:v>
                </c:pt>
                <c:pt idx="404">
                  <c:v>0.70507914623189605</c:v>
                </c:pt>
                <c:pt idx="405">
                  <c:v>0.70809130596123004</c:v>
                </c:pt>
                <c:pt idx="406">
                  <c:v>0.71110636839568386</c:v>
                </c:pt>
                <c:pt idx="407">
                  <c:v>0.71412430365562052</c:v>
                </c:pt>
                <c:pt idx="408">
                  <c:v>0.71714508183387904</c:v>
                </c:pt>
                <c:pt idx="409">
                  <c:v>0.72016867299608045</c:v>
                </c:pt>
                <c:pt idx="410">
                  <c:v>0.72319504718093164</c:v>
                </c:pt>
                <c:pt idx="411">
                  <c:v>0.72622417440053211</c:v>
                </c:pt>
                <c:pt idx="412">
                  <c:v>0.72925602464067896</c:v>
                </c:pt>
                <c:pt idx="413">
                  <c:v>0.7322905678611733</c:v>
                </c:pt>
                <c:pt idx="414">
                  <c:v>0.7353277739961247</c:v>
                </c:pt>
                <c:pt idx="415">
                  <c:v>0.73836761295425901</c:v>
                </c:pt>
                <c:pt idx="416">
                  <c:v>0.74141005461922227</c:v>
                </c:pt>
                <c:pt idx="417">
                  <c:v>0.74445506884988843</c:v>
                </c:pt>
                <c:pt idx="418">
                  <c:v>0.7475026254806646</c:v>
                </c:pt>
                <c:pt idx="419">
                  <c:v>0.75055269432179772</c:v>
                </c:pt>
                <c:pt idx="420">
                  <c:v>0.75360524515968119</c:v>
                </c:pt>
                <c:pt idx="421">
                  <c:v>0.75666024775715912</c:v>
                </c:pt>
                <c:pt idx="422">
                  <c:v>0.75971767185383621</c:v>
                </c:pt>
                <c:pt idx="423">
                  <c:v>0.76277748716638094</c:v>
                </c:pt>
                <c:pt idx="424">
                  <c:v>0.76583966338883458</c:v>
                </c:pt>
                <c:pt idx="425">
                  <c:v>0.76890417019291568</c:v>
                </c:pt>
                <c:pt idx="426">
                  <c:v>0.77197097722832841</c:v>
                </c:pt>
                <c:pt idx="427">
                  <c:v>0.77504005412306809</c:v>
                </c:pt>
                <c:pt idx="428">
                  <c:v>0.7781113704837278</c:v>
                </c:pt>
                <c:pt idx="429">
                  <c:v>0.78118489589580609</c:v>
                </c:pt>
                <c:pt idx="430">
                  <c:v>0.78426059992401254</c:v>
                </c:pt>
                <c:pt idx="431">
                  <c:v>0.78733845211257569</c:v>
                </c:pt>
                <c:pt idx="432">
                  <c:v>0.79041842198554757</c:v>
                </c:pt>
                <c:pt idx="433">
                  <c:v>0.79350047904711352</c:v>
                </c:pt>
                <c:pt idx="434">
                  <c:v>0.79658459278189597</c:v>
                </c:pt>
                <c:pt idx="435">
                  <c:v>0.79967073265526367</c:v>
                </c:pt>
                <c:pt idx="436">
                  <c:v>0.80275886811363628</c:v>
                </c:pt>
                <c:pt idx="437">
                  <c:v>0.80584896858479294</c:v>
                </c:pt>
                <c:pt idx="438">
                  <c:v>0.8089410034781771</c:v>
                </c:pt>
                <c:pt idx="439">
                  <c:v>0.81203494218520456</c:v>
                </c:pt>
                <c:pt idx="440">
                  <c:v>0.81513075407956992</c:v>
                </c:pt>
                <c:pt idx="441">
                  <c:v>0.81822840851755285</c:v>
                </c:pt>
                <c:pt idx="442">
                  <c:v>0.82132787483832481</c:v>
                </c:pt>
                <c:pt idx="443">
                  <c:v>0.82442912236425514</c:v>
                </c:pt>
                <c:pt idx="444">
                  <c:v>0.82753212040121915</c:v>
                </c:pt>
                <c:pt idx="445">
                  <c:v>0.83063683823890178</c:v>
                </c:pt>
                <c:pt idx="446">
                  <c:v>0.83374324515110765</c:v>
                </c:pt>
                <c:pt idx="447">
                  <c:v>0.83685131039606342</c:v>
                </c:pt>
                <c:pt idx="448">
                  <c:v>0.83996100321672762</c:v>
                </c:pt>
                <c:pt idx="449">
                  <c:v>0.84307229284109464</c:v>
                </c:pt>
                <c:pt idx="450">
                  <c:v>0.84618514848250137</c:v>
                </c:pt>
                <c:pt idx="451">
                  <c:v>0.84929953933993407</c:v>
                </c:pt>
                <c:pt idx="452">
                  <c:v>0.85241543459833358</c:v>
                </c:pt>
                <c:pt idx="453">
                  <c:v>0.85553280342890126</c:v>
                </c:pt>
                <c:pt idx="454">
                  <c:v>0.85865161498940512</c:v>
                </c:pt>
                <c:pt idx="455">
                  <c:v>0.86177183842448601</c:v>
                </c:pt>
                <c:pt idx="456">
                  <c:v>0.86489344286596193</c:v>
                </c:pt>
                <c:pt idx="457">
                  <c:v>0.86801639743313541</c:v>
                </c:pt>
                <c:pt idx="458">
                  <c:v>0.87114067123309724</c:v>
                </c:pt>
                <c:pt idx="459">
                  <c:v>0.87426623336103337</c:v>
                </c:pt>
                <c:pt idx="460">
                  <c:v>0.87739305290052905</c:v>
                </c:pt>
                <c:pt idx="461">
                  <c:v>0.88052109892387398</c:v>
                </c:pt>
                <c:pt idx="462">
                  <c:v>0.88365034049236901</c:v>
                </c:pt>
                <c:pt idx="463">
                  <c:v>0.88678074665662832</c:v>
                </c:pt>
                <c:pt idx="464">
                  <c:v>0.88991228645688703</c:v>
                </c:pt>
                <c:pt idx="465">
                  <c:v>0.89304492892330378</c:v>
                </c:pt>
                <c:pt idx="466">
                  <c:v>0.89617864307626671</c:v>
                </c:pt>
                <c:pt idx="467">
                  <c:v>0.8993133979266964</c:v>
                </c:pt>
                <c:pt idx="468">
                  <c:v>0.90244916247635243</c:v>
                </c:pt>
                <c:pt idx="469">
                  <c:v>0.90558590571813469</c:v>
                </c:pt>
                <c:pt idx="470">
                  <c:v>0.9087235966363898</c:v>
                </c:pt>
                <c:pt idx="471">
                  <c:v>0.91186220420721353</c:v>
                </c:pt>
                <c:pt idx="472">
                  <c:v>0.91500169739875548</c:v>
                </c:pt>
                <c:pt idx="473">
                  <c:v>0.91814204517152176</c:v>
                </c:pt>
                <c:pt idx="474">
                  <c:v>0.92128321647867872</c:v>
                </c:pt>
                <c:pt idx="475">
                  <c:v>0.92442518026635723</c:v>
                </c:pt>
                <c:pt idx="476">
                  <c:v>0.92756790547395374</c:v>
                </c:pt>
                <c:pt idx="477">
                  <c:v>0.9307113610344353</c:v>
                </c:pt>
                <c:pt idx="478">
                  <c:v>0.93385551587464077</c:v>
                </c:pt>
                <c:pt idx="479">
                  <c:v>0.93700033891558454</c:v>
                </c:pt>
                <c:pt idx="480">
                  <c:v>0.94014579907275797</c:v>
                </c:pt>
                <c:pt idx="481">
                  <c:v>0.9432918652564326</c:v>
                </c:pt>
                <c:pt idx="482">
                  <c:v>0.94643850637196147</c:v>
                </c:pt>
                <c:pt idx="483">
                  <c:v>0.94958569132008153</c:v>
                </c:pt>
                <c:pt idx="484">
                  <c:v>0.95273338899721483</c:v>
                </c:pt>
                <c:pt idx="485">
                  <c:v>0.95588156829577042</c:v>
                </c:pt>
                <c:pt idx="486">
                  <c:v>0.95903019810444634</c:v>
                </c:pt>
                <c:pt idx="487">
                  <c:v>0.96217924730852922</c:v>
                </c:pt>
                <c:pt idx="488">
                  <c:v>0.96532868479019673</c:v>
                </c:pt>
                <c:pt idx="489">
                  <c:v>0.96847847942881682</c:v>
                </c:pt>
                <c:pt idx="490">
                  <c:v>0.97162860010125029</c:v>
                </c:pt>
                <c:pt idx="491">
                  <c:v>0.97477901568214931</c:v>
                </c:pt>
                <c:pt idx="492">
                  <c:v>0.97792969504425808</c:v>
                </c:pt>
                <c:pt idx="493">
                  <c:v>0.98108060705871403</c:v>
                </c:pt>
                <c:pt idx="494">
                  <c:v>0.98423172059534503</c:v>
                </c:pt>
                <c:pt idx="495">
                  <c:v>0.98738300452297179</c:v>
                </c:pt>
                <c:pt idx="496">
                  <c:v>0.99053442770970468</c:v>
                </c:pt>
                <c:pt idx="497">
                  <c:v>0.99368595902324497</c:v>
                </c:pt>
                <c:pt idx="498">
                  <c:v>0.9968375673311819</c:v>
                </c:pt>
                <c:pt idx="499">
                  <c:v>0.99998922150129255</c:v>
                </c:pt>
              </c:numCache>
            </c:numRef>
          </c:xVal>
          <c:yVal>
            <c:numRef>
              <c:f>Data2!$O$1:$O$500</c:f>
              <c:numCache>
                <c:formatCode>0.000000</c:formatCode>
                <c:ptCount val="500"/>
                <c:pt idx="0">
                  <c:v>0</c:v>
                </c:pt>
                <c:pt idx="1">
                  <c:v>-3.8784744141074647E-4</c:v>
                </c:pt>
                <c:pt idx="2">
                  <c:v>-7.7303259946420472E-4</c:v>
                </c:pt>
                <c:pt idx="3">
                  <c:v>-1.1555627760753519E-3</c:v>
                </c:pt>
                <c:pt idx="4">
                  <c:v>-1.5354460865154198E-3</c:v>
                </c:pt>
                <c:pt idx="5">
                  <c:v>-1.9126914504332163E-3</c:v>
                </c:pt>
                <c:pt idx="6">
                  <c:v>-2.2873085825543442E-3</c:v>
                </c:pt>
                <c:pt idx="7">
                  <c:v>-2.6593079830314064E-3</c:v>
                </c:pt>
                <c:pt idx="8">
                  <c:v>-3.0287009274664748E-3</c:v>
                </c:pt>
                <c:pt idx="9">
                  <c:v>-3.3954994566122582E-3</c:v>
                </c:pt>
                <c:pt idx="10">
                  <c:v>-3.7597163657567003E-3</c:v>
                </c:pt>
                <c:pt idx="11">
                  <c:v>-4.1213651938007741E-3</c:v>
                </c:pt>
                <c:pt idx="12">
                  <c:v>-4.4804602120346497E-3</c:v>
                </c:pt>
                <c:pt idx="13">
                  <c:v>-4.8370164126214591E-3</c:v>
                </c:pt>
                <c:pt idx="14">
                  <c:v>-5.1910494967969201E-3</c:v>
                </c:pt>
                <c:pt idx="15">
                  <c:v>-5.5425758627906888E-3</c:v>
                </c:pt>
                <c:pt idx="16">
                  <c:v>-5.8916125934765822E-3</c:v>
                </c:pt>
                <c:pt idx="17">
                  <c:v>-6.2381774437643813E-3</c:v>
                </c:pt>
                <c:pt idx="18">
                  <c:v>-6.5822888277334256E-3</c:v>
                </c:pt>
                <c:pt idx="19">
                  <c:v>-6.9239658055237569E-3</c:v>
                </c:pt>
                <c:pt idx="20">
                  <c:v>-7.2632280699856311E-3</c:v>
                </c:pt>
                <c:pt idx="21">
                  <c:v>-7.6000959331015399E-3</c:v>
                </c:pt>
                <c:pt idx="22">
                  <c:v>-7.9345903121845387E-3</c:v>
                </c:pt>
                <c:pt idx="23">
                  <c:v>-8.266732715863135E-3</c:v>
                </c:pt>
                <c:pt idx="24">
                  <c:v>-8.596545229859422E-3</c:v>
                </c:pt>
                <c:pt idx="25">
                  <c:v>-8.9240505025707535E-3</c:v>
                </c:pt>
                <c:pt idx="26">
                  <c:v>-9.2492717304599355E-3</c:v>
                </c:pt>
                <c:pt idx="27">
                  <c:v>-9.5722326432662163E-3</c:v>
                </c:pt>
                <c:pt idx="28">
                  <c:v>-9.8929574890411244E-3</c:v>
                </c:pt>
                <c:pt idx="29">
                  <c:v>-1.0211471019020318E-2</c:v>
                </c:pt>
                <c:pt idx="30">
                  <c:v>-1.0527798472339025E-2</c:v>
                </c:pt>
                <c:pt idx="31">
                  <c:v>-1.0841965560597234E-2</c:v>
                </c:pt>
                <c:pt idx="32">
                  <c:v>-1.1153998452286856E-2</c:v>
                </c:pt>
                <c:pt idx="33">
                  <c:v>-1.1463923757085E-2</c:v>
                </c:pt>
                <c:pt idx="34">
                  <c:v>-1.1771768510023421E-2</c:v>
                </c:pt>
                <c:pt idx="35">
                  <c:v>-1.2077560155542094E-2</c:v>
                </c:pt>
                <c:pt idx="36">
                  <c:v>-1.2381326531434943E-2</c:v>
                </c:pt>
                <c:pt idx="37">
                  <c:v>-1.2683095852694672E-2</c:v>
                </c:pt>
                <c:pt idx="38">
                  <c:v>-1.2982896695265466E-2</c:v>
                </c:pt>
                <c:pt idx="39">
                  <c:v>-1.3280757979711058E-2</c:v>
                </c:pt>
                <c:pt idx="40">
                  <c:v>-1.3576708954805347E-2</c:v>
                </c:pt>
                <c:pt idx="41">
                  <c:v>-1.3870779181053401E-2</c:v>
                </c:pt>
                <c:pt idx="42">
                  <c:v>-1.4162998514149497E-2</c:v>
                </c:pt>
                <c:pt idx="43">
                  <c:v>-1.4453397088379928E-2</c:v>
                </c:pt>
                <c:pt idx="44">
                  <c:v>-1.4742005299977268E-2</c:v>
                </c:pt>
                <c:pt idx="45">
                  <c:v>-1.5028853790432414E-2</c:v>
                </c:pt>
                <c:pt idx="46">
                  <c:v>-1.5313973429771154E-2</c:v>
                </c:pt>
                <c:pt idx="47">
                  <c:v>-1.5597395299801137E-2</c:v>
                </c:pt>
                <c:pt idx="48">
                  <c:v>-1.5879150677336029E-2</c:v>
                </c:pt>
                <c:pt idx="49">
                  <c:v>-1.6159271017400903E-2</c:v>
                </c:pt>
                <c:pt idx="50">
                  <c:v>-1.6437787936425932E-2</c:v>
                </c:pt>
                <c:pt idx="51">
                  <c:v>-1.6714733195432079E-2</c:v>
                </c:pt>
                <c:pt idx="52">
                  <c:v>-1.6990138683214216E-2</c:v>
                </c:pt>
                <c:pt idx="53">
                  <c:v>-1.7264036399525499E-2</c:v>
                </c:pt>
                <c:pt idx="54">
                  <c:v>-1.7536458438266907E-2</c:v>
                </c:pt>
                <c:pt idx="55">
                  <c:v>-1.780743697068627E-2</c:v>
                </c:pt>
                <c:pt idx="56">
                  <c:v>-1.8077004228588402E-2</c:v>
                </c:pt>
                <c:pt idx="57">
                  <c:v>-1.8345192487560544E-2</c:v>
                </c:pt>
                <c:pt idx="58">
                  <c:v>-1.8612034050214044E-2</c:v>
                </c:pt>
                <c:pt idx="59">
                  <c:v>-1.8877561229444808E-2</c:v>
                </c:pt>
                <c:pt idx="60">
                  <c:v>-1.9141806331713512E-2</c:v>
                </c:pt>
                <c:pt idx="61">
                  <c:v>-1.9404801640345935E-2</c:v>
                </c:pt>
                <c:pt idx="62">
                  <c:v>-1.9666579398854217E-2</c:v>
                </c:pt>
                <c:pt idx="63">
                  <c:v>-1.9927171794278258E-2</c:v>
                </c:pt>
                <c:pt idx="64">
                  <c:v>-2.0186610940546208E-2</c:v>
                </c:pt>
                <c:pt idx="65">
                  <c:v>-2.0444928861853451E-2</c:v>
                </c:pt>
                <c:pt idx="66">
                  <c:v>-2.0702157476056596E-2</c:v>
                </c:pt>
                <c:pt idx="67">
                  <c:v>-2.095832857808121E-2</c:v>
                </c:pt>
                <c:pt idx="68">
                  <c:v>-2.1213473823339195E-2</c:v>
                </c:pt>
                <c:pt idx="69">
                  <c:v>-2.1467624711152048E-2</c:v>
                </c:pt>
                <c:pt idx="70">
                  <c:v>-2.1720812568176023E-2</c:v>
                </c:pt>
                <c:pt idx="71">
                  <c:v>-2.1973068531822973E-2</c:v>
                </c:pt>
                <c:pt idx="72">
                  <c:v>-2.2224423533672613E-2</c:v>
                </c:pt>
                <c:pt idx="73">
                  <c:v>-2.2474908282868203E-2</c:v>
                </c:pt>
                <c:pt idx="74">
                  <c:v>-2.2724553249490041E-2</c:v>
                </c:pt>
                <c:pt idx="75">
                  <c:v>-2.2973388647897882E-2</c:v>
                </c:pt>
                <c:pt idx="76">
                  <c:v>-2.3221444420034612E-2</c:v>
                </c:pt>
                <c:pt idx="77">
                  <c:v>-2.3468750218682513E-2</c:v>
                </c:pt>
                <c:pt idx="78">
                  <c:v>-2.371533539066116E-2</c:v>
                </c:pt>
                <c:pt idx="79">
                  <c:v>-2.3961228959958555E-2</c:v>
                </c:pt>
                <c:pt idx="80">
                  <c:v>-2.4206459610782931E-2</c:v>
                </c:pt>
                <c:pt idx="81">
                  <c:v>-2.4451055670524947E-2</c:v>
                </c:pt>
                <c:pt idx="82">
                  <c:v>-2.4695045092617534E-2</c:v>
                </c:pt>
                <c:pt idx="83">
                  <c:v>-2.4938455439280853E-2</c:v>
                </c:pt>
                <c:pt idx="84">
                  <c:v>-2.5181313864139292E-2</c:v>
                </c:pt>
                <c:pt idx="85">
                  <c:v>-2.5423647094696383E-2</c:v>
                </c:pt>
                <c:pt idx="86">
                  <c:v>-2.5665481414653624E-2</c:v>
                </c:pt>
                <c:pt idx="87">
                  <c:v>-2.5906842646057818E-2</c:v>
                </c:pt>
                <c:pt idx="88">
                  <c:v>-2.6147756131262075E-2</c:v>
                </c:pt>
                <c:pt idx="89">
                  <c:v>-2.6388246714684274E-2</c:v>
                </c:pt>
                <c:pt idx="90">
                  <c:v>-2.6628338724346459E-2</c:v>
                </c:pt>
                <c:pt idx="91">
                  <c:v>-2.6868055953179003E-2</c:v>
                </c:pt>
                <c:pt idx="92">
                  <c:v>-2.7107421640071749E-2</c:v>
                </c:pt>
                <c:pt idx="93">
                  <c:v>-2.734645845065474E-2</c:v>
                </c:pt>
                <c:pt idx="94">
                  <c:v>-2.7585188457790819E-2</c:v>
                </c:pt>
                <c:pt idx="95">
                  <c:v>-2.7823633121761587E-2</c:v>
                </c:pt>
                <c:pt idx="96">
                  <c:v>-2.8061813270128338E-2</c:v>
                </c:pt>
                <c:pt idx="97">
                  <c:v>-2.8299749077248991E-2</c:v>
                </c:pt>
                <c:pt idx="98">
                  <c:v>-2.8537460043432543E-2</c:v>
                </c:pt>
                <c:pt idx="99">
                  <c:v>-2.8774964973710949E-2</c:v>
                </c:pt>
                <c:pt idx="100">
                  <c:v>-2.9012281956209796E-2</c:v>
                </c:pt>
                <c:pt idx="101">
                  <c:v>-2.9249428340098114E-2</c:v>
                </c:pt>
                <c:pt idx="102">
                  <c:v>-2.9486420713097438E-2</c:v>
                </c:pt>
                <c:pt idx="103">
                  <c:v>-2.9723274878530995E-2</c:v>
                </c:pt>
                <c:pt idx="104">
                  <c:v>-2.9960005831892719E-2</c:v>
                </c:pt>
                <c:pt idx="105">
                  <c:v>-3.0196627736917104E-2</c:v>
                </c:pt>
                <c:pt idx="106">
                  <c:v>-3.0433153901129967E-2</c:v>
                </c:pt>
                <c:pt idx="107">
                  <c:v>-3.0669596750860451E-2</c:v>
                </c:pt>
                <c:pt idx="108">
                  <c:v>-3.0905967805695496E-2</c:v>
                </c:pt>
                <c:pt idx="109">
                  <c:v>-3.1142277652356585E-2</c:v>
                </c:pt>
                <c:pt idx="110">
                  <c:v>-3.1378535917980815E-2</c:v>
                </c:pt>
                <c:pt idx="111">
                  <c:v>-3.1614751242786357E-2</c:v>
                </c:pt>
                <c:pt idx="112">
                  <c:v>-3.1850931252104774E-2</c:v>
                </c:pt>
                <c:pt idx="113">
                  <c:v>-3.2087082527760769E-2</c:v>
                </c:pt>
                <c:pt idx="114">
                  <c:v>-3.2323210578782249E-2</c:v>
                </c:pt>
                <c:pt idx="115">
                  <c:v>-3.2559319811422544E-2</c:v>
                </c:pt>
                <c:pt idx="116">
                  <c:v>-3.2795413498477408E-2</c:v>
                </c:pt>
                <c:pt idx="117">
                  <c:v>-3.3031493747880052E-2</c:v>
                </c:pt>
                <c:pt idx="118">
                  <c:v>-3.3267561470557247E-2</c:v>
                </c:pt>
                <c:pt idx="119">
                  <c:v>-3.3503616347530851E-2</c:v>
                </c:pt>
                <c:pt idx="120">
                  <c:v>-3.3739656796248504E-2</c:v>
                </c:pt>
                <c:pt idx="121">
                  <c:v>-3.3975679936128253E-2</c:v>
                </c:pt>
                <c:pt idx="122">
                  <c:v>-3.4211681553302675E-2</c:v>
                </c:pt>
                <c:pt idx="123">
                  <c:v>-3.4447656064547631E-2</c:v>
                </c:pt>
                <c:pt idx="124">
                  <c:v>-3.468359648038203E-2</c:v>
                </c:pt>
                <c:pt idx="125">
                  <c:v>-3.4919494367325041E-2</c:v>
                </c:pt>
                <c:pt idx="126">
                  <c:v>-3.5155339809298025E-2</c:v>
                </c:pt>
                <c:pt idx="127">
                  <c:v>-3.5391121368158585E-2</c:v>
                </c:pt>
                <c:pt idx="128">
                  <c:v>-3.5626826043354966E-2</c:v>
                </c:pt>
                <c:pt idx="129">
                  <c:v>-3.5862439230689332E-2</c:v>
                </c:pt>
                <c:pt idx="130">
                  <c:v>-3.6097944680178969E-2</c:v>
                </c:pt>
                <c:pt idx="131">
                  <c:v>-3.6333324453005092E-2</c:v>
                </c:pt>
                <c:pt idx="132">
                  <c:v>-3.6568558877539306E-2</c:v>
                </c:pt>
                <c:pt idx="133">
                  <c:v>-3.6803626504438275E-2</c:v>
                </c:pt>
                <c:pt idx="134">
                  <c:v>-3.7038504060797617E-2</c:v>
                </c:pt>
                <c:pt idx="135">
                  <c:v>-3.7273166403356671E-2</c:v>
                </c:pt>
                <c:pt idx="136">
                  <c:v>-3.7507586470745972E-2</c:v>
                </c:pt>
                <c:pt idx="137">
                  <c:v>-3.7741735234769917E-2</c:v>
                </c:pt>
                <c:pt idx="138">
                  <c:v>-3.7975581650717703E-2</c:v>
                </c:pt>
                <c:pt idx="139">
                  <c:v>-3.8209092606695423E-2</c:v>
                </c:pt>
                <c:pt idx="140">
                  <c:v>-3.8442232871973694E-2</c:v>
                </c:pt>
                <c:pt idx="141">
                  <c:v>-3.8674965044344249E-2</c:v>
                </c:pt>
                <c:pt idx="142">
                  <c:v>-3.8907249496480757E-2</c:v>
                </c:pt>
                <c:pt idx="143">
                  <c:v>-3.9139044321298319E-2</c:v>
                </c:pt>
                <c:pt idx="144">
                  <c:v>-3.937030527630745E-2</c:v>
                </c:pt>
                <c:pt idx="145">
                  <c:v>-3.9600985726957902E-2</c:v>
                </c:pt>
                <c:pt idx="146">
                  <c:v>-3.9831036588968631E-2</c:v>
                </c:pt>
                <c:pt idx="147">
                  <c:v>-4.0060406269640796E-2</c:v>
                </c:pt>
                <c:pt idx="148">
                  <c:v>-4.0289040608149952E-2</c:v>
                </c:pt>
                <c:pt idx="149">
                  <c:v>-4.0516882814815691E-2</c:v>
                </c:pt>
                <c:pt idx="150">
                  <c:v>-4.0743873409345627E-2</c:v>
                </c:pt>
                <c:pt idx="151">
                  <c:v>-4.0969950158052659E-2</c:v>
                </c:pt>
                <c:pt idx="152">
                  <c:v>-4.1195048010043436E-2</c:v>
                </c:pt>
                <c:pt idx="153">
                  <c:v>-4.1419099032377837E-2</c:v>
                </c:pt>
                <c:pt idx="154">
                  <c:v>-4.1642032344198485E-2</c:v>
                </c:pt>
                <c:pt idx="155">
                  <c:v>-4.1863774049830799E-2</c:v>
                </c:pt>
                <c:pt idx="156">
                  <c:v>-4.2084247170854343E-2</c:v>
                </c:pt>
                <c:pt idx="157">
                  <c:v>-4.2303371577146781E-2</c:v>
                </c:pt>
                <c:pt idx="158">
                  <c:v>-4.2521063916902579E-2</c:v>
                </c:pt>
                <c:pt idx="159">
                  <c:v>-4.2737237545629699E-2</c:v>
                </c:pt>
                <c:pt idx="160">
                  <c:v>-4.2951802454127649E-2</c:v>
                </c:pt>
                <c:pt idx="161">
                  <c:v>-4.3164665195452145E-2</c:v>
                </c:pt>
                <c:pt idx="162">
                  <c:v>-4.3375728365610385E-2</c:v>
                </c:pt>
                <c:pt idx="163">
                  <c:v>-4.3584941318011938E-2</c:v>
                </c:pt>
                <c:pt idx="164">
                  <c:v>-4.3792295188881378E-2</c:v>
                </c:pt>
                <c:pt idx="165">
                  <c:v>-4.3997781784271661E-2</c:v>
                </c:pt>
                <c:pt idx="166">
                  <c:v>-4.4201392977578628E-2</c:v>
                </c:pt>
                <c:pt idx="167">
                  <c:v>-4.4403120710778052E-2</c:v>
                </c:pt>
                <c:pt idx="168">
                  <c:v>-4.4602956995649624E-2</c:v>
                </c:pt>
                <c:pt idx="169">
                  <c:v>-4.4800893914987386E-2</c:v>
                </c:pt>
                <c:pt idx="170">
                  <c:v>-4.4996923623796689E-2</c:v>
                </c:pt>
                <c:pt idx="171">
                  <c:v>-4.5191038350477455E-2</c:v>
                </c:pt>
                <c:pt idx="172">
                  <c:v>-4.5383230397993107E-2</c:v>
                </c:pt>
                <c:pt idx="173">
                  <c:v>-4.5573492145025422E-2</c:v>
                </c:pt>
                <c:pt idx="174">
                  <c:v>-4.5761816047114746E-2</c:v>
                </c:pt>
                <c:pt idx="175">
                  <c:v>-4.594819463778578E-2</c:v>
                </c:pt>
                <c:pt idx="176">
                  <c:v>-4.6132620529658032E-2</c:v>
                </c:pt>
                <c:pt idx="177">
                  <c:v>-4.6315086415541558E-2</c:v>
                </c:pt>
                <c:pt idx="178">
                  <c:v>-4.649558506951694E-2</c:v>
                </c:pt>
                <c:pt idx="179">
                  <c:v>-4.6674109348000169E-2</c:v>
                </c:pt>
                <c:pt idx="180">
                  <c:v>-4.6850652190791299E-2</c:v>
                </c:pt>
                <c:pt idx="181">
                  <c:v>-4.7025206622107581E-2</c:v>
                </c:pt>
                <c:pt idx="182">
                  <c:v>-4.7197765751600076E-2</c:v>
                </c:pt>
                <c:pt idx="183">
                  <c:v>-4.7368322775354264E-2</c:v>
                </c:pt>
                <c:pt idx="184">
                  <c:v>-4.7536870976873723E-2</c:v>
                </c:pt>
                <c:pt idx="185">
                  <c:v>-4.7703403728047537E-2</c:v>
                </c:pt>
                <c:pt idx="186">
                  <c:v>-4.7867914490100312E-2</c:v>
                </c:pt>
                <c:pt idx="187">
                  <c:v>-4.8030396814525464E-2</c:v>
                </c:pt>
                <c:pt idx="188">
                  <c:v>-4.8190844344001067E-2</c:v>
                </c:pt>
                <c:pt idx="189">
                  <c:v>-4.8349250813288218E-2</c:v>
                </c:pt>
                <c:pt idx="190">
                  <c:v>-4.8505610050111822E-2</c:v>
                </c:pt>
                <c:pt idx="191">
                  <c:v>-4.8659915976023649E-2</c:v>
                </c:pt>
                <c:pt idx="192">
                  <c:v>-4.8812162607247148E-2</c:v>
                </c:pt>
                <c:pt idx="193">
                  <c:v>-4.8962344055504543E-2</c:v>
                </c:pt>
                <c:pt idx="194">
                  <c:v>-4.9110454528825231E-2</c:v>
                </c:pt>
                <c:pt idx="195">
                  <c:v>-4.9256488332335931E-2</c:v>
                </c:pt>
                <c:pt idx="196">
                  <c:v>-4.9400439869032226E-2</c:v>
                </c:pt>
                <c:pt idx="197">
                  <c:v>-4.9542303640531263E-2</c:v>
                </c:pt>
                <c:pt idx="198">
                  <c:v>-4.968207424780554E-2</c:v>
                </c:pt>
                <c:pt idx="199">
                  <c:v>-4.9819746391897721E-2</c:v>
                </c:pt>
                <c:pt idx="200">
                  <c:v>-4.9955314874616179E-2</c:v>
                </c:pt>
                <c:pt idx="201">
                  <c:v>-5.0088774599211225E-2</c:v>
                </c:pt>
                <c:pt idx="202">
                  <c:v>-5.0220120571031833E-2</c:v>
                </c:pt>
                <c:pt idx="203">
                  <c:v>-5.0349347898162859E-2</c:v>
                </c:pt>
                <c:pt idx="204">
                  <c:v>-5.0476451792042326E-2</c:v>
                </c:pt>
                <c:pt idx="205">
                  <c:v>-5.060142756805918E-2</c:v>
                </c:pt>
                <c:pt idx="206">
                  <c:v>-5.0724270646130575E-2</c:v>
                </c:pt>
                <c:pt idx="207">
                  <c:v>-5.0844976551259725E-2</c:v>
                </c:pt>
                <c:pt idx="208">
                  <c:v>-5.0963540914072868E-2</c:v>
                </c:pt>
                <c:pt idx="209">
                  <c:v>-5.107995947133636E-2</c:v>
                </c:pt>
                <c:pt idx="210">
                  <c:v>-5.1194228066453212E-2</c:v>
                </c:pt>
                <c:pt idx="211">
                  <c:v>-5.1306342649939045E-2</c:v>
                </c:pt>
                <c:pt idx="212">
                  <c:v>-5.1416299279877502E-2</c:v>
                </c:pt>
                <c:pt idx="213">
                  <c:v>-5.1524094122354862E-2</c:v>
                </c:pt>
                <c:pt idx="214">
                  <c:v>-5.1629723451873957E-2</c:v>
                </c:pt>
                <c:pt idx="215">
                  <c:v>-5.1733183651746964E-2</c:v>
                </c:pt>
                <c:pt idx="216">
                  <c:v>-5.183447121446752E-2</c:v>
                </c:pt>
                <c:pt idx="217">
                  <c:v>-5.1933582742061432E-2</c:v>
                </c:pt>
                <c:pt idx="218">
                  <c:v>-5.2030514946416577E-2</c:v>
                </c:pt>
                <c:pt idx="219">
                  <c:v>-5.212526464959133E-2</c:v>
                </c:pt>
                <c:pt idx="220">
                  <c:v>-5.2217828784101777E-2</c:v>
                </c:pt>
                <c:pt idx="221">
                  <c:v>-5.2308204393187688E-2</c:v>
                </c:pt>
                <c:pt idx="222">
                  <c:v>-5.2396388631056889E-2</c:v>
                </c:pt>
                <c:pt idx="223">
                  <c:v>-5.2482378763108392E-2</c:v>
                </c:pt>
                <c:pt idx="224">
                  <c:v>-5.2566172166133684E-2</c:v>
                </c:pt>
                <c:pt idx="225">
                  <c:v>-5.2647766328496839E-2</c:v>
                </c:pt>
                <c:pt idx="226">
                  <c:v>-5.2727158850292687E-2</c:v>
                </c:pt>
                <c:pt idx="227">
                  <c:v>-5.2804347443483488E-2</c:v>
                </c:pt>
                <c:pt idx="228">
                  <c:v>-5.2879329932013837E-2</c:v>
                </c:pt>
                <c:pt idx="229">
                  <c:v>-5.2952104251903907E-2</c:v>
                </c:pt>
                <c:pt idx="230">
                  <c:v>-5.3022668451320851E-2</c:v>
                </c:pt>
                <c:pt idx="231">
                  <c:v>-5.3091020690628508E-2</c:v>
                </c:pt>
                <c:pt idx="232">
                  <c:v>-5.3157159242415181E-2</c:v>
                </c:pt>
                <c:pt idx="233">
                  <c:v>-5.3221082491499719E-2</c:v>
                </c:pt>
                <c:pt idx="234">
                  <c:v>-5.3282788934915677E-2</c:v>
                </c:pt>
                <c:pt idx="235">
                  <c:v>-5.3342277181873614E-2</c:v>
                </c:pt>
                <c:pt idx="236">
                  <c:v>-5.339954595370168E-2</c:v>
                </c:pt>
                <c:pt idx="237">
                  <c:v>-5.3454594083764045E-2</c:v>
                </c:pt>
                <c:pt idx="238">
                  <c:v>-5.3507420517357844E-2</c:v>
                </c:pt>
                <c:pt idx="239">
                  <c:v>-5.3558024311588001E-2</c:v>
                </c:pt>
                <c:pt idx="240">
                  <c:v>-5.3606404635220276E-2</c:v>
                </c:pt>
                <c:pt idx="241">
                  <c:v>-5.3652560768512589E-2</c:v>
                </c:pt>
                <c:pt idx="242">
                  <c:v>-5.3696492103024435E-2</c:v>
                </c:pt>
                <c:pt idx="243">
                  <c:v>-5.3738198141404438E-2</c:v>
                </c:pt>
                <c:pt idx="244">
                  <c:v>-5.3777678497156464E-2</c:v>
                </c:pt>
                <c:pt idx="245">
                  <c:v>-5.3814932894383535E-2</c:v>
                </c:pt>
                <c:pt idx="246">
                  <c:v>-5.38499611675105E-2</c:v>
                </c:pt>
                <c:pt idx="247">
                  <c:v>-5.3882763260984776E-2</c:v>
                </c:pt>
                <c:pt idx="248">
                  <c:v>-5.3913339228955609E-2</c:v>
                </c:pt>
                <c:pt idx="249">
                  <c:v>-5.3941689234931589E-2</c:v>
                </c:pt>
                <c:pt idx="250">
                  <c:v>-5.3967813551416929E-2</c:v>
                </c:pt>
                <c:pt idx="251">
                  <c:v>-5.3991712559526062E-2</c:v>
                </c:pt>
                <c:pt idx="252">
                  <c:v>-5.4013386748576801E-2</c:v>
                </c:pt>
                <c:pt idx="253">
                  <c:v>-5.403283671566253E-2</c:v>
                </c:pt>
                <c:pt idx="254">
                  <c:v>-5.4050063165202528E-2</c:v>
                </c:pt>
                <c:pt idx="255">
                  <c:v>-5.4065066908471619E-2</c:v>
                </c:pt>
                <c:pt idx="256">
                  <c:v>-5.4077848863108478E-2</c:v>
                </c:pt>
                <c:pt idx="257">
                  <c:v>-5.4088410052602745E-2</c:v>
                </c:pt>
                <c:pt idx="258">
                  <c:v>-5.4096751605761509E-2</c:v>
                </c:pt>
                <c:pt idx="259">
                  <c:v>-5.4102874756154579E-2</c:v>
                </c:pt>
                <c:pt idx="260">
                  <c:v>-5.4106780841539144E-2</c:v>
                </c:pt>
                <c:pt idx="261">
                  <c:v>-5.4108471303263725E-2</c:v>
                </c:pt>
                <c:pt idx="262">
                  <c:v>-5.4107947685651497E-2</c:v>
                </c:pt>
                <c:pt idx="263">
                  <c:v>-5.4105211635362999E-2</c:v>
                </c:pt>
                <c:pt idx="264">
                  <c:v>-5.4100264900738756E-2</c:v>
                </c:pt>
                <c:pt idx="265">
                  <c:v>-5.409310933112129E-2</c:v>
                </c:pt>
                <c:pt idx="266">
                  <c:v>-5.4083746876157052E-2</c:v>
                </c:pt>
                <c:pt idx="267">
                  <c:v>-5.4072179585078588E-2</c:v>
                </c:pt>
                <c:pt idx="268">
                  <c:v>-5.4058409605966196E-2</c:v>
                </c:pt>
                <c:pt idx="269">
                  <c:v>-5.40424391849905E-2</c:v>
                </c:pt>
                <c:pt idx="270">
                  <c:v>-5.4024270665634609E-2</c:v>
                </c:pt>
                <c:pt idx="271">
                  <c:v>-5.400390648789731E-2</c:v>
                </c:pt>
                <c:pt idx="272">
                  <c:v>-5.3981349187476567E-2</c:v>
                </c:pt>
                <c:pt idx="273">
                  <c:v>-5.3956601394933773E-2</c:v>
                </c:pt>
                <c:pt idx="274">
                  <c:v>-5.3929665834839123E-2</c:v>
                </c:pt>
                <c:pt idx="275">
                  <c:v>-5.3900545324897423E-2</c:v>
                </c:pt>
                <c:pt idx="276">
                  <c:v>-5.3869242775055927E-2</c:v>
                </c:pt>
                <c:pt idx="277">
                  <c:v>-5.3835761186592633E-2</c:v>
                </c:pt>
                <c:pt idx="278">
                  <c:v>-5.3800103651186829E-2</c:v>
                </c:pt>
                <c:pt idx="279">
                  <c:v>-5.3762273349970573E-2</c:v>
                </c:pt>
                <c:pt idx="280">
                  <c:v>-5.3722273552562684E-2</c:v>
                </c:pt>
                <c:pt idx="281">
                  <c:v>-5.3680107616084126E-2</c:v>
                </c:pt>
                <c:pt idx="282">
                  <c:v>-5.3635778984156043E-2</c:v>
                </c:pt>
                <c:pt idx="283">
                  <c:v>-5.3589291185879594E-2</c:v>
                </c:pt>
                <c:pt idx="284">
                  <c:v>-5.3540647834798949E-2</c:v>
                </c:pt>
                <c:pt idx="285">
                  <c:v>-5.3489852627846397E-2</c:v>
                </c:pt>
                <c:pt idx="286">
                  <c:v>-5.3436909344270582E-2</c:v>
                </c:pt>
                <c:pt idx="287">
                  <c:v>-5.3381821844547969E-2</c:v>
                </c:pt>
                <c:pt idx="288">
                  <c:v>-5.3324594069277198E-2</c:v>
                </c:pt>
                <c:pt idx="289">
                  <c:v>-5.3265230038057346E-2</c:v>
                </c:pt>
                <c:pt idx="290">
                  <c:v>-5.3203733848349394E-2</c:v>
                </c:pt>
                <c:pt idx="291">
                  <c:v>-5.314010967432193E-2</c:v>
                </c:pt>
                <c:pt idx="292">
                  <c:v>-5.307436176568079E-2</c:v>
                </c:pt>
                <c:pt idx="293">
                  <c:v>-5.3006494446482949E-2</c:v>
                </c:pt>
                <c:pt idx="294">
                  <c:v>-5.2936512113934825E-2</c:v>
                </c:pt>
                <c:pt idx="295">
                  <c:v>-5.2864419237175608E-2</c:v>
                </c:pt>
                <c:pt idx="296">
                  <c:v>-5.2790220356045192E-2</c:v>
                </c:pt>
                <c:pt idx="297">
                  <c:v>-5.2713920079837356E-2</c:v>
                </c:pt>
                <c:pt idx="298">
                  <c:v>-5.2635523086038458E-2</c:v>
                </c:pt>
                <c:pt idx="299">
                  <c:v>-5.2555034119051561E-2</c:v>
                </c:pt>
                <c:pt idx="300">
                  <c:v>-5.247245798890645E-2</c:v>
                </c:pt>
                <c:pt idx="301">
                  <c:v>-5.2387799569955706E-2</c:v>
                </c:pt>
                <c:pt idx="302">
                  <c:v>-5.2301063799557269E-2</c:v>
                </c:pt>
                <c:pt idx="303">
                  <c:v>-5.2212255676743313E-2</c:v>
                </c:pt>
                <c:pt idx="304">
                  <c:v>-5.2121380260875837E-2</c:v>
                </c:pt>
                <c:pt idx="305">
                  <c:v>-5.2028442670289707E-2</c:v>
                </c:pt>
                <c:pt idx="306">
                  <c:v>-5.1933448080922602E-2</c:v>
                </c:pt>
                <c:pt idx="307">
                  <c:v>-5.1836401724932632E-2</c:v>
                </c:pt>
                <c:pt idx="308">
                  <c:v>-5.1737308889303703E-2</c:v>
                </c:pt>
                <c:pt idx="309">
                  <c:v>-5.1636174914439011E-2</c:v>
                </c:pt>
                <c:pt idx="310">
                  <c:v>-5.1533005192742842E-2</c:v>
                </c:pt>
                <c:pt idx="311">
                  <c:v>-5.1427805167190692E-2</c:v>
                </c:pt>
                <c:pt idx="312">
                  <c:v>-5.1320580329888635E-2</c:v>
                </c:pt>
                <c:pt idx="313">
                  <c:v>-5.1211336220621392E-2</c:v>
                </c:pt>
                <c:pt idx="314">
                  <c:v>-5.1100078425390064E-2</c:v>
                </c:pt>
                <c:pt idx="315">
                  <c:v>-5.09868125749392E-2</c:v>
                </c:pt>
                <c:pt idx="316">
                  <c:v>-5.0871544343274192E-2</c:v>
                </c:pt>
                <c:pt idx="317">
                  <c:v>-5.0754279446168331E-2</c:v>
                </c:pt>
                <c:pt idx="318">
                  <c:v>-5.0635023639660826E-2</c:v>
                </c:pt>
                <c:pt idx="319">
                  <c:v>-5.0513782718545147E-2</c:v>
                </c:pt>
                <c:pt idx="320">
                  <c:v>-5.0390562514848775E-2</c:v>
                </c:pt>
                <c:pt idx="321">
                  <c:v>-5.0265368896303946E-2</c:v>
                </c:pt>
                <c:pt idx="322">
                  <c:v>-5.0138207764810101E-2</c:v>
                </c:pt>
                <c:pt idx="323">
                  <c:v>-5.0009085054888311E-2</c:v>
                </c:pt>
                <c:pt idx="324">
                  <c:v>-4.9878006732127847E-2</c:v>
                </c:pt>
                <c:pt idx="325">
                  <c:v>-4.9744978791624969E-2</c:v>
                </c:pt>
                <c:pt idx="326">
                  <c:v>-4.9610007256414873E-2</c:v>
                </c:pt>
                <c:pt idx="327">
                  <c:v>-4.9473098175896346E-2</c:v>
                </c:pt>
                <c:pt idx="328">
                  <c:v>-4.9334257624250089E-2</c:v>
                </c:pt>
                <c:pt idx="329">
                  <c:v>-4.9193491698850393E-2</c:v>
                </c:pt>
                <c:pt idx="330">
                  <c:v>-4.9050806518670942E-2</c:v>
                </c:pt>
                <c:pt idx="331">
                  <c:v>-4.8906208222684849E-2</c:v>
                </c:pt>
                <c:pt idx="332">
                  <c:v>-4.8759702968259232E-2</c:v>
                </c:pt>
                <c:pt idx="333">
                  <c:v>-4.8611296929544724E-2</c:v>
                </c:pt>
                <c:pt idx="334">
                  <c:v>-4.8460996295860037E-2</c:v>
                </c:pt>
                <c:pt idx="335">
                  <c:v>-4.8308807270071939E-2</c:v>
                </c:pt>
                <c:pt idx="336">
                  <c:v>-4.8154736066971529E-2</c:v>
                </c:pt>
                <c:pt idx="337">
                  <c:v>-4.7998788911645857E-2</c:v>
                </c:pt>
                <c:pt idx="338">
                  <c:v>-4.7840972037846562E-2</c:v>
                </c:pt>
                <c:pt idx="339">
                  <c:v>-4.768129168635498E-2</c:v>
                </c:pt>
                <c:pt idx="340">
                  <c:v>-4.7519754103344296E-2</c:v>
                </c:pt>
                <c:pt idx="341">
                  <c:v>-4.7356365538739204E-2</c:v>
                </c:pt>
                <c:pt idx="342">
                  <c:v>-4.7191132244572956E-2</c:v>
                </c:pt>
                <c:pt idx="343">
                  <c:v>-4.7024060473342927E-2</c:v>
                </c:pt>
                <c:pt idx="344">
                  <c:v>-4.6855156476363846E-2</c:v>
                </c:pt>
                <c:pt idx="345">
                  <c:v>-4.6684426502120124E-2</c:v>
                </c:pt>
                <c:pt idx="346">
                  <c:v>-4.6511876794616956E-2</c:v>
                </c:pt>
                <c:pt idx="347">
                  <c:v>-4.6337513591730883E-2</c:v>
                </c:pt>
                <c:pt idx="348">
                  <c:v>-4.6161343123559621E-2</c:v>
                </c:pt>
                <c:pt idx="349">
                  <c:v>-4.5983371610772102E-2</c:v>
                </c:pt>
                <c:pt idx="350">
                  <c:v>-4.5803605262958708E-2</c:v>
                </c:pt>
                <c:pt idx="351">
                  <c:v>-4.5622050276981949E-2</c:v>
                </c:pt>
                <c:pt idx="352">
                  <c:v>-4.5438712835328111E-2</c:v>
                </c:pt>
                <c:pt idx="353">
                  <c:v>-4.5253599104460362E-2</c:v>
                </c:pt>
                <c:pt idx="354">
                  <c:v>-4.506671523317278E-2</c:v>
                </c:pt>
                <c:pt idx="355">
                  <c:v>-4.4878067350947064E-2</c:v>
                </c:pt>
                <c:pt idx="356">
                  <c:v>-4.46876615663108E-2</c:v>
                </c:pt>
                <c:pt idx="357">
                  <c:v>-4.4495503965198399E-2</c:v>
                </c:pt>
                <c:pt idx="358">
                  <c:v>-4.4301600609315303E-2</c:v>
                </c:pt>
                <c:pt idx="359">
                  <c:v>-4.4105957534504733E-2</c:v>
                </c:pt>
                <c:pt idx="360">
                  <c:v>-4.3908580749118312E-2</c:v>
                </c:pt>
                <c:pt idx="361">
                  <c:v>-4.3709476232390548E-2</c:v>
                </c:pt>
                <c:pt idx="362">
                  <c:v>-4.3508649932817313E-2</c:v>
                </c:pt>
                <c:pt idx="363">
                  <c:v>-4.330610776653878E-2</c:v>
                </c:pt>
                <c:pt idx="364">
                  <c:v>-4.310185561572754E-2</c:v>
                </c:pt>
                <c:pt idx="365">
                  <c:v>-4.2895899326981173E-2</c:v>
                </c:pt>
                <c:pt idx="366">
                  <c:v>-4.2688244709721081E-2</c:v>
                </c:pt>
                <c:pt idx="367">
                  <c:v>-4.2478897534596487E-2</c:v>
                </c:pt>
                <c:pt idx="368">
                  <c:v>-4.2267863531894767E-2</c:v>
                </c:pt>
                <c:pt idx="369">
                  <c:v>-4.205514838995833E-2</c:v>
                </c:pt>
                <c:pt idx="370">
                  <c:v>-4.18407577536083E-2</c:v>
                </c:pt>
                <c:pt idx="371">
                  <c:v>-4.1624697222574697E-2</c:v>
                </c:pt>
                <c:pt idx="372">
                  <c:v>-4.1406972349934887E-2</c:v>
                </c:pt>
                <c:pt idx="373">
                  <c:v>-4.1187588640559297E-2</c:v>
                </c:pt>
                <c:pt idx="374">
                  <c:v>-4.0966551549565029E-2</c:v>
                </c:pt>
                <c:pt idx="375">
                  <c:v>-4.0743866480778296E-2</c:v>
                </c:pt>
                <c:pt idx="376">
                  <c:v>-4.0519538785205138E-2</c:v>
                </c:pt>
                <c:pt idx="377">
                  <c:v>-4.0293573759511453E-2</c:v>
                </c:pt>
                <c:pt idx="378">
                  <c:v>-4.0065976644512294E-2</c:v>
                </c:pt>
                <c:pt idx="379">
                  <c:v>-3.9836752623670507E-2</c:v>
                </c:pt>
                <c:pt idx="380">
                  <c:v>-3.9605906821605842E-2</c:v>
                </c:pt>
                <c:pt idx="381">
                  <c:v>-3.9373444302614094E-2</c:v>
                </c:pt>
                <c:pt idx="382">
                  <c:v>-3.9139370069196593E-2</c:v>
                </c:pt>
                <c:pt idx="383">
                  <c:v>-3.8903689060601106E-2</c:v>
                </c:pt>
                <c:pt idx="384">
                  <c:v>-3.8666406151373602E-2</c:v>
                </c:pt>
                <c:pt idx="385">
                  <c:v>-3.842752614992169E-2</c:v>
                </c:pt>
                <c:pt idx="386">
                  <c:v>-3.8187053797089782E-2</c:v>
                </c:pt>
                <c:pt idx="387">
                  <c:v>-3.7944993764746478E-2</c:v>
                </c:pt>
                <c:pt idx="388">
                  <c:v>-3.7701350654384548E-2</c:v>
                </c:pt>
                <c:pt idx="389">
                  <c:v>-3.7456128995733307E-2</c:v>
                </c:pt>
                <c:pt idx="390">
                  <c:v>-3.7209333245384418E-2</c:v>
                </c:pt>
                <c:pt idx="391">
                  <c:v>-3.696096778543078E-2</c:v>
                </c:pt>
                <c:pt idx="392">
                  <c:v>-3.671103692211939E-2</c:v>
                </c:pt>
                <c:pt idx="393">
                  <c:v>-3.6459544884517726E-2</c:v>
                </c:pt>
                <c:pt idx="394">
                  <c:v>-3.6206495823194837E-2</c:v>
                </c:pt>
                <c:pt idx="395">
                  <c:v>-3.5951893808916599E-2</c:v>
                </c:pt>
                <c:pt idx="396">
                  <c:v>-3.569574283135607E-2</c:v>
                </c:pt>
                <c:pt idx="397">
                  <c:v>-3.5438046797818971E-2</c:v>
                </c:pt>
                <c:pt idx="398">
                  <c:v>-3.5178809531984184E-2</c:v>
                </c:pt>
                <c:pt idx="399">
                  <c:v>-3.4918034772660721E-2</c:v>
                </c:pt>
                <c:pt idx="400">
                  <c:v>-3.4655726172559742E-2</c:v>
                </c:pt>
                <c:pt idx="401">
                  <c:v>-3.4391887297083742E-2</c:v>
                </c:pt>
                <c:pt idx="402">
                  <c:v>-3.4126521623131616E-2</c:v>
                </c:pt>
                <c:pt idx="403">
                  <c:v>-3.3859632537920778E-2</c:v>
                </c:pt>
                <c:pt idx="404">
                  <c:v>-3.3591223337826562E-2</c:v>
                </c:pt>
                <c:pt idx="405">
                  <c:v>-3.3321297227238728E-2</c:v>
                </c:pt>
                <c:pt idx="406">
                  <c:v>-3.304985731743576E-2</c:v>
                </c:pt>
                <c:pt idx="407">
                  <c:v>-3.2776906625476859E-2</c:v>
                </c:pt>
                <c:pt idx="408">
                  <c:v>-3.2502448073112672E-2</c:v>
                </c:pt>
                <c:pt idx="409">
                  <c:v>-3.2226484485713552E-2</c:v>
                </c:pt>
                <c:pt idx="410">
                  <c:v>-3.1949018591217376E-2</c:v>
                </c:pt>
                <c:pt idx="411">
                  <c:v>-3.1670053019095847E-2</c:v>
                </c:pt>
                <c:pt idx="412">
                  <c:v>-3.1389590299340124E-2</c:v>
                </c:pt>
                <c:pt idx="413">
                  <c:v>-3.1107632861465926E-2</c:v>
                </c:pt>
                <c:pt idx="414">
                  <c:v>-3.0824183033538274E-2</c:v>
                </c:pt>
                <c:pt idx="415">
                  <c:v>-3.0539243041216219E-2</c:v>
                </c:pt>
                <c:pt idx="416">
                  <c:v>-3.0252815006817955E-2</c:v>
                </c:pt>
                <c:pt idx="417">
                  <c:v>-2.9964900948405929E-2</c:v>
                </c:pt>
                <c:pt idx="418">
                  <c:v>-2.9675502778893019E-2</c:v>
                </c:pt>
                <c:pt idx="419">
                  <c:v>-2.9384622305169653E-2</c:v>
                </c:pt>
                <c:pt idx="420">
                  <c:v>-2.909226122725149E-2</c:v>
                </c:pt>
                <c:pt idx="421">
                  <c:v>-2.8798421137449289E-2</c:v>
                </c:pt>
                <c:pt idx="422">
                  <c:v>-2.8503103519559689E-2</c:v>
                </c:pt>
                <c:pt idx="423">
                  <c:v>-2.8206309748078265E-2</c:v>
                </c:pt>
                <c:pt idx="424">
                  <c:v>-2.7908041087434124E-2</c:v>
                </c:pt>
                <c:pt idx="425">
                  <c:v>-2.760829869124741E-2</c:v>
                </c:pt>
                <c:pt idx="426">
                  <c:v>-2.7307083601608523E-2</c:v>
                </c:pt>
                <c:pt idx="427">
                  <c:v>-2.7004396748380635E-2</c:v>
                </c:pt>
                <c:pt idx="428">
                  <c:v>-2.6700238948524677E-2</c:v>
                </c:pt>
                <c:pt idx="429">
                  <c:v>-2.6394610905447452E-2</c:v>
                </c:pt>
                <c:pt idx="430">
                  <c:v>-2.6087513208373259E-2</c:v>
                </c:pt>
                <c:pt idx="431">
                  <c:v>-2.5778946331738637E-2</c:v>
                </c:pt>
                <c:pt idx="432">
                  <c:v>-2.5468910634611066E-2</c:v>
                </c:pt>
                <c:pt idx="433">
                  <c:v>-2.5157406360131175E-2</c:v>
                </c:pt>
                <c:pt idx="434">
                  <c:v>-2.4844433634979415E-2</c:v>
                </c:pt>
                <c:pt idx="435">
                  <c:v>-2.4529992468866245E-2</c:v>
                </c:pt>
                <c:pt idx="436">
                  <c:v>-2.4214082754047683E-2</c:v>
                </c:pt>
                <c:pt idx="437">
                  <c:v>-2.3896704264864281E-2</c:v>
                </c:pt>
                <c:pt idx="438">
                  <c:v>-2.3577856657305798E-2</c:v>
                </c:pt>
                <c:pt idx="439">
                  <c:v>-2.3257539468600107E-2</c:v>
                </c:pt>
                <c:pt idx="440">
                  <c:v>-2.2935752116827388E-2</c:v>
                </c:pt>
                <c:pt idx="441">
                  <c:v>-2.2612493900559485E-2</c:v>
                </c:pt>
                <c:pt idx="442">
                  <c:v>-2.2287763998524699E-2</c:v>
                </c:pt>
                <c:pt idx="443">
                  <c:v>-2.1961561469297897E-2</c:v>
                </c:pt>
                <c:pt idx="444">
                  <c:v>-2.1633885251016404E-2</c:v>
                </c:pt>
                <c:pt idx="445">
                  <c:v>-2.1304734161121591E-2</c:v>
                </c:pt>
                <c:pt idx="446">
                  <c:v>-2.097410689612644E-2</c:v>
                </c:pt>
                <c:pt idx="447">
                  <c:v>-2.0642002031409271E-2</c:v>
                </c:pt>
                <c:pt idx="448">
                  <c:v>-2.0308418021033128E-2</c:v>
                </c:pt>
                <c:pt idx="449">
                  <c:v>-1.9973353197592442E-2</c:v>
                </c:pt>
                <c:pt idx="450">
                  <c:v>-1.9636805772085007E-2</c:v>
                </c:pt>
                <c:pt idx="451">
                  <c:v>-1.9298773833811223E-2</c:v>
                </c:pt>
                <c:pt idx="452">
                  <c:v>-1.8959255350299759E-2</c:v>
                </c:pt>
                <c:pt idx="453">
                  <c:v>-1.8618248167260182E-2</c:v>
                </c:pt>
                <c:pt idx="454">
                  <c:v>-1.8275750008561985E-2</c:v>
                </c:pt>
                <c:pt idx="455">
                  <c:v>-1.7931758476240862E-2</c:v>
                </c:pt>
                <c:pt idx="456">
                  <c:v>-1.7586271050532159E-2</c:v>
                </c:pt>
                <c:pt idx="457">
                  <c:v>-1.7239285089931281E-2</c:v>
                </c:pt>
                <c:pt idx="458">
                  <c:v>-1.6890797831281425E-2</c:v>
                </c:pt>
                <c:pt idx="459">
                  <c:v>-1.6540806389888356E-2</c:v>
                </c:pt>
                <c:pt idx="460">
                  <c:v>-1.6189307759663058E-2</c:v>
                </c:pt>
                <c:pt idx="461">
                  <c:v>-1.5836298813291426E-2</c:v>
                </c:pt>
                <c:pt idx="462">
                  <c:v>-1.5481776302431409E-2</c:v>
                </c:pt>
                <c:pt idx="463">
                  <c:v>-1.5125736857938447E-2</c:v>
                </c:pt>
                <c:pt idx="464">
                  <c:v>-1.4768176990117544E-2</c:v>
                </c:pt>
                <c:pt idx="465">
                  <c:v>-1.4409093089003903E-2</c:v>
                </c:pt>
                <c:pt idx="466">
                  <c:v>-1.4048481424670727E-2</c:v>
                </c:pt>
                <c:pt idx="467">
                  <c:v>-1.368633814756528E-2</c:v>
                </c:pt>
                <c:pt idx="468">
                  <c:v>-1.3322659288872309E-2</c:v>
                </c:pt>
                <c:pt idx="469">
                  <c:v>-1.2957440760905712E-2</c:v>
                </c:pt>
                <c:pt idx="470">
                  <c:v>-1.2590678357528091E-2</c:v>
                </c:pt>
                <c:pt idx="471">
                  <c:v>-1.2222367754597731E-2</c:v>
                </c:pt>
                <c:pt idx="472">
                  <c:v>-1.1852504510444416E-2</c:v>
                </c:pt>
                <c:pt idx="473">
                  <c:v>-1.1481084066372403E-2</c:v>
                </c:pt>
                <c:pt idx="474">
                  <c:v>-1.110810174719163E-2</c:v>
                </c:pt>
                <c:pt idx="475">
                  <c:v>-1.073355276177736E-2</c:v>
                </c:pt>
                <c:pt idx="476">
                  <c:v>-1.0357432203656893E-2</c:v>
                </c:pt>
                <c:pt idx="477">
                  <c:v>-9.9797350516252475E-3</c:v>
                </c:pt>
                <c:pt idx="478">
                  <c:v>-9.6004561703882316E-3</c:v>
                </c:pt>
                <c:pt idx="479">
                  <c:v>-9.2195903112335248E-3</c:v>
                </c:pt>
                <c:pt idx="480">
                  <c:v>-8.8371321127300902E-3</c:v>
                </c:pt>
                <c:pt idx="481">
                  <c:v>-8.4530761014550357E-3</c:v>
                </c:pt>
                <c:pt idx="482">
                  <c:v>-8.0674166927487238E-3</c:v>
                </c:pt>
                <c:pt idx="483">
                  <c:v>-7.680148191497713E-3</c:v>
                </c:pt>
                <c:pt idx="484">
                  <c:v>-7.2912647929455473E-3</c:v>
                </c:pt>
                <c:pt idx="485">
                  <c:v>-6.9007605835309741E-3</c:v>
                </c:pt>
                <c:pt idx="486">
                  <c:v>-6.5086295417548555E-3</c:v>
                </c:pt>
                <c:pt idx="487">
                  <c:v>-6.1148655390736223E-3</c:v>
                </c:pt>
                <c:pt idx="488">
                  <c:v>-5.7194623408213545E-3</c:v>
                </c:pt>
                <c:pt idx="489">
                  <c:v>-5.3224136071590858E-3</c:v>
                </c:pt>
                <c:pt idx="490">
                  <c:v>-4.9237128940514477E-3</c:v>
                </c:pt>
                <c:pt idx="491">
                  <c:v>-4.5233536542713072E-3</c:v>
                </c:pt>
                <c:pt idx="492">
                  <c:v>-4.1213292384312391E-3</c:v>
                </c:pt>
                <c:pt idx="493">
                  <c:v>-3.7176328960427957E-3</c:v>
                </c:pt>
                <c:pt idx="494">
                  <c:v>-3.31225777660288E-3</c:v>
                </c:pt>
                <c:pt idx="495">
                  <c:v>-2.9051969307068563E-3</c:v>
                </c:pt>
                <c:pt idx="496">
                  <c:v>-2.4964433111897126E-3</c:v>
                </c:pt>
                <c:pt idx="497">
                  <c:v>-2.085989774293113E-3</c:v>
                </c:pt>
                <c:pt idx="498">
                  <c:v>-1.6738290808599376E-3</c:v>
                </c:pt>
                <c:pt idx="499">
                  <c:v>-1.2599538975556126E-3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93-4240-8F2E-337A63C4D4D2}"/>
            </c:ext>
          </c:extLst>
        </c:ser>
        <c:ser>
          <c:idx val="2"/>
          <c:order val="2"/>
          <c:tx>
            <c:v>Camber Line</c:v>
          </c:tx>
          <c:spPr>
            <a:ln w="31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Data2!$B$1:$B$500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Data2!$R$1:$R$500</c:f>
              <c:numCache>
                <c:formatCode>0.0000</c:formatCode>
                <c:ptCount val="50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  <c:pt idx="50">
                  <c:v>-0.2</c:v>
                </c:pt>
                <c:pt idx="51">
                  <c:v>-0.2</c:v>
                </c:pt>
                <c:pt idx="52">
                  <c:v>-0.2</c:v>
                </c:pt>
                <c:pt idx="53">
                  <c:v>-0.2</c:v>
                </c:pt>
                <c:pt idx="54">
                  <c:v>-0.2</c:v>
                </c:pt>
                <c:pt idx="55">
                  <c:v>-0.2</c:v>
                </c:pt>
                <c:pt idx="56">
                  <c:v>-0.2</c:v>
                </c:pt>
                <c:pt idx="57">
                  <c:v>-0.2</c:v>
                </c:pt>
                <c:pt idx="58">
                  <c:v>-0.2</c:v>
                </c:pt>
                <c:pt idx="59">
                  <c:v>-0.2</c:v>
                </c:pt>
                <c:pt idx="60">
                  <c:v>-0.2</c:v>
                </c:pt>
                <c:pt idx="61">
                  <c:v>-0.2</c:v>
                </c:pt>
                <c:pt idx="62">
                  <c:v>-0.2</c:v>
                </c:pt>
                <c:pt idx="63">
                  <c:v>-0.2</c:v>
                </c:pt>
                <c:pt idx="64">
                  <c:v>-0.2</c:v>
                </c:pt>
                <c:pt idx="65">
                  <c:v>-0.2</c:v>
                </c:pt>
                <c:pt idx="66">
                  <c:v>-0.2</c:v>
                </c:pt>
                <c:pt idx="67">
                  <c:v>-0.2</c:v>
                </c:pt>
                <c:pt idx="68">
                  <c:v>-0.2</c:v>
                </c:pt>
                <c:pt idx="69">
                  <c:v>-0.2</c:v>
                </c:pt>
                <c:pt idx="70">
                  <c:v>-0.2</c:v>
                </c:pt>
                <c:pt idx="71">
                  <c:v>-0.2</c:v>
                </c:pt>
                <c:pt idx="72">
                  <c:v>-0.2</c:v>
                </c:pt>
                <c:pt idx="73">
                  <c:v>-0.2</c:v>
                </c:pt>
                <c:pt idx="74">
                  <c:v>-0.2</c:v>
                </c:pt>
                <c:pt idx="75">
                  <c:v>-0.2</c:v>
                </c:pt>
                <c:pt idx="76">
                  <c:v>-0.2</c:v>
                </c:pt>
                <c:pt idx="77">
                  <c:v>-0.2</c:v>
                </c:pt>
                <c:pt idx="78">
                  <c:v>-0.2</c:v>
                </c:pt>
                <c:pt idx="79">
                  <c:v>-0.2</c:v>
                </c:pt>
                <c:pt idx="80">
                  <c:v>-0.2</c:v>
                </c:pt>
                <c:pt idx="81">
                  <c:v>-0.2</c:v>
                </c:pt>
                <c:pt idx="82">
                  <c:v>-0.2</c:v>
                </c:pt>
                <c:pt idx="83">
                  <c:v>-0.2</c:v>
                </c:pt>
                <c:pt idx="84">
                  <c:v>-0.2</c:v>
                </c:pt>
                <c:pt idx="85">
                  <c:v>-0.2</c:v>
                </c:pt>
                <c:pt idx="86">
                  <c:v>-0.2</c:v>
                </c:pt>
                <c:pt idx="87">
                  <c:v>-0.2</c:v>
                </c:pt>
                <c:pt idx="88">
                  <c:v>-0.2</c:v>
                </c:pt>
                <c:pt idx="89">
                  <c:v>-0.2</c:v>
                </c:pt>
                <c:pt idx="90">
                  <c:v>-0.2</c:v>
                </c:pt>
                <c:pt idx="91">
                  <c:v>-0.2</c:v>
                </c:pt>
                <c:pt idx="92">
                  <c:v>-0.2</c:v>
                </c:pt>
                <c:pt idx="93">
                  <c:v>-0.2</c:v>
                </c:pt>
                <c:pt idx="94">
                  <c:v>-0.2</c:v>
                </c:pt>
                <c:pt idx="95">
                  <c:v>-0.2</c:v>
                </c:pt>
                <c:pt idx="96">
                  <c:v>-0.2</c:v>
                </c:pt>
                <c:pt idx="97">
                  <c:v>-0.2</c:v>
                </c:pt>
                <c:pt idx="98">
                  <c:v>-0.2</c:v>
                </c:pt>
                <c:pt idx="99">
                  <c:v>-0.2</c:v>
                </c:pt>
                <c:pt idx="100">
                  <c:v>-0.2</c:v>
                </c:pt>
                <c:pt idx="101">
                  <c:v>-0.2</c:v>
                </c:pt>
                <c:pt idx="102">
                  <c:v>-0.2</c:v>
                </c:pt>
                <c:pt idx="103">
                  <c:v>-0.2</c:v>
                </c:pt>
                <c:pt idx="104">
                  <c:v>-0.2</c:v>
                </c:pt>
                <c:pt idx="105">
                  <c:v>-0.2</c:v>
                </c:pt>
                <c:pt idx="106">
                  <c:v>-0.2</c:v>
                </c:pt>
                <c:pt idx="107">
                  <c:v>-0.2</c:v>
                </c:pt>
                <c:pt idx="108">
                  <c:v>-0.2</c:v>
                </c:pt>
                <c:pt idx="109">
                  <c:v>-0.2</c:v>
                </c:pt>
                <c:pt idx="110">
                  <c:v>-0.2</c:v>
                </c:pt>
                <c:pt idx="111">
                  <c:v>-0.2</c:v>
                </c:pt>
                <c:pt idx="112">
                  <c:v>-0.2</c:v>
                </c:pt>
                <c:pt idx="113">
                  <c:v>-0.2</c:v>
                </c:pt>
                <c:pt idx="114">
                  <c:v>-0.2</c:v>
                </c:pt>
                <c:pt idx="115">
                  <c:v>-0.2</c:v>
                </c:pt>
                <c:pt idx="116">
                  <c:v>-0.2</c:v>
                </c:pt>
                <c:pt idx="117">
                  <c:v>-0.2</c:v>
                </c:pt>
                <c:pt idx="118">
                  <c:v>-0.2</c:v>
                </c:pt>
                <c:pt idx="119">
                  <c:v>-0.2</c:v>
                </c:pt>
                <c:pt idx="120">
                  <c:v>-0.2</c:v>
                </c:pt>
                <c:pt idx="121">
                  <c:v>-0.2</c:v>
                </c:pt>
                <c:pt idx="122">
                  <c:v>-0.2</c:v>
                </c:pt>
                <c:pt idx="123">
                  <c:v>-0.2</c:v>
                </c:pt>
                <c:pt idx="124">
                  <c:v>-0.2</c:v>
                </c:pt>
                <c:pt idx="125">
                  <c:v>-0.2</c:v>
                </c:pt>
                <c:pt idx="126">
                  <c:v>-0.2</c:v>
                </c:pt>
                <c:pt idx="127">
                  <c:v>-0.2</c:v>
                </c:pt>
                <c:pt idx="128">
                  <c:v>-0.2</c:v>
                </c:pt>
                <c:pt idx="129">
                  <c:v>-0.2</c:v>
                </c:pt>
                <c:pt idx="130">
                  <c:v>-0.2</c:v>
                </c:pt>
                <c:pt idx="131">
                  <c:v>-0.2</c:v>
                </c:pt>
                <c:pt idx="132">
                  <c:v>-0.2</c:v>
                </c:pt>
                <c:pt idx="133">
                  <c:v>-0.2</c:v>
                </c:pt>
                <c:pt idx="134">
                  <c:v>-0.2</c:v>
                </c:pt>
                <c:pt idx="135">
                  <c:v>-0.2</c:v>
                </c:pt>
                <c:pt idx="136">
                  <c:v>-0.2</c:v>
                </c:pt>
                <c:pt idx="137">
                  <c:v>-0.2</c:v>
                </c:pt>
                <c:pt idx="138">
                  <c:v>-0.2</c:v>
                </c:pt>
                <c:pt idx="139">
                  <c:v>-0.2</c:v>
                </c:pt>
                <c:pt idx="140">
                  <c:v>-0.2</c:v>
                </c:pt>
                <c:pt idx="141">
                  <c:v>-0.2</c:v>
                </c:pt>
                <c:pt idx="142">
                  <c:v>-0.2</c:v>
                </c:pt>
                <c:pt idx="143">
                  <c:v>-0.2</c:v>
                </c:pt>
                <c:pt idx="144">
                  <c:v>-0.2</c:v>
                </c:pt>
                <c:pt idx="145">
                  <c:v>-0.2</c:v>
                </c:pt>
                <c:pt idx="146">
                  <c:v>-0.2</c:v>
                </c:pt>
                <c:pt idx="147">
                  <c:v>-0.2</c:v>
                </c:pt>
                <c:pt idx="148">
                  <c:v>-0.2</c:v>
                </c:pt>
                <c:pt idx="149">
                  <c:v>-0.2</c:v>
                </c:pt>
                <c:pt idx="150">
                  <c:v>-0.2</c:v>
                </c:pt>
                <c:pt idx="151">
                  <c:v>-0.2</c:v>
                </c:pt>
                <c:pt idx="152">
                  <c:v>-0.2</c:v>
                </c:pt>
                <c:pt idx="153">
                  <c:v>-0.2</c:v>
                </c:pt>
                <c:pt idx="154">
                  <c:v>-0.2</c:v>
                </c:pt>
                <c:pt idx="155">
                  <c:v>-0.2</c:v>
                </c:pt>
                <c:pt idx="156">
                  <c:v>-0.2</c:v>
                </c:pt>
                <c:pt idx="157">
                  <c:v>-0.2</c:v>
                </c:pt>
                <c:pt idx="158">
                  <c:v>-0.2</c:v>
                </c:pt>
                <c:pt idx="159">
                  <c:v>-0.2</c:v>
                </c:pt>
                <c:pt idx="160">
                  <c:v>-0.2</c:v>
                </c:pt>
                <c:pt idx="161">
                  <c:v>-0.2</c:v>
                </c:pt>
                <c:pt idx="162">
                  <c:v>-0.2</c:v>
                </c:pt>
                <c:pt idx="163">
                  <c:v>-0.2</c:v>
                </c:pt>
                <c:pt idx="164">
                  <c:v>-0.2</c:v>
                </c:pt>
                <c:pt idx="165">
                  <c:v>-0.2</c:v>
                </c:pt>
                <c:pt idx="166">
                  <c:v>-0.2</c:v>
                </c:pt>
                <c:pt idx="167">
                  <c:v>-0.2</c:v>
                </c:pt>
                <c:pt idx="168">
                  <c:v>-0.2</c:v>
                </c:pt>
                <c:pt idx="169">
                  <c:v>-0.2</c:v>
                </c:pt>
                <c:pt idx="170">
                  <c:v>-0.2</c:v>
                </c:pt>
                <c:pt idx="171">
                  <c:v>-0.2</c:v>
                </c:pt>
                <c:pt idx="172">
                  <c:v>-0.2</c:v>
                </c:pt>
                <c:pt idx="173">
                  <c:v>-0.2</c:v>
                </c:pt>
                <c:pt idx="174">
                  <c:v>-0.2</c:v>
                </c:pt>
                <c:pt idx="175">
                  <c:v>-0.2</c:v>
                </c:pt>
                <c:pt idx="176">
                  <c:v>-0.2</c:v>
                </c:pt>
                <c:pt idx="177">
                  <c:v>-0.2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-0.2</c:v>
                </c:pt>
                <c:pt idx="183">
                  <c:v>-0.2</c:v>
                </c:pt>
                <c:pt idx="184">
                  <c:v>-0.2</c:v>
                </c:pt>
                <c:pt idx="185">
                  <c:v>-0.2</c:v>
                </c:pt>
                <c:pt idx="186">
                  <c:v>-0.2</c:v>
                </c:pt>
                <c:pt idx="187">
                  <c:v>-0.2</c:v>
                </c:pt>
                <c:pt idx="188">
                  <c:v>-0.2</c:v>
                </c:pt>
                <c:pt idx="189">
                  <c:v>-0.2</c:v>
                </c:pt>
                <c:pt idx="190">
                  <c:v>-0.2</c:v>
                </c:pt>
                <c:pt idx="191">
                  <c:v>-0.2</c:v>
                </c:pt>
                <c:pt idx="192">
                  <c:v>-0.2</c:v>
                </c:pt>
                <c:pt idx="193">
                  <c:v>-0.2</c:v>
                </c:pt>
                <c:pt idx="194">
                  <c:v>-0.2</c:v>
                </c:pt>
                <c:pt idx="195">
                  <c:v>-0.2</c:v>
                </c:pt>
                <c:pt idx="196">
                  <c:v>-0.2</c:v>
                </c:pt>
                <c:pt idx="197">
                  <c:v>-0.2</c:v>
                </c:pt>
                <c:pt idx="198">
                  <c:v>-0.2</c:v>
                </c:pt>
                <c:pt idx="199">
                  <c:v>-0.2</c:v>
                </c:pt>
                <c:pt idx="200">
                  <c:v>-0.2</c:v>
                </c:pt>
                <c:pt idx="201">
                  <c:v>-0.2</c:v>
                </c:pt>
                <c:pt idx="202">
                  <c:v>-0.2</c:v>
                </c:pt>
                <c:pt idx="203">
                  <c:v>-0.2</c:v>
                </c:pt>
                <c:pt idx="204">
                  <c:v>-0.2</c:v>
                </c:pt>
                <c:pt idx="205">
                  <c:v>-0.2</c:v>
                </c:pt>
                <c:pt idx="206">
                  <c:v>-0.2</c:v>
                </c:pt>
                <c:pt idx="207">
                  <c:v>-0.2</c:v>
                </c:pt>
                <c:pt idx="208">
                  <c:v>-0.2</c:v>
                </c:pt>
                <c:pt idx="209">
                  <c:v>-0.2</c:v>
                </c:pt>
                <c:pt idx="210">
                  <c:v>-0.2</c:v>
                </c:pt>
                <c:pt idx="211">
                  <c:v>-0.2</c:v>
                </c:pt>
                <c:pt idx="212">
                  <c:v>-0.2</c:v>
                </c:pt>
                <c:pt idx="213">
                  <c:v>-0.2</c:v>
                </c:pt>
                <c:pt idx="214">
                  <c:v>-0.2</c:v>
                </c:pt>
                <c:pt idx="215">
                  <c:v>-0.2</c:v>
                </c:pt>
                <c:pt idx="216">
                  <c:v>-0.2</c:v>
                </c:pt>
                <c:pt idx="217">
                  <c:v>-0.2</c:v>
                </c:pt>
                <c:pt idx="218">
                  <c:v>-0.2</c:v>
                </c:pt>
                <c:pt idx="219">
                  <c:v>-0.2</c:v>
                </c:pt>
                <c:pt idx="220">
                  <c:v>-0.2</c:v>
                </c:pt>
                <c:pt idx="221">
                  <c:v>-0.2</c:v>
                </c:pt>
                <c:pt idx="222">
                  <c:v>-0.2</c:v>
                </c:pt>
                <c:pt idx="223">
                  <c:v>-0.2</c:v>
                </c:pt>
                <c:pt idx="224">
                  <c:v>-0.2</c:v>
                </c:pt>
                <c:pt idx="225">
                  <c:v>-0.2</c:v>
                </c:pt>
                <c:pt idx="226">
                  <c:v>-0.2</c:v>
                </c:pt>
                <c:pt idx="227">
                  <c:v>-0.2</c:v>
                </c:pt>
                <c:pt idx="228">
                  <c:v>-0.2</c:v>
                </c:pt>
                <c:pt idx="229">
                  <c:v>-0.2</c:v>
                </c:pt>
                <c:pt idx="230">
                  <c:v>-0.2</c:v>
                </c:pt>
                <c:pt idx="231">
                  <c:v>-0.2</c:v>
                </c:pt>
                <c:pt idx="232">
                  <c:v>-0.2</c:v>
                </c:pt>
                <c:pt idx="233">
                  <c:v>-0.2</c:v>
                </c:pt>
                <c:pt idx="234">
                  <c:v>-0.2</c:v>
                </c:pt>
                <c:pt idx="235">
                  <c:v>-0.2</c:v>
                </c:pt>
                <c:pt idx="236">
                  <c:v>-0.2</c:v>
                </c:pt>
                <c:pt idx="237">
                  <c:v>-0.2</c:v>
                </c:pt>
                <c:pt idx="238">
                  <c:v>-0.2</c:v>
                </c:pt>
                <c:pt idx="239">
                  <c:v>-0.2</c:v>
                </c:pt>
                <c:pt idx="240">
                  <c:v>-0.2</c:v>
                </c:pt>
                <c:pt idx="241">
                  <c:v>-0.2</c:v>
                </c:pt>
                <c:pt idx="242">
                  <c:v>-0.2</c:v>
                </c:pt>
                <c:pt idx="243">
                  <c:v>-0.2</c:v>
                </c:pt>
                <c:pt idx="244">
                  <c:v>-0.2</c:v>
                </c:pt>
                <c:pt idx="245">
                  <c:v>-0.2</c:v>
                </c:pt>
                <c:pt idx="246">
                  <c:v>-0.2</c:v>
                </c:pt>
                <c:pt idx="247">
                  <c:v>-0.2</c:v>
                </c:pt>
                <c:pt idx="248">
                  <c:v>-0.2</c:v>
                </c:pt>
                <c:pt idx="249">
                  <c:v>-0.2</c:v>
                </c:pt>
                <c:pt idx="250">
                  <c:v>-0.2</c:v>
                </c:pt>
                <c:pt idx="251">
                  <c:v>-0.2</c:v>
                </c:pt>
                <c:pt idx="252">
                  <c:v>-0.2</c:v>
                </c:pt>
                <c:pt idx="253">
                  <c:v>-0.2</c:v>
                </c:pt>
                <c:pt idx="254">
                  <c:v>-0.2</c:v>
                </c:pt>
                <c:pt idx="255">
                  <c:v>-0.2</c:v>
                </c:pt>
                <c:pt idx="256">
                  <c:v>-0.2</c:v>
                </c:pt>
                <c:pt idx="257">
                  <c:v>-0.2</c:v>
                </c:pt>
                <c:pt idx="258">
                  <c:v>-0.2</c:v>
                </c:pt>
                <c:pt idx="259">
                  <c:v>-0.2</c:v>
                </c:pt>
                <c:pt idx="260">
                  <c:v>-0.2</c:v>
                </c:pt>
                <c:pt idx="261">
                  <c:v>-0.2</c:v>
                </c:pt>
                <c:pt idx="262">
                  <c:v>-0.2</c:v>
                </c:pt>
                <c:pt idx="263">
                  <c:v>-0.2</c:v>
                </c:pt>
                <c:pt idx="264">
                  <c:v>-0.2</c:v>
                </c:pt>
                <c:pt idx="265">
                  <c:v>-0.2</c:v>
                </c:pt>
                <c:pt idx="266">
                  <c:v>-0.2</c:v>
                </c:pt>
                <c:pt idx="267">
                  <c:v>-0.2</c:v>
                </c:pt>
                <c:pt idx="268">
                  <c:v>-0.2</c:v>
                </c:pt>
                <c:pt idx="269">
                  <c:v>-0.2</c:v>
                </c:pt>
                <c:pt idx="270">
                  <c:v>-0.2</c:v>
                </c:pt>
                <c:pt idx="271">
                  <c:v>-0.2</c:v>
                </c:pt>
                <c:pt idx="272">
                  <c:v>-0.2</c:v>
                </c:pt>
                <c:pt idx="273">
                  <c:v>-0.2</c:v>
                </c:pt>
                <c:pt idx="274">
                  <c:v>-0.2</c:v>
                </c:pt>
                <c:pt idx="275">
                  <c:v>-0.2</c:v>
                </c:pt>
                <c:pt idx="276">
                  <c:v>-0.2</c:v>
                </c:pt>
                <c:pt idx="277">
                  <c:v>-0.2</c:v>
                </c:pt>
                <c:pt idx="278">
                  <c:v>-0.2</c:v>
                </c:pt>
                <c:pt idx="279">
                  <c:v>-0.2</c:v>
                </c:pt>
                <c:pt idx="280">
                  <c:v>-0.2</c:v>
                </c:pt>
                <c:pt idx="281">
                  <c:v>-0.2</c:v>
                </c:pt>
                <c:pt idx="282">
                  <c:v>-0.2</c:v>
                </c:pt>
                <c:pt idx="283">
                  <c:v>-0.2</c:v>
                </c:pt>
                <c:pt idx="284">
                  <c:v>-0.2</c:v>
                </c:pt>
                <c:pt idx="285">
                  <c:v>-0.2</c:v>
                </c:pt>
                <c:pt idx="286">
                  <c:v>-0.2</c:v>
                </c:pt>
                <c:pt idx="287">
                  <c:v>-0.2</c:v>
                </c:pt>
                <c:pt idx="288">
                  <c:v>-0.2</c:v>
                </c:pt>
                <c:pt idx="289">
                  <c:v>-0.2</c:v>
                </c:pt>
                <c:pt idx="290">
                  <c:v>-0.2</c:v>
                </c:pt>
                <c:pt idx="291">
                  <c:v>-0.2</c:v>
                </c:pt>
                <c:pt idx="292">
                  <c:v>-0.2</c:v>
                </c:pt>
                <c:pt idx="293">
                  <c:v>-0.2</c:v>
                </c:pt>
                <c:pt idx="294">
                  <c:v>-0.2</c:v>
                </c:pt>
                <c:pt idx="295">
                  <c:v>-0.2</c:v>
                </c:pt>
                <c:pt idx="296">
                  <c:v>-0.2</c:v>
                </c:pt>
                <c:pt idx="297">
                  <c:v>-0.2</c:v>
                </c:pt>
                <c:pt idx="298">
                  <c:v>-0.2</c:v>
                </c:pt>
                <c:pt idx="299">
                  <c:v>-0.2</c:v>
                </c:pt>
                <c:pt idx="300">
                  <c:v>-0.2</c:v>
                </c:pt>
                <c:pt idx="301">
                  <c:v>-0.2</c:v>
                </c:pt>
                <c:pt idx="302">
                  <c:v>-0.2</c:v>
                </c:pt>
                <c:pt idx="303">
                  <c:v>-0.2</c:v>
                </c:pt>
                <c:pt idx="304">
                  <c:v>-0.2</c:v>
                </c:pt>
                <c:pt idx="305">
                  <c:v>-0.2</c:v>
                </c:pt>
                <c:pt idx="306">
                  <c:v>-0.2</c:v>
                </c:pt>
                <c:pt idx="307">
                  <c:v>-0.2</c:v>
                </c:pt>
                <c:pt idx="308">
                  <c:v>-0.2</c:v>
                </c:pt>
                <c:pt idx="309">
                  <c:v>-0.2</c:v>
                </c:pt>
                <c:pt idx="310">
                  <c:v>-0.2</c:v>
                </c:pt>
                <c:pt idx="311">
                  <c:v>-0.2</c:v>
                </c:pt>
                <c:pt idx="312">
                  <c:v>-0.2</c:v>
                </c:pt>
                <c:pt idx="313">
                  <c:v>-0.2</c:v>
                </c:pt>
                <c:pt idx="314">
                  <c:v>-0.2</c:v>
                </c:pt>
                <c:pt idx="315">
                  <c:v>-0.2</c:v>
                </c:pt>
                <c:pt idx="316">
                  <c:v>-0.2</c:v>
                </c:pt>
                <c:pt idx="317">
                  <c:v>-0.2</c:v>
                </c:pt>
                <c:pt idx="318">
                  <c:v>-0.2</c:v>
                </c:pt>
                <c:pt idx="319">
                  <c:v>-0.2</c:v>
                </c:pt>
                <c:pt idx="320">
                  <c:v>-0.2</c:v>
                </c:pt>
                <c:pt idx="321">
                  <c:v>-0.2</c:v>
                </c:pt>
                <c:pt idx="322">
                  <c:v>-0.2</c:v>
                </c:pt>
                <c:pt idx="323">
                  <c:v>-0.2</c:v>
                </c:pt>
                <c:pt idx="324">
                  <c:v>-0.2</c:v>
                </c:pt>
                <c:pt idx="325">
                  <c:v>-0.2</c:v>
                </c:pt>
                <c:pt idx="326">
                  <c:v>-0.2</c:v>
                </c:pt>
                <c:pt idx="327">
                  <c:v>-0.2</c:v>
                </c:pt>
                <c:pt idx="328">
                  <c:v>-0.2</c:v>
                </c:pt>
                <c:pt idx="329">
                  <c:v>-0.2</c:v>
                </c:pt>
                <c:pt idx="330">
                  <c:v>-0.2</c:v>
                </c:pt>
                <c:pt idx="331">
                  <c:v>-0.2</c:v>
                </c:pt>
                <c:pt idx="332">
                  <c:v>-0.2</c:v>
                </c:pt>
                <c:pt idx="333">
                  <c:v>-0.2</c:v>
                </c:pt>
                <c:pt idx="334">
                  <c:v>-0.2</c:v>
                </c:pt>
                <c:pt idx="335">
                  <c:v>-0.2</c:v>
                </c:pt>
                <c:pt idx="336">
                  <c:v>-0.2</c:v>
                </c:pt>
                <c:pt idx="337">
                  <c:v>-0.2</c:v>
                </c:pt>
                <c:pt idx="338">
                  <c:v>-0.2</c:v>
                </c:pt>
                <c:pt idx="339">
                  <c:v>-0.2</c:v>
                </c:pt>
                <c:pt idx="340">
                  <c:v>-0.2</c:v>
                </c:pt>
                <c:pt idx="341">
                  <c:v>-0.2</c:v>
                </c:pt>
                <c:pt idx="342">
                  <c:v>-0.2</c:v>
                </c:pt>
                <c:pt idx="343">
                  <c:v>-0.2</c:v>
                </c:pt>
                <c:pt idx="344">
                  <c:v>-0.2</c:v>
                </c:pt>
                <c:pt idx="345">
                  <c:v>-0.2</c:v>
                </c:pt>
                <c:pt idx="346">
                  <c:v>-0.2</c:v>
                </c:pt>
                <c:pt idx="347">
                  <c:v>-0.2</c:v>
                </c:pt>
                <c:pt idx="348">
                  <c:v>-0.2</c:v>
                </c:pt>
                <c:pt idx="349">
                  <c:v>-0.2</c:v>
                </c:pt>
                <c:pt idx="350">
                  <c:v>-0.2</c:v>
                </c:pt>
                <c:pt idx="351">
                  <c:v>-0.2</c:v>
                </c:pt>
                <c:pt idx="352">
                  <c:v>-0.2</c:v>
                </c:pt>
                <c:pt idx="353">
                  <c:v>-0.2</c:v>
                </c:pt>
                <c:pt idx="354">
                  <c:v>-0.2</c:v>
                </c:pt>
                <c:pt idx="355">
                  <c:v>-0.2</c:v>
                </c:pt>
                <c:pt idx="356">
                  <c:v>-0.2</c:v>
                </c:pt>
                <c:pt idx="357">
                  <c:v>-0.2</c:v>
                </c:pt>
                <c:pt idx="358">
                  <c:v>-0.2</c:v>
                </c:pt>
                <c:pt idx="359">
                  <c:v>-0.2</c:v>
                </c:pt>
                <c:pt idx="360">
                  <c:v>-0.2</c:v>
                </c:pt>
                <c:pt idx="361">
                  <c:v>-0.2</c:v>
                </c:pt>
                <c:pt idx="362">
                  <c:v>-0.2</c:v>
                </c:pt>
                <c:pt idx="363">
                  <c:v>-0.2</c:v>
                </c:pt>
                <c:pt idx="364">
                  <c:v>-0.2</c:v>
                </c:pt>
                <c:pt idx="365">
                  <c:v>-0.2</c:v>
                </c:pt>
                <c:pt idx="366">
                  <c:v>-0.2</c:v>
                </c:pt>
                <c:pt idx="367">
                  <c:v>-0.2</c:v>
                </c:pt>
                <c:pt idx="368">
                  <c:v>-0.2</c:v>
                </c:pt>
                <c:pt idx="369">
                  <c:v>-0.2</c:v>
                </c:pt>
                <c:pt idx="370">
                  <c:v>-0.2</c:v>
                </c:pt>
                <c:pt idx="371">
                  <c:v>-0.2</c:v>
                </c:pt>
                <c:pt idx="372">
                  <c:v>-0.2</c:v>
                </c:pt>
                <c:pt idx="373">
                  <c:v>-0.2</c:v>
                </c:pt>
                <c:pt idx="374">
                  <c:v>-0.2</c:v>
                </c:pt>
                <c:pt idx="375">
                  <c:v>-0.2</c:v>
                </c:pt>
                <c:pt idx="376">
                  <c:v>-0.2</c:v>
                </c:pt>
                <c:pt idx="377">
                  <c:v>-0.2</c:v>
                </c:pt>
                <c:pt idx="378">
                  <c:v>-0.2</c:v>
                </c:pt>
                <c:pt idx="379">
                  <c:v>-0.2</c:v>
                </c:pt>
                <c:pt idx="380">
                  <c:v>-0.2</c:v>
                </c:pt>
                <c:pt idx="381">
                  <c:v>-0.2</c:v>
                </c:pt>
                <c:pt idx="382">
                  <c:v>-0.2</c:v>
                </c:pt>
                <c:pt idx="383">
                  <c:v>-0.2</c:v>
                </c:pt>
                <c:pt idx="384">
                  <c:v>-0.2</c:v>
                </c:pt>
                <c:pt idx="385">
                  <c:v>-0.2</c:v>
                </c:pt>
                <c:pt idx="386">
                  <c:v>-0.2</c:v>
                </c:pt>
                <c:pt idx="387">
                  <c:v>-0.2</c:v>
                </c:pt>
                <c:pt idx="388">
                  <c:v>-0.2</c:v>
                </c:pt>
                <c:pt idx="389">
                  <c:v>-0.2</c:v>
                </c:pt>
                <c:pt idx="390">
                  <c:v>-0.2</c:v>
                </c:pt>
                <c:pt idx="391">
                  <c:v>-0.2</c:v>
                </c:pt>
                <c:pt idx="392">
                  <c:v>-0.2</c:v>
                </c:pt>
                <c:pt idx="393">
                  <c:v>-0.2</c:v>
                </c:pt>
                <c:pt idx="394">
                  <c:v>-0.2</c:v>
                </c:pt>
                <c:pt idx="395">
                  <c:v>-0.2</c:v>
                </c:pt>
                <c:pt idx="396">
                  <c:v>-0.2</c:v>
                </c:pt>
                <c:pt idx="397">
                  <c:v>-0.2</c:v>
                </c:pt>
                <c:pt idx="398">
                  <c:v>-0.2</c:v>
                </c:pt>
                <c:pt idx="399">
                  <c:v>-0.2</c:v>
                </c:pt>
                <c:pt idx="400">
                  <c:v>-0.2</c:v>
                </c:pt>
                <c:pt idx="401">
                  <c:v>-0.2</c:v>
                </c:pt>
                <c:pt idx="402">
                  <c:v>-0.2</c:v>
                </c:pt>
                <c:pt idx="403">
                  <c:v>-0.2</c:v>
                </c:pt>
                <c:pt idx="404">
                  <c:v>-0.2</c:v>
                </c:pt>
                <c:pt idx="405">
                  <c:v>-0.2</c:v>
                </c:pt>
                <c:pt idx="406">
                  <c:v>-0.2</c:v>
                </c:pt>
                <c:pt idx="407">
                  <c:v>-0.2</c:v>
                </c:pt>
                <c:pt idx="408">
                  <c:v>-0.2</c:v>
                </c:pt>
                <c:pt idx="409">
                  <c:v>-0.2</c:v>
                </c:pt>
                <c:pt idx="410">
                  <c:v>-0.2</c:v>
                </c:pt>
                <c:pt idx="411">
                  <c:v>-0.2</c:v>
                </c:pt>
                <c:pt idx="412">
                  <c:v>-0.2</c:v>
                </c:pt>
                <c:pt idx="413">
                  <c:v>-0.2</c:v>
                </c:pt>
                <c:pt idx="414">
                  <c:v>-0.2</c:v>
                </c:pt>
                <c:pt idx="415">
                  <c:v>-0.2</c:v>
                </c:pt>
                <c:pt idx="416">
                  <c:v>-0.2</c:v>
                </c:pt>
                <c:pt idx="417">
                  <c:v>-0.2</c:v>
                </c:pt>
                <c:pt idx="418">
                  <c:v>-0.2</c:v>
                </c:pt>
                <c:pt idx="419">
                  <c:v>-0.2</c:v>
                </c:pt>
                <c:pt idx="420">
                  <c:v>-0.2</c:v>
                </c:pt>
                <c:pt idx="421">
                  <c:v>-0.2</c:v>
                </c:pt>
                <c:pt idx="422">
                  <c:v>-0.2</c:v>
                </c:pt>
                <c:pt idx="423">
                  <c:v>-0.2</c:v>
                </c:pt>
                <c:pt idx="424">
                  <c:v>-0.2</c:v>
                </c:pt>
                <c:pt idx="425">
                  <c:v>-0.2</c:v>
                </c:pt>
                <c:pt idx="426">
                  <c:v>-0.2</c:v>
                </c:pt>
                <c:pt idx="427">
                  <c:v>-0.2</c:v>
                </c:pt>
                <c:pt idx="428">
                  <c:v>-0.2</c:v>
                </c:pt>
                <c:pt idx="429">
                  <c:v>-0.2</c:v>
                </c:pt>
                <c:pt idx="430">
                  <c:v>-0.2</c:v>
                </c:pt>
                <c:pt idx="431">
                  <c:v>-0.2</c:v>
                </c:pt>
                <c:pt idx="432">
                  <c:v>-0.2</c:v>
                </c:pt>
                <c:pt idx="433">
                  <c:v>-0.2</c:v>
                </c:pt>
                <c:pt idx="434">
                  <c:v>-0.2</c:v>
                </c:pt>
                <c:pt idx="435">
                  <c:v>-0.2</c:v>
                </c:pt>
                <c:pt idx="436">
                  <c:v>-0.2</c:v>
                </c:pt>
                <c:pt idx="437">
                  <c:v>-0.2</c:v>
                </c:pt>
                <c:pt idx="438">
                  <c:v>-0.2</c:v>
                </c:pt>
                <c:pt idx="439">
                  <c:v>-0.2</c:v>
                </c:pt>
                <c:pt idx="440">
                  <c:v>-0.2</c:v>
                </c:pt>
                <c:pt idx="441">
                  <c:v>-0.2</c:v>
                </c:pt>
                <c:pt idx="442">
                  <c:v>-0.2</c:v>
                </c:pt>
                <c:pt idx="443">
                  <c:v>-0.2</c:v>
                </c:pt>
                <c:pt idx="444">
                  <c:v>-0.2</c:v>
                </c:pt>
                <c:pt idx="445">
                  <c:v>-0.2</c:v>
                </c:pt>
                <c:pt idx="446">
                  <c:v>-0.2</c:v>
                </c:pt>
                <c:pt idx="447">
                  <c:v>-0.2</c:v>
                </c:pt>
                <c:pt idx="448">
                  <c:v>-0.2</c:v>
                </c:pt>
                <c:pt idx="449">
                  <c:v>-0.2</c:v>
                </c:pt>
                <c:pt idx="450">
                  <c:v>-0.2</c:v>
                </c:pt>
                <c:pt idx="451">
                  <c:v>-0.2</c:v>
                </c:pt>
                <c:pt idx="452">
                  <c:v>-0.2</c:v>
                </c:pt>
                <c:pt idx="453">
                  <c:v>-0.2</c:v>
                </c:pt>
                <c:pt idx="454">
                  <c:v>-0.2</c:v>
                </c:pt>
                <c:pt idx="455">
                  <c:v>-0.2</c:v>
                </c:pt>
                <c:pt idx="456">
                  <c:v>-0.2</c:v>
                </c:pt>
                <c:pt idx="457">
                  <c:v>-0.2</c:v>
                </c:pt>
                <c:pt idx="458">
                  <c:v>-0.2</c:v>
                </c:pt>
                <c:pt idx="459">
                  <c:v>-0.2</c:v>
                </c:pt>
                <c:pt idx="460">
                  <c:v>-0.2</c:v>
                </c:pt>
                <c:pt idx="461">
                  <c:v>-0.2</c:v>
                </c:pt>
                <c:pt idx="462">
                  <c:v>-0.2</c:v>
                </c:pt>
                <c:pt idx="463">
                  <c:v>-0.2</c:v>
                </c:pt>
                <c:pt idx="464">
                  <c:v>-0.2</c:v>
                </c:pt>
                <c:pt idx="465">
                  <c:v>-0.2</c:v>
                </c:pt>
                <c:pt idx="466">
                  <c:v>-0.2</c:v>
                </c:pt>
                <c:pt idx="467">
                  <c:v>-0.2</c:v>
                </c:pt>
                <c:pt idx="468">
                  <c:v>-0.2</c:v>
                </c:pt>
                <c:pt idx="469">
                  <c:v>-0.2</c:v>
                </c:pt>
                <c:pt idx="470">
                  <c:v>-0.2</c:v>
                </c:pt>
                <c:pt idx="471">
                  <c:v>-0.2</c:v>
                </c:pt>
                <c:pt idx="472">
                  <c:v>-0.2</c:v>
                </c:pt>
                <c:pt idx="473">
                  <c:v>-0.2</c:v>
                </c:pt>
                <c:pt idx="474">
                  <c:v>-0.2</c:v>
                </c:pt>
                <c:pt idx="475">
                  <c:v>-0.2</c:v>
                </c:pt>
                <c:pt idx="476">
                  <c:v>-0.2</c:v>
                </c:pt>
                <c:pt idx="477">
                  <c:v>-0.2</c:v>
                </c:pt>
                <c:pt idx="478">
                  <c:v>-0.2</c:v>
                </c:pt>
                <c:pt idx="479">
                  <c:v>-0.2</c:v>
                </c:pt>
                <c:pt idx="480">
                  <c:v>-0.2</c:v>
                </c:pt>
                <c:pt idx="481">
                  <c:v>-0.2</c:v>
                </c:pt>
                <c:pt idx="482">
                  <c:v>-0.2</c:v>
                </c:pt>
                <c:pt idx="483">
                  <c:v>-0.2</c:v>
                </c:pt>
                <c:pt idx="484">
                  <c:v>-0.2</c:v>
                </c:pt>
                <c:pt idx="485">
                  <c:v>-0.2</c:v>
                </c:pt>
                <c:pt idx="486">
                  <c:v>-0.2</c:v>
                </c:pt>
                <c:pt idx="487">
                  <c:v>-0.2</c:v>
                </c:pt>
                <c:pt idx="488">
                  <c:v>-0.2</c:v>
                </c:pt>
                <c:pt idx="489">
                  <c:v>-0.2</c:v>
                </c:pt>
                <c:pt idx="490">
                  <c:v>-0.2</c:v>
                </c:pt>
                <c:pt idx="491">
                  <c:v>-0.2</c:v>
                </c:pt>
                <c:pt idx="492">
                  <c:v>-0.2</c:v>
                </c:pt>
                <c:pt idx="493">
                  <c:v>-0.2</c:v>
                </c:pt>
                <c:pt idx="494">
                  <c:v>-0.2</c:v>
                </c:pt>
                <c:pt idx="495">
                  <c:v>-0.2</c:v>
                </c:pt>
                <c:pt idx="496">
                  <c:v>-0.2</c:v>
                </c:pt>
                <c:pt idx="497">
                  <c:v>-0.2</c:v>
                </c:pt>
                <c:pt idx="498">
                  <c:v>-0.2</c:v>
                </c:pt>
                <c:pt idx="49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93-4240-8F2E-337A63C4D4D2}"/>
            </c:ext>
          </c:extLst>
        </c:ser>
        <c:ser>
          <c:idx val="3"/>
          <c:order val="3"/>
          <c:tx>
            <c:v>Chord line</c:v>
          </c:tx>
          <c:spPr>
            <a:ln w="31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Data2!$B$1:$B$500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Data2!$S$1:$S$500</c:f>
              <c:numCache>
                <c:formatCode>General</c:formatCode>
                <c:ptCount val="5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0B-4FA6-AB39-77FC436D5962}"/>
            </c:ext>
          </c:extLst>
        </c:ser>
        <c:ser>
          <c:idx val="4"/>
          <c:order val="4"/>
          <c:tx>
            <c:v>Leading-edge Radius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Data2!$W$1:$W$50</c:f>
              <c:numCache>
                <c:formatCode>0.000</c:formatCode>
                <c:ptCount val="50"/>
                <c:pt idx="0">
                  <c:v>3.1447203154616563E-2</c:v>
                </c:pt>
                <c:pt idx="1">
                  <c:v>3.1316935880291046E-2</c:v>
                </c:pt>
                <c:pt idx="2">
                  <c:v>3.092827304235746E-2</c:v>
                </c:pt>
                <c:pt idx="3">
                  <c:v>3.0287596473869527E-2</c:v>
                </c:pt>
                <c:pt idx="4">
                  <c:v>2.9405426066369356E-2</c:v>
                </c:pt>
                <c:pt idx="5">
                  <c:v>2.829624703355918E-2</c:v>
                </c:pt>
                <c:pt idx="6">
                  <c:v>2.6978272064492836E-2</c:v>
                </c:pt>
                <c:pt idx="7">
                  <c:v>2.5473142271725004E-2</c:v>
                </c:pt>
                <c:pt idx="8">
                  <c:v>2.3805571844841375E-2</c:v>
                </c:pt>
                <c:pt idx="9">
                  <c:v>2.2002942244148907E-2</c:v>
                </c:pt>
                <c:pt idx="10">
                  <c:v>2.0094852597854585E-2</c:v>
                </c:pt>
                <c:pt idx="11">
                  <c:v>1.8112633685198574E-2</c:v>
                </c:pt>
                <c:pt idx="12">
                  <c:v>1.6088833485925283E-2</c:v>
                </c:pt>
                <c:pt idx="13">
                  <c:v>1.4056682743355812E-2</c:v>
                </c:pt>
                <c:pt idx="14">
                  <c:v>1.2049549316501302E-2</c:v>
                </c:pt>
                <c:pt idx="15">
                  <c:v>1.0100390280740513E-2</c:v>
                </c:pt>
                <c:pt idx="16">
                  <c:v>8.2412107735532186E-3</c:v>
                </c:pt>
                <c:pt idx="17">
                  <c:v>6.5025384710476518E-3</c:v>
                </c:pt>
                <c:pt idx="18">
                  <c:v>4.9129223243627607E-3</c:v>
                </c:pt>
                <c:pt idx="19">
                  <c:v>3.4984637866797993E-3</c:v>
                </c:pt>
                <c:pt idx="20">
                  <c:v>2.2823882280827048E-3</c:v>
                </c:pt>
                <c:pt idx="21">
                  <c:v>1.2846635756234184E-3</c:v>
                </c:pt>
                <c:pt idx="22">
                  <c:v>5.2167244051173531E-4</c:v>
                </c:pt>
                <c:pt idx="23">
                  <c:v>5.9431160921599302E-6</c:v>
                </c:pt>
                <c:pt idx="24">
                  <c:v>-2.5405613638644457E-4</c:v>
                </c:pt>
                <c:pt idx="25">
                  <c:v>-2.540561363864481E-4</c:v>
                </c:pt>
                <c:pt idx="26">
                  <c:v>5.9431160921511228E-6</c:v>
                </c:pt>
                <c:pt idx="27">
                  <c:v>5.2167244051172295E-4</c:v>
                </c:pt>
                <c:pt idx="28">
                  <c:v>1.2846635756234006E-3</c:v>
                </c:pt>
                <c:pt idx="29">
                  <c:v>2.2823882280826836E-3</c:v>
                </c:pt>
                <c:pt idx="30">
                  <c:v>3.4984637866797728E-3</c:v>
                </c:pt>
                <c:pt idx="31">
                  <c:v>4.9129223243627321E-3</c:v>
                </c:pt>
                <c:pt idx="32">
                  <c:v>6.5025384710476258E-3</c:v>
                </c:pt>
                <c:pt idx="33">
                  <c:v>8.2412107735531977E-3</c:v>
                </c:pt>
                <c:pt idx="34">
                  <c:v>1.0100390280740492E-2</c:v>
                </c:pt>
                <c:pt idx="35">
                  <c:v>1.2049549316501288E-2</c:v>
                </c:pt>
                <c:pt idx="36">
                  <c:v>1.4056682743355803E-2</c:v>
                </c:pt>
                <c:pt idx="37">
                  <c:v>1.6088833485925283E-2</c:v>
                </c:pt>
                <c:pt idx="38">
                  <c:v>1.8112633685198581E-2</c:v>
                </c:pt>
                <c:pt idx="39">
                  <c:v>2.0094852597854596E-2</c:v>
                </c:pt>
                <c:pt idx="40">
                  <c:v>2.2002942244148928E-2</c:v>
                </c:pt>
                <c:pt idx="41">
                  <c:v>2.3805571844841403E-2</c:v>
                </c:pt>
                <c:pt idx="42">
                  <c:v>2.5473142271725032E-2</c:v>
                </c:pt>
                <c:pt idx="43">
                  <c:v>2.6978272064492867E-2</c:v>
                </c:pt>
                <c:pt idx="44">
                  <c:v>2.8296247033559208E-2</c:v>
                </c:pt>
                <c:pt idx="45">
                  <c:v>2.9405426066369384E-2</c:v>
                </c:pt>
                <c:pt idx="46">
                  <c:v>3.0287596473869555E-2</c:v>
                </c:pt>
                <c:pt idx="47">
                  <c:v>3.0928273042357481E-2</c:v>
                </c:pt>
                <c:pt idx="48">
                  <c:v>3.1316935880291052E-2</c:v>
                </c:pt>
                <c:pt idx="49">
                  <c:v>3.1447203154616563E-2</c:v>
                </c:pt>
              </c:numCache>
            </c:numRef>
          </c:xVal>
          <c:yVal>
            <c:numRef>
              <c:f>Data2!$X$1:$X$50</c:f>
              <c:numCache>
                <c:formatCode>0.000</c:formatCode>
                <c:ptCount val="5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0B-4FA6-AB39-77FC436D5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267407"/>
        <c:axId val="1288265007"/>
      </c:scatterChart>
      <c:valAx>
        <c:axId val="1288267407"/>
        <c:scaling>
          <c:orientation val="minMax"/>
          <c:max val="1.05"/>
          <c:min val="-5.000000000000001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1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All dimensions are nomalized by the chord length c</a:t>
                </a:r>
              </a:p>
            </c:rich>
          </c:tx>
          <c:layout>
            <c:manualLayout>
              <c:xMode val="edge"/>
              <c:yMode val="edge"/>
              <c:x val="0.74880151716690158"/>
              <c:y val="0.93428961652498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out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288265007"/>
        <c:crosses val="autoZero"/>
        <c:crossBetween val="midCat"/>
        <c:majorUnit val="5.000000000000001E-2"/>
        <c:minorUnit val="5.000000000000001E-2"/>
      </c:valAx>
      <c:valAx>
        <c:axId val="1288265007"/>
        <c:scaling>
          <c:orientation val="minMax"/>
          <c:max val="0.2"/>
          <c:min val="-0.1500000000000000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0"/>
        <c:majorTickMark val="none"/>
        <c:minorTickMark val="out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+mn-cs"/>
              </a:defRPr>
            </a:pPr>
            <a:endParaRPr lang="en-US"/>
          </a:p>
        </c:txPr>
        <c:crossAx val="1288267407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NACA 4-Digit</a:t>
            </a:r>
            <a:r>
              <a:rPr lang="en-GB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Modified Series</a:t>
            </a:r>
          </a:p>
        </c:rich>
      </c:tx>
      <c:layout>
        <c:manualLayout>
          <c:xMode val="edge"/>
          <c:yMode val="edge"/>
          <c:x val="0.38495809807835218"/>
          <c:y val="1.0347160141595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712713747506892E-2"/>
          <c:y val="8.2004897171141899E-2"/>
          <c:w val="0.94189602446483178"/>
          <c:h val="0.87074375072032695"/>
        </c:manualLayout>
      </c:layout>
      <c:scatterChart>
        <c:scatterStyle val="smoothMarker"/>
        <c:varyColors val="0"/>
        <c:ser>
          <c:idx val="0"/>
          <c:order val="0"/>
          <c:tx>
            <c:v>Mean Camber Line</c:v>
          </c:tx>
          <c:spPr>
            <a:ln w="31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Data3!$B$1:$B$500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Data3!$Y$1:$Y$500</c:f>
              <c:numCache>
                <c:formatCode>0.00000</c:formatCode>
                <c:ptCount val="50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  <c:pt idx="50">
                  <c:v>-0.2</c:v>
                </c:pt>
                <c:pt idx="51">
                  <c:v>-0.2</c:v>
                </c:pt>
                <c:pt idx="52">
                  <c:v>-0.2</c:v>
                </c:pt>
                <c:pt idx="53">
                  <c:v>-0.2</c:v>
                </c:pt>
                <c:pt idx="54">
                  <c:v>-0.2</c:v>
                </c:pt>
                <c:pt idx="55">
                  <c:v>-0.2</c:v>
                </c:pt>
                <c:pt idx="56">
                  <c:v>-0.2</c:v>
                </c:pt>
                <c:pt idx="57">
                  <c:v>-0.2</c:v>
                </c:pt>
                <c:pt idx="58">
                  <c:v>-0.2</c:v>
                </c:pt>
                <c:pt idx="59">
                  <c:v>-0.2</c:v>
                </c:pt>
                <c:pt idx="60">
                  <c:v>-0.2</c:v>
                </c:pt>
                <c:pt idx="61">
                  <c:v>-0.2</c:v>
                </c:pt>
                <c:pt idx="62">
                  <c:v>-0.2</c:v>
                </c:pt>
                <c:pt idx="63">
                  <c:v>-0.2</c:v>
                </c:pt>
                <c:pt idx="64">
                  <c:v>-0.2</c:v>
                </c:pt>
                <c:pt idx="65">
                  <c:v>-0.2</c:v>
                </c:pt>
                <c:pt idx="66">
                  <c:v>-0.2</c:v>
                </c:pt>
                <c:pt idx="67">
                  <c:v>-0.2</c:v>
                </c:pt>
                <c:pt idx="68">
                  <c:v>-0.2</c:v>
                </c:pt>
                <c:pt idx="69">
                  <c:v>-0.2</c:v>
                </c:pt>
                <c:pt idx="70">
                  <c:v>-0.2</c:v>
                </c:pt>
                <c:pt idx="71">
                  <c:v>-0.2</c:v>
                </c:pt>
                <c:pt idx="72">
                  <c:v>-0.2</c:v>
                </c:pt>
                <c:pt idx="73">
                  <c:v>-0.2</c:v>
                </c:pt>
                <c:pt idx="74">
                  <c:v>-0.2</c:v>
                </c:pt>
                <c:pt idx="75">
                  <c:v>-0.2</c:v>
                </c:pt>
                <c:pt idx="76">
                  <c:v>-0.2</c:v>
                </c:pt>
                <c:pt idx="77">
                  <c:v>-0.2</c:v>
                </c:pt>
                <c:pt idx="78">
                  <c:v>-0.2</c:v>
                </c:pt>
                <c:pt idx="79">
                  <c:v>-0.2</c:v>
                </c:pt>
                <c:pt idx="80">
                  <c:v>-0.2</c:v>
                </c:pt>
                <c:pt idx="81">
                  <c:v>-0.2</c:v>
                </c:pt>
                <c:pt idx="82">
                  <c:v>-0.2</c:v>
                </c:pt>
                <c:pt idx="83">
                  <c:v>-0.2</c:v>
                </c:pt>
                <c:pt idx="84">
                  <c:v>-0.2</c:v>
                </c:pt>
                <c:pt idx="85">
                  <c:v>-0.2</c:v>
                </c:pt>
                <c:pt idx="86">
                  <c:v>-0.2</c:v>
                </c:pt>
                <c:pt idx="87">
                  <c:v>-0.2</c:v>
                </c:pt>
                <c:pt idx="88">
                  <c:v>-0.2</c:v>
                </c:pt>
                <c:pt idx="89">
                  <c:v>-0.2</c:v>
                </c:pt>
                <c:pt idx="90">
                  <c:v>-0.2</c:v>
                </c:pt>
                <c:pt idx="91">
                  <c:v>-0.2</c:v>
                </c:pt>
                <c:pt idx="92">
                  <c:v>-0.2</c:v>
                </c:pt>
                <c:pt idx="93">
                  <c:v>-0.2</c:v>
                </c:pt>
                <c:pt idx="94">
                  <c:v>-0.2</c:v>
                </c:pt>
                <c:pt idx="95">
                  <c:v>-0.2</c:v>
                </c:pt>
                <c:pt idx="96">
                  <c:v>-0.2</c:v>
                </c:pt>
                <c:pt idx="97">
                  <c:v>-0.2</c:v>
                </c:pt>
                <c:pt idx="98">
                  <c:v>-0.2</c:v>
                </c:pt>
                <c:pt idx="99">
                  <c:v>-0.2</c:v>
                </c:pt>
                <c:pt idx="100">
                  <c:v>-0.2</c:v>
                </c:pt>
                <c:pt idx="101">
                  <c:v>-0.2</c:v>
                </c:pt>
                <c:pt idx="102">
                  <c:v>-0.2</c:v>
                </c:pt>
                <c:pt idx="103">
                  <c:v>-0.2</c:v>
                </c:pt>
                <c:pt idx="104">
                  <c:v>-0.2</c:v>
                </c:pt>
                <c:pt idx="105">
                  <c:v>-0.2</c:v>
                </c:pt>
                <c:pt idx="106">
                  <c:v>-0.2</c:v>
                </c:pt>
                <c:pt idx="107">
                  <c:v>-0.2</c:v>
                </c:pt>
                <c:pt idx="108">
                  <c:v>-0.2</c:v>
                </c:pt>
                <c:pt idx="109">
                  <c:v>-0.2</c:v>
                </c:pt>
                <c:pt idx="110">
                  <c:v>-0.2</c:v>
                </c:pt>
                <c:pt idx="111">
                  <c:v>-0.2</c:v>
                </c:pt>
                <c:pt idx="112">
                  <c:v>-0.2</c:v>
                </c:pt>
                <c:pt idx="113">
                  <c:v>-0.2</c:v>
                </c:pt>
                <c:pt idx="114">
                  <c:v>-0.2</c:v>
                </c:pt>
                <c:pt idx="115">
                  <c:v>-0.2</c:v>
                </c:pt>
                <c:pt idx="116">
                  <c:v>-0.2</c:v>
                </c:pt>
                <c:pt idx="117">
                  <c:v>-0.2</c:v>
                </c:pt>
                <c:pt idx="118">
                  <c:v>-0.2</c:v>
                </c:pt>
                <c:pt idx="119">
                  <c:v>-0.2</c:v>
                </c:pt>
                <c:pt idx="120">
                  <c:v>-0.2</c:v>
                </c:pt>
                <c:pt idx="121">
                  <c:v>-0.2</c:v>
                </c:pt>
                <c:pt idx="122">
                  <c:v>-0.2</c:v>
                </c:pt>
                <c:pt idx="123">
                  <c:v>-0.2</c:v>
                </c:pt>
                <c:pt idx="124">
                  <c:v>-0.2</c:v>
                </c:pt>
                <c:pt idx="125">
                  <c:v>-0.2</c:v>
                </c:pt>
                <c:pt idx="126">
                  <c:v>-0.2</c:v>
                </c:pt>
                <c:pt idx="127">
                  <c:v>-0.2</c:v>
                </c:pt>
                <c:pt idx="128">
                  <c:v>-0.2</c:v>
                </c:pt>
                <c:pt idx="129">
                  <c:v>-0.2</c:v>
                </c:pt>
                <c:pt idx="130">
                  <c:v>-0.2</c:v>
                </c:pt>
                <c:pt idx="131">
                  <c:v>-0.2</c:v>
                </c:pt>
                <c:pt idx="132">
                  <c:v>-0.2</c:v>
                </c:pt>
                <c:pt idx="133">
                  <c:v>-0.2</c:v>
                </c:pt>
                <c:pt idx="134">
                  <c:v>-0.2</c:v>
                </c:pt>
                <c:pt idx="135">
                  <c:v>-0.2</c:v>
                </c:pt>
                <c:pt idx="136">
                  <c:v>-0.2</c:v>
                </c:pt>
                <c:pt idx="137">
                  <c:v>-0.2</c:v>
                </c:pt>
                <c:pt idx="138">
                  <c:v>-0.2</c:v>
                </c:pt>
                <c:pt idx="139">
                  <c:v>-0.2</c:v>
                </c:pt>
                <c:pt idx="140">
                  <c:v>-0.2</c:v>
                </c:pt>
                <c:pt idx="141">
                  <c:v>-0.2</c:v>
                </c:pt>
                <c:pt idx="142">
                  <c:v>-0.2</c:v>
                </c:pt>
                <c:pt idx="143">
                  <c:v>-0.2</c:v>
                </c:pt>
                <c:pt idx="144">
                  <c:v>-0.2</c:v>
                </c:pt>
                <c:pt idx="145">
                  <c:v>-0.2</c:v>
                </c:pt>
                <c:pt idx="146">
                  <c:v>-0.2</c:v>
                </c:pt>
                <c:pt idx="147">
                  <c:v>-0.2</c:v>
                </c:pt>
                <c:pt idx="148">
                  <c:v>-0.2</c:v>
                </c:pt>
                <c:pt idx="149">
                  <c:v>-0.2</c:v>
                </c:pt>
                <c:pt idx="150">
                  <c:v>-0.2</c:v>
                </c:pt>
                <c:pt idx="151">
                  <c:v>-0.2</c:v>
                </c:pt>
                <c:pt idx="152">
                  <c:v>-0.2</c:v>
                </c:pt>
                <c:pt idx="153">
                  <c:v>-0.2</c:v>
                </c:pt>
                <c:pt idx="154">
                  <c:v>-0.2</c:v>
                </c:pt>
                <c:pt idx="155">
                  <c:v>-0.2</c:v>
                </c:pt>
                <c:pt idx="156">
                  <c:v>-0.2</c:v>
                </c:pt>
                <c:pt idx="157">
                  <c:v>-0.2</c:v>
                </c:pt>
                <c:pt idx="158">
                  <c:v>-0.2</c:v>
                </c:pt>
                <c:pt idx="159">
                  <c:v>-0.2</c:v>
                </c:pt>
                <c:pt idx="160">
                  <c:v>-0.2</c:v>
                </c:pt>
                <c:pt idx="161">
                  <c:v>-0.2</c:v>
                </c:pt>
                <c:pt idx="162">
                  <c:v>-0.2</c:v>
                </c:pt>
                <c:pt idx="163">
                  <c:v>-0.2</c:v>
                </c:pt>
                <c:pt idx="164">
                  <c:v>-0.2</c:v>
                </c:pt>
                <c:pt idx="165">
                  <c:v>-0.2</c:v>
                </c:pt>
                <c:pt idx="166">
                  <c:v>-0.2</c:v>
                </c:pt>
                <c:pt idx="167">
                  <c:v>-0.2</c:v>
                </c:pt>
                <c:pt idx="168">
                  <c:v>-0.2</c:v>
                </c:pt>
                <c:pt idx="169">
                  <c:v>-0.2</c:v>
                </c:pt>
                <c:pt idx="170">
                  <c:v>-0.2</c:v>
                </c:pt>
                <c:pt idx="171">
                  <c:v>-0.2</c:v>
                </c:pt>
                <c:pt idx="172">
                  <c:v>-0.2</c:v>
                </c:pt>
                <c:pt idx="173">
                  <c:v>-0.2</c:v>
                </c:pt>
                <c:pt idx="174">
                  <c:v>-0.2</c:v>
                </c:pt>
                <c:pt idx="175">
                  <c:v>-0.2</c:v>
                </c:pt>
                <c:pt idx="176">
                  <c:v>-0.2</c:v>
                </c:pt>
                <c:pt idx="177">
                  <c:v>-0.2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-0.2</c:v>
                </c:pt>
                <c:pt idx="183">
                  <c:v>-0.2</c:v>
                </c:pt>
                <c:pt idx="184">
                  <c:v>-0.2</c:v>
                </c:pt>
                <c:pt idx="185">
                  <c:v>-0.2</c:v>
                </c:pt>
                <c:pt idx="186">
                  <c:v>-0.2</c:v>
                </c:pt>
                <c:pt idx="187">
                  <c:v>-0.2</c:v>
                </c:pt>
                <c:pt idx="188">
                  <c:v>-0.2</c:v>
                </c:pt>
                <c:pt idx="189">
                  <c:v>-0.2</c:v>
                </c:pt>
                <c:pt idx="190">
                  <c:v>-0.2</c:v>
                </c:pt>
                <c:pt idx="191">
                  <c:v>-0.2</c:v>
                </c:pt>
                <c:pt idx="192">
                  <c:v>-0.2</c:v>
                </c:pt>
                <c:pt idx="193">
                  <c:v>-0.2</c:v>
                </c:pt>
                <c:pt idx="194">
                  <c:v>-0.2</c:v>
                </c:pt>
                <c:pt idx="195">
                  <c:v>-0.2</c:v>
                </c:pt>
                <c:pt idx="196">
                  <c:v>-0.2</c:v>
                </c:pt>
                <c:pt idx="197">
                  <c:v>-0.2</c:v>
                </c:pt>
                <c:pt idx="198">
                  <c:v>-0.2</c:v>
                </c:pt>
                <c:pt idx="199">
                  <c:v>-0.2</c:v>
                </c:pt>
                <c:pt idx="200">
                  <c:v>-0.2</c:v>
                </c:pt>
                <c:pt idx="201">
                  <c:v>-0.2</c:v>
                </c:pt>
                <c:pt idx="202">
                  <c:v>-0.2</c:v>
                </c:pt>
                <c:pt idx="203">
                  <c:v>-0.2</c:v>
                </c:pt>
                <c:pt idx="204">
                  <c:v>-0.2</c:v>
                </c:pt>
                <c:pt idx="205">
                  <c:v>-0.2</c:v>
                </c:pt>
                <c:pt idx="206">
                  <c:v>-0.2</c:v>
                </c:pt>
                <c:pt idx="207">
                  <c:v>-0.2</c:v>
                </c:pt>
                <c:pt idx="208">
                  <c:v>-0.2</c:v>
                </c:pt>
                <c:pt idx="209">
                  <c:v>-0.2</c:v>
                </c:pt>
                <c:pt idx="210">
                  <c:v>-0.2</c:v>
                </c:pt>
                <c:pt idx="211">
                  <c:v>-0.2</c:v>
                </c:pt>
                <c:pt idx="212">
                  <c:v>-0.2</c:v>
                </c:pt>
                <c:pt idx="213">
                  <c:v>-0.2</c:v>
                </c:pt>
                <c:pt idx="214">
                  <c:v>-0.2</c:v>
                </c:pt>
                <c:pt idx="215">
                  <c:v>-0.2</c:v>
                </c:pt>
                <c:pt idx="216">
                  <c:v>-0.2</c:v>
                </c:pt>
                <c:pt idx="217">
                  <c:v>-0.2</c:v>
                </c:pt>
                <c:pt idx="218">
                  <c:v>-0.2</c:v>
                </c:pt>
                <c:pt idx="219">
                  <c:v>-0.2</c:v>
                </c:pt>
                <c:pt idx="220">
                  <c:v>-0.2</c:v>
                </c:pt>
                <c:pt idx="221">
                  <c:v>-0.2</c:v>
                </c:pt>
                <c:pt idx="222">
                  <c:v>-0.2</c:v>
                </c:pt>
                <c:pt idx="223">
                  <c:v>-0.2</c:v>
                </c:pt>
                <c:pt idx="224">
                  <c:v>-0.2</c:v>
                </c:pt>
                <c:pt idx="225">
                  <c:v>-0.2</c:v>
                </c:pt>
                <c:pt idx="226">
                  <c:v>-0.2</c:v>
                </c:pt>
                <c:pt idx="227">
                  <c:v>-0.2</c:v>
                </c:pt>
                <c:pt idx="228">
                  <c:v>-0.2</c:v>
                </c:pt>
                <c:pt idx="229">
                  <c:v>-0.2</c:v>
                </c:pt>
                <c:pt idx="230">
                  <c:v>-0.2</c:v>
                </c:pt>
                <c:pt idx="231">
                  <c:v>-0.2</c:v>
                </c:pt>
                <c:pt idx="232">
                  <c:v>-0.2</c:v>
                </c:pt>
                <c:pt idx="233">
                  <c:v>-0.2</c:v>
                </c:pt>
                <c:pt idx="234">
                  <c:v>-0.2</c:v>
                </c:pt>
                <c:pt idx="235">
                  <c:v>-0.2</c:v>
                </c:pt>
                <c:pt idx="236">
                  <c:v>-0.2</c:v>
                </c:pt>
                <c:pt idx="237">
                  <c:v>-0.2</c:v>
                </c:pt>
                <c:pt idx="238">
                  <c:v>-0.2</c:v>
                </c:pt>
                <c:pt idx="239">
                  <c:v>-0.2</c:v>
                </c:pt>
                <c:pt idx="240">
                  <c:v>-0.2</c:v>
                </c:pt>
                <c:pt idx="241">
                  <c:v>-0.2</c:v>
                </c:pt>
                <c:pt idx="242">
                  <c:v>-0.2</c:v>
                </c:pt>
                <c:pt idx="243">
                  <c:v>-0.2</c:v>
                </c:pt>
                <c:pt idx="244">
                  <c:v>-0.2</c:v>
                </c:pt>
                <c:pt idx="245">
                  <c:v>-0.2</c:v>
                </c:pt>
                <c:pt idx="246">
                  <c:v>-0.2</c:v>
                </c:pt>
                <c:pt idx="247">
                  <c:v>-0.2</c:v>
                </c:pt>
                <c:pt idx="248">
                  <c:v>-0.2</c:v>
                </c:pt>
                <c:pt idx="249">
                  <c:v>-0.2</c:v>
                </c:pt>
                <c:pt idx="250">
                  <c:v>-0.2</c:v>
                </c:pt>
                <c:pt idx="251">
                  <c:v>-0.2</c:v>
                </c:pt>
                <c:pt idx="252">
                  <c:v>-0.2</c:v>
                </c:pt>
                <c:pt idx="253">
                  <c:v>-0.2</c:v>
                </c:pt>
                <c:pt idx="254">
                  <c:v>-0.2</c:v>
                </c:pt>
                <c:pt idx="255">
                  <c:v>-0.2</c:v>
                </c:pt>
                <c:pt idx="256">
                  <c:v>-0.2</c:v>
                </c:pt>
                <c:pt idx="257">
                  <c:v>-0.2</c:v>
                </c:pt>
                <c:pt idx="258">
                  <c:v>-0.2</c:v>
                </c:pt>
                <c:pt idx="259">
                  <c:v>-0.2</c:v>
                </c:pt>
                <c:pt idx="260">
                  <c:v>-0.2</c:v>
                </c:pt>
                <c:pt idx="261">
                  <c:v>-0.2</c:v>
                </c:pt>
                <c:pt idx="262">
                  <c:v>-0.2</c:v>
                </c:pt>
                <c:pt idx="263">
                  <c:v>-0.2</c:v>
                </c:pt>
                <c:pt idx="264">
                  <c:v>-0.2</c:v>
                </c:pt>
                <c:pt idx="265">
                  <c:v>-0.2</c:v>
                </c:pt>
                <c:pt idx="266">
                  <c:v>-0.2</c:v>
                </c:pt>
                <c:pt idx="267">
                  <c:v>-0.2</c:v>
                </c:pt>
                <c:pt idx="268">
                  <c:v>-0.2</c:v>
                </c:pt>
                <c:pt idx="269">
                  <c:v>-0.2</c:v>
                </c:pt>
                <c:pt idx="270">
                  <c:v>-0.2</c:v>
                </c:pt>
                <c:pt idx="271">
                  <c:v>-0.2</c:v>
                </c:pt>
                <c:pt idx="272">
                  <c:v>-0.2</c:v>
                </c:pt>
                <c:pt idx="273">
                  <c:v>-0.2</c:v>
                </c:pt>
                <c:pt idx="274">
                  <c:v>-0.2</c:v>
                </c:pt>
                <c:pt idx="275">
                  <c:v>-0.2</c:v>
                </c:pt>
                <c:pt idx="276">
                  <c:v>-0.2</c:v>
                </c:pt>
                <c:pt idx="277">
                  <c:v>-0.2</c:v>
                </c:pt>
                <c:pt idx="278">
                  <c:v>-0.2</c:v>
                </c:pt>
                <c:pt idx="279">
                  <c:v>-0.2</c:v>
                </c:pt>
                <c:pt idx="280">
                  <c:v>-0.2</c:v>
                </c:pt>
                <c:pt idx="281">
                  <c:v>-0.2</c:v>
                </c:pt>
                <c:pt idx="282">
                  <c:v>-0.2</c:v>
                </c:pt>
                <c:pt idx="283">
                  <c:v>-0.2</c:v>
                </c:pt>
                <c:pt idx="284">
                  <c:v>-0.2</c:v>
                </c:pt>
                <c:pt idx="285">
                  <c:v>-0.2</c:v>
                </c:pt>
                <c:pt idx="286">
                  <c:v>-0.2</c:v>
                </c:pt>
                <c:pt idx="287">
                  <c:v>-0.2</c:v>
                </c:pt>
                <c:pt idx="288">
                  <c:v>-0.2</c:v>
                </c:pt>
                <c:pt idx="289">
                  <c:v>-0.2</c:v>
                </c:pt>
                <c:pt idx="290">
                  <c:v>-0.2</c:v>
                </c:pt>
                <c:pt idx="291">
                  <c:v>-0.2</c:v>
                </c:pt>
                <c:pt idx="292">
                  <c:v>-0.2</c:v>
                </c:pt>
                <c:pt idx="293">
                  <c:v>-0.2</c:v>
                </c:pt>
                <c:pt idx="294">
                  <c:v>-0.2</c:v>
                </c:pt>
                <c:pt idx="295">
                  <c:v>-0.2</c:v>
                </c:pt>
                <c:pt idx="296">
                  <c:v>-0.2</c:v>
                </c:pt>
                <c:pt idx="297">
                  <c:v>-0.2</c:v>
                </c:pt>
                <c:pt idx="298">
                  <c:v>-0.2</c:v>
                </c:pt>
                <c:pt idx="299">
                  <c:v>-0.2</c:v>
                </c:pt>
                <c:pt idx="300">
                  <c:v>-0.2</c:v>
                </c:pt>
                <c:pt idx="301">
                  <c:v>-0.2</c:v>
                </c:pt>
                <c:pt idx="302">
                  <c:v>-0.2</c:v>
                </c:pt>
                <c:pt idx="303">
                  <c:v>-0.2</c:v>
                </c:pt>
                <c:pt idx="304">
                  <c:v>-0.2</c:v>
                </c:pt>
                <c:pt idx="305">
                  <c:v>-0.2</c:v>
                </c:pt>
                <c:pt idx="306">
                  <c:v>-0.2</c:v>
                </c:pt>
                <c:pt idx="307">
                  <c:v>-0.2</c:v>
                </c:pt>
                <c:pt idx="308">
                  <c:v>-0.2</c:v>
                </c:pt>
                <c:pt idx="309">
                  <c:v>-0.2</c:v>
                </c:pt>
                <c:pt idx="310">
                  <c:v>-0.2</c:v>
                </c:pt>
                <c:pt idx="311">
                  <c:v>-0.2</c:v>
                </c:pt>
                <c:pt idx="312">
                  <c:v>-0.2</c:v>
                </c:pt>
                <c:pt idx="313">
                  <c:v>-0.2</c:v>
                </c:pt>
                <c:pt idx="314">
                  <c:v>-0.2</c:v>
                </c:pt>
                <c:pt idx="315">
                  <c:v>-0.2</c:v>
                </c:pt>
                <c:pt idx="316">
                  <c:v>-0.2</c:v>
                </c:pt>
                <c:pt idx="317">
                  <c:v>-0.2</c:v>
                </c:pt>
                <c:pt idx="318">
                  <c:v>-0.2</c:v>
                </c:pt>
                <c:pt idx="319">
                  <c:v>-0.2</c:v>
                </c:pt>
                <c:pt idx="320">
                  <c:v>-0.2</c:v>
                </c:pt>
                <c:pt idx="321">
                  <c:v>-0.2</c:v>
                </c:pt>
                <c:pt idx="322">
                  <c:v>-0.2</c:v>
                </c:pt>
                <c:pt idx="323">
                  <c:v>-0.2</c:v>
                </c:pt>
                <c:pt idx="324">
                  <c:v>-0.2</c:v>
                </c:pt>
                <c:pt idx="325">
                  <c:v>-0.2</c:v>
                </c:pt>
                <c:pt idx="326">
                  <c:v>-0.2</c:v>
                </c:pt>
                <c:pt idx="327">
                  <c:v>-0.2</c:v>
                </c:pt>
                <c:pt idx="328">
                  <c:v>-0.2</c:v>
                </c:pt>
                <c:pt idx="329">
                  <c:v>-0.2</c:v>
                </c:pt>
                <c:pt idx="330">
                  <c:v>-0.2</c:v>
                </c:pt>
                <c:pt idx="331">
                  <c:v>-0.2</c:v>
                </c:pt>
                <c:pt idx="332">
                  <c:v>-0.2</c:v>
                </c:pt>
                <c:pt idx="333">
                  <c:v>-0.2</c:v>
                </c:pt>
                <c:pt idx="334">
                  <c:v>-0.2</c:v>
                </c:pt>
                <c:pt idx="335">
                  <c:v>-0.2</c:v>
                </c:pt>
                <c:pt idx="336">
                  <c:v>-0.2</c:v>
                </c:pt>
                <c:pt idx="337">
                  <c:v>-0.2</c:v>
                </c:pt>
                <c:pt idx="338">
                  <c:v>-0.2</c:v>
                </c:pt>
                <c:pt idx="339">
                  <c:v>-0.2</c:v>
                </c:pt>
                <c:pt idx="340">
                  <c:v>-0.2</c:v>
                </c:pt>
                <c:pt idx="341">
                  <c:v>-0.2</c:v>
                </c:pt>
                <c:pt idx="342">
                  <c:v>-0.2</c:v>
                </c:pt>
                <c:pt idx="343">
                  <c:v>-0.2</c:v>
                </c:pt>
                <c:pt idx="344">
                  <c:v>-0.2</c:v>
                </c:pt>
                <c:pt idx="345">
                  <c:v>-0.2</c:v>
                </c:pt>
                <c:pt idx="346">
                  <c:v>-0.2</c:v>
                </c:pt>
                <c:pt idx="347">
                  <c:v>-0.2</c:v>
                </c:pt>
                <c:pt idx="348">
                  <c:v>-0.2</c:v>
                </c:pt>
                <c:pt idx="349">
                  <c:v>-0.2</c:v>
                </c:pt>
                <c:pt idx="350">
                  <c:v>-0.2</c:v>
                </c:pt>
                <c:pt idx="351">
                  <c:v>-0.2</c:v>
                </c:pt>
                <c:pt idx="352">
                  <c:v>-0.2</c:v>
                </c:pt>
                <c:pt idx="353">
                  <c:v>-0.2</c:v>
                </c:pt>
                <c:pt idx="354">
                  <c:v>-0.2</c:v>
                </c:pt>
                <c:pt idx="355">
                  <c:v>-0.2</c:v>
                </c:pt>
                <c:pt idx="356">
                  <c:v>-0.2</c:v>
                </c:pt>
                <c:pt idx="357">
                  <c:v>-0.2</c:v>
                </c:pt>
                <c:pt idx="358">
                  <c:v>-0.2</c:v>
                </c:pt>
                <c:pt idx="359">
                  <c:v>-0.2</c:v>
                </c:pt>
                <c:pt idx="360">
                  <c:v>-0.2</c:v>
                </c:pt>
                <c:pt idx="361">
                  <c:v>-0.2</c:v>
                </c:pt>
                <c:pt idx="362">
                  <c:v>-0.2</c:v>
                </c:pt>
                <c:pt idx="363">
                  <c:v>-0.2</c:v>
                </c:pt>
                <c:pt idx="364">
                  <c:v>-0.2</c:v>
                </c:pt>
                <c:pt idx="365">
                  <c:v>-0.2</c:v>
                </c:pt>
                <c:pt idx="366">
                  <c:v>-0.2</c:v>
                </c:pt>
                <c:pt idx="367">
                  <c:v>-0.2</c:v>
                </c:pt>
                <c:pt idx="368">
                  <c:v>-0.2</c:v>
                </c:pt>
                <c:pt idx="369">
                  <c:v>-0.2</c:v>
                </c:pt>
                <c:pt idx="370">
                  <c:v>-0.2</c:v>
                </c:pt>
                <c:pt idx="371">
                  <c:v>-0.2</c:v>
                </c:pt>
                <c:pt idx="372">
                  <c:v>-0.2</c:v>
                </c:pt>
                <c:pt idx="373">
                  <c:v>-0.2</c:v>
                </c:pt>
                <c:pt idx="374">
                  <c:v>-0.2</c:v>
                </c:pt>
                <c:pt idx="375">
                  <c:v>-0.2</c:v>
                </c:pt>
                <c:pt idx="376">
                  <c:v>-0.2</c:v>
                </c:pt>
                <c:pt idx="377">
                  <c:v>-0.2</c:v>
                </c:pt>
                <c:pt idx="378">
                  <c:v>-0.2</c:v>
                </c:pt>
                <c:pt idx="379">
                  <c:v>-0.2</c:v>
                </c:pt>
                <c:pt idx="380">
                  <c:v>-0.2</c:v>
                </c:pt>
                <c:pt idx="381">
                  <c:v>-0.2</c:v>
                </c:pt>
                <c:pt idx="382">
                  <c:v>-0.2</c:v>
                </c:pt>
                <c:pt idx="383">
                  <c:v>-0.2</c:v>
                </c:pt>
                <c:pt idx="384">
                  <c:v>-0.2</c:v>
                </c:pt>
                <c:pt idx="385">
                  <c:v>-0.2</c:v>
                </c:pt>
                <c:pt idx="386">
                  <c:v>-0.2</c:v>
                </c:pt>
                <c:pt idx="387">
                  <c:v>-0.2</c:v>
                </c:pt>
                <c:pt idx="388">
                  <c:v>-0.2</c:v>
                </c:pt>
                <c:pt idx="389">
                  <c:v>-0.2</c:v>
                </c:pt>
                <c:pt idx="390">
                  <c:v>-0.2</c:v>
                </c:pt>
                <c:pt idx="391">
                  <c:v>-0.2</c:v>
                </c:pt>
                <c:pt idx="392">
                  <c:v>-0.2</c:v>
                </c:pt>
                <c:pt idx="393">
                  <c:v>-0.2</c:v>
                </c:pt>
                <c:pt idx="394">
                  <c:v>-0.2</c:v>
                </c:pt>
                <c:pt idx="395">
                  <c:v>-0.2</c:v>
                </c:pt>
                <c:pt idx="396">
                  <c:v>-0.2</c:v>
                </c:pt>
                <c:pt idx="397">
                  <c:v>-0.2</c:v>
                </c:pt>
                <c:pt idx="398">
                  <c:v>-0.2</c:v>
                </c:pt>
                <c:pt idx="399">
                  <c:v>-0.2</c:v>
                </c:pt>
                <c:pt idx="400">
                  <c:v>-0.2</c:v>
                </c:pt>
                <c:pt idx="401">
                  <c:v>-0.2</c:v>
                </c:pt>
                <c:pt idx="402">
                  <c:v>-0.2</c:v>
                </c:pt>
                <c:pt idx="403">
                  <c:v>-0.2</c:v>
                </c:pt>
                <c:pt idx="404">
                  <c:v>-0.2</c:v>
                </c:pt>
                <c:pt idx="405">
                  <c:v>-0.2</c:v>
                </c:pt>
                <c:pt idx="406">
                  <c:v>-0.2</c:v>
                </c:pt>
                <c:pt idx="407">
                  <c:v>-0.2</c:v>
                </c:pt>
                <c:pt idx="408">
                  <c:v>-0.2</c:v>
                </c:pt>
                <c:pt idx="409">
                  <c:v>-0.2</c:v>
                </c:pt>
                <c:pt idx="410">
                  <c:v>-0.2</c:v>
                </c:pt>
                <c:pt idx="411">
                  <c:v>-0.2</c:v>
                </c:pt>
                <c:pt idx="412">
                  <c:v>-0.2</c:v>
                </c:pt>
                <c:pt idx="413">
                  <c:v>-0.2</c:v>
                </c:pt>
                <c:pt idx="414">
                  <c:v>-0.2</c:v>
                </c:pt>
                <c:pt idx="415">
                  <c:v>-0.2</c:v>
                </c:pt>
                <c:pt idx="416">
                  <c:v>-0.2</c:v>
                </c:pt>
                <c:pt idx="417">
                  <c:v>-0.2</c:v>
                </c:pt>
                <c:pt idx="418">
                  <c:v>-0.2</c:v>
                </c:pt>
                <c:pt idx="419">
                  <c:v>-0.2</c:v>
                </c:pt>
                <c:pt idx="420">
                  <c:v>-0.2</c:v>
                </c:pt>
                <c:pt idx="421">
                  <c:v>-0.2</c:v>
                </c:pt>
                <c:pt idx="422">
                  <c:v>-0.2</c:v>
                </c:pt>
                <c:pt idx="423">
                  <c:v>-0.2</c:v>
                </c:pt>
                <c:pt idx="424">
                  <c:v>-0.2</c:v>
                </c:pt>
                <c:pt idx="425">
                  <c:v>-0.2</c:v>
                </c:pt>
                <c:pt idx="426">
                  <c:v>-0.2</c:v>
                </c:pt>
                <c:pt idx="427">
                  <c:v>-0.2</c:v>
                </c:pt>
                <c:pt idx="428">
                  <c:v>-0.2</c:v>
                </c:pt>
                <c:pt idx="429">
                  <c:v>-0.2</c:v>
                </c:pt>
                <c:pt idx="430">
                  <c:v>-0.2</c:v>
                </c:pt>
                <c:pt idx="431">
                  <c:v>-0.2</c:v>
                </c:pt>
                <c:pt idx="432">
                  <c:v>-0.2</c:v>
                </c:pt>
                <c:pt idx="433">
                  <c:v>-0.2</c:v>
                </c:pt>
                <c:pt idx="434">
                  <c:v>-0.2</c:v>
                </c:pt>
                <c:pt idx="435">
                  <c:v>-0.2</c:v>
                </c:pt>
                <c:pt idx="436">
                  <c:v>-0.2</c:v>
                </c:pt>
                <c:pt idx="437">
                  <c:v>-0.2</c:v>
                </c:pt>
                <c:pt idx="438">
                  <c:v>-0.2</c:v>
                </c:pt>
                <c:pt idx="439">
                  <c:v>-0.2</c:v>
                </c:pt>
                <c:pt idx="440">
                  <c:v>-0.2</c:v>
                </c:pt>
                <c:pt idx="441">
                  <c:v>-0.2</c:v>
                </c:pt>
                <c:pt idx="442">
                  <c:v>-0.2</c:v>
                </c:pt>
                <c:pt idx="443">
                  <c:v>-0.2</c:v>
                </c:pt>
                <c:pt idx="444">
                  <c:v>-0.2</c:v>
                </c:pt>
                <c:pt idx="445">
                  <c:v>-0.2</c:v>
                </c:pt>
                <c:pt idx="446">
                  <c:v>-0.2</c:v>
                </c:pt>
                <c:pt idx="447">
                  <c:v>-0.2</c:v>
                </c:pt>
                <c:pt idx="448">
                  <c:v>-0.2</c:v>
                </c:pt>
                <c:pt idx="449">
                  <c:v>-0.2</c:v>
                </c:pt>
                <c:pt idx="450">
                  <c:v>-0.2</c:v>
                </c:pt>
                <c:pt idx="451">
                  <c:v>-0.2</c:v>
                </c:pt>
                <c:pt idx="452">
                  <c:v>-0.2</c:v>
                </c:pt>
                <c:pt idx="453">
                  <c:v>-0.2</c:v>
                </c:pt>
                <c:pt idx="454">
                  <c:v>-0.2</c:v>
                </c:pt>
                <c:pt idx="455">
                  <c:v>-0.2</c:v>
                </c:pt>
                <c:pt idx="456">
                  <c:v>-0.2</c:v>
                </c:pt>
                <c:pt idx="457">
                  <c:v>-0.2</c:v>
                </c:pt>
                <c:pt idx="458">
                  <c:v>-0.2</c:v>
                </c:pt>
                <c:pt idx="459">
                  <c:v>-0.2</c:v>
                </c:pt>
                <c:pt idx="460">
                  <c:v>-0.2</c:v>
                </c:pt>
                <c:pt idx="461">
                  <c:v>-0.2</c:v>
                </c:pt>
                <c:pt idx="462">
                  <c:v>-0.2</c:v>
                </c:pt>
                <c:pt idx="463">
                  <c:v>-0.2</c:v>
                </c:pt>
                <c:pt idx="464">
                  <c:v>-0.2</c:v>
                </c:pt>
                <c:pt idx="465">
                  <c:v>-0.2</c:v>
                </c:pt>
                <c:pt idx="466">
                  <c:v>-0.2</c:v>
                </c:pt>
                <c:pt idx="467">
                  <c:v>-0.2</c:v>
                </c:pt>
                <c:pt idx="468">
                  <c:v>-0.2</c:v>
                </c:pt>
                <c:pt idx="469">
                  <c:v>-0.2</c:v>
                </c:pt>
                <c:pt idx="470">
                  <c:v>-0.2</c:v>
                </c:pt>
                <c:pt idx="471">
                  <c:v>-0.2</c:v>
                </c:pt>
                <c:pt idx="472">
                  <c:v>-0.2</c:v>
                </c:pt>
                <c:pt idx="473">
                  <c:v>-0.2</c:v>
                </c:pt>
                <c:pt idx="474">
                  <c:v>-0.2</c:v>
                </c:pt>
                <c:pt idx="475">
                  <c:v>-0.2</c:v>
                </c:pt>
                <c:pt idx="476">
                  <c:v>-0.2</c:v>
                </c:pt>
                <c:pt idx="477">
                  <c:v>-0.2</c:v>
                </c:pt>
                <c:pt idx="478">
                  <c:v>-0.2</c:v>
                </c:pt>
                <c:pt idx="479">
                  <c:v>-0.2</c:v>
                </c:pt>
                <c:pt idx="480">
                  <c:v>-0.2</c:v>
                </c:pt>
                <c:pt idx="481">
                  <c:v>-0.2</c:v>
                </c:pt>
                <c:pt idx="482">
                  <c:v>-0.2</c:v>
                </c:pt>
                <c:pt idx="483">
                  <c:v>-0.2</c:v>
                </c:pt>
                <c:pt idx="484">
                  <c:v>-0.2</c:v>
                </c:pt>
                <c:pt idx="485">
                  <c:v>-0.2</c:v>
                </c:pt>
                <c:pt idx="486">
                  <c:v>-0.2</c:v>
                </c:pt>
                <c:pt idx="487">
                  <c:v>-0.2</c:v>
                </c:pt>
                <c:pt idx="488">
                  <c:v>-0.2</c:v>
                </c:pt>
                <c:pt idx="489">
                  <c:v>-0.2</c:v>
                </c:pt>
                <c:pt idx="490">
                  <c:v>-0.2</c:v>
                </c:pt>
                <c:pt idx="491">
                  <c:v>-0.2</c:v>
                </c:pt>
                <c:pt idx="492">
                  <c:v>-0.2</c:v>
                </c:pt>
                <c:pt idx="493">
                  <c:v>-0.2</c:v>
                </c:pt>
                <c:pt idx="494">
                  <c:v>-0.2</c:v>
                </c:pt>
                <c:pt idx="495">
                  <c:v>-0.2</c:v>
                </c:pt>
                <c:pt idx="496">
                  <c:v>-0.2</c:v>
                </c:pt>
                <c:pt idx="497">
                  <c:v>-0.2</c:v>
                </c:pt>
                <c:pt idx="498">
                  <c:v>-0.2</c:v>
                </c:pt>
                <c:pt idx="49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8C-44EC-91AE-89C4210D34B8}"/>
            </c:ext>
          </c:extLst>
        </c:ser>
        <c:ser>
          <c:idx val="1"/>
          <c:order val="1"/>
          <c:tx>
            <c:v>Upper Camber</c:v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Data3!$G$1:$G$500</c:f>
              <c:numCache>
                <c:formatCode>0.00000</c:formatCode>
                <c:ptCount val="500"/>
                <c:pt idx="0">
                  <c:v>0</c:v>
                </c:pt>
                <c:pt idx="1">
                  <c:v>-1.4783114562106648E-5</c:v>
                </c:pt>
                <c:pt idx="2">
                  <c:v>-1.9676224452760143E-5</c:v>
                </c:pt>
                <c:pt idx="3">
                  <c:v>-1.4677959230744025E-5</c:v>
                </c:pt>
                <c:pt idx="4">
                  <c:v>2.1296480259266675E-7</c:v>
                </c:pt>
                <c:pt idx="5">
                  <c:v>2.4997744565016783E-5</c:v>
                </c:pt>
                <c:pt idx="6">
                  <c:v>5.967749015228152E-5</c:v>
                </c:pt>
                <c:pt idx="7">
                  <c:v>1.0425322479384251E-4</c:v>
                </c:pt>
                <c:pt idx="8">
                  <c:v>1.5872588480547929E-4</c:v>
                </c:pt>
                <c:pt idx="9">
                  <c:v>2.2309631953909141E-4</c:v>
                </c:pt>
                <c:pt idx="10">
                  <c:v>2.9736529132936998E-4</c:v>
                </c:pt>
                <c:pt idx="11">
                  <c:v>3.8153347543767131E-4</c:v>
                </c:pt>
                <c:pt idx="12">
                  <c:v>4.7560145999266974E-4</c:v>
                </c:pt>
                <c:pt idx="13">
                  <c:v>5.7956974592803944E-4</c:v>
                </c:pt>
                <c:pt idx="14">
                  <c:v>6.9343874691746754E-4</c:v>
                </c:pt>
                <c:pt idx="15">
                  <c:v>8.1720878930655418E-4</c:v>
                </c:pt>
                <c:pt idx="16">
                  <c:v>9.5088011204119758E-4</c:v>
                </c:pt>
                <c:pt idx="17">
                  <c:v>1.0944528665943036E-3</c:v>
                </c:pt>
                <c:pt idx="18">
                  <c:v>1.2479271168880455E-3</c:v>
                </c:pt>
                <c:pt idx="19">
                  <c:v>1.411302839214679E-3</c:v>
                </c:pt>
                <c:pt idx="20">
                  <c:v>1.5845799221529976E-3</c:v>
                </c:pt>
                <c:pt idx="21">
                  <c:v>1.7677581664830929E-3</c:v>
                </c:pt>
                <c:pt idx="22">
                  <c:v>1.9608372850975606E-3</c:v>
                </c:pt>
                <c:pt idx="23">
                  <c:v>2.1638169029101571E-3</c:v>
                </c:pt>
                <c:pt idx="24">
                  <c:v>2.3766965567611127E-3</c:v>
                </c:pt>
                <c:pt idx="25">
                  <c:v>2.5994756953204383E-3</c:v>
                </c:pt>
                <c:pt idx="26">
                  <c:v>2.832153678987205E-3</c:v>
                </c:pt>
                <c:pt idx="27">
                  <c:v>3.0747297797874668E-3</c:v>
                </c:pt>
                <c:pt idx="28">
                  <c:v>3.3272031812680803E-3</c:v>
                </c:pt>
                <c:pt idx="29">
                  <c:v>3.5895729783883895E-3</c:v>
                </c:pt>
                <c:pt idx="30">
                  <c:v>3.8618381774094845E-3</c:v>
                </c:pt>
                <c:pt idx="31">
                  <c:v>4.1439976957793013E-3</c:v>
                </c:pt>
                <c:pt idx="32">
                  <c:v>4.4360503620169914E-3</c:v>
                </c:pt>
                <c:pt idx="33">
                  <c:v>4.737994915593167E-3</c:v>
                </c:pt>
                <c:pt idx="34">
                  <c:v>5.0498300068077037E-3</c:v>
                </c:pt>
                <c:pt idx="35">
                  <c:v>5.3715541966651136E-3</c:v>
                </c:pt>
                <c:pt idx="36">
                  <c:v>5.7031659567475298E-3</c:v>
                </c:pt>
                <c:pt idx="37">
                  <c:v>6.0446636690844749E-3</c:v>
                </c:pt>
                <c:pt idx="38">
                  <c:v>6.3960456260202742E-3</c:v>
                </c:pt>
                <c:pt idx="39">
                  <c:v>6.75731003007915E-3</c:v>
                </c:pt>
                <c:pt idx="40">
                  <c:v>7.128454993827491E-3</c:v>
                </c:pt>
                <c:pt idx="41">
                  <c:v>7.5094785397338427E-3</c:v>
                </c:pt>
                <c:pt idx="42">
                  <c:v>7.9003786000260284E-3</c:v>
                </c:pt>
                <c:pt idx="43">
                  <c:v>8.3011530165460392E-3</c:v>
                </c:pt>
                <c:pt idx="44">
                  <c:v>8.711799540602751E-3</c:v>
                </c:pt>
                <c:pt idx="45">
                  <c:v>9.1323158328218291E-3</c:v>
                </c:pt>
                <c:pt idx="46">
                  <c:v>9.5626994629935107E-3</c:v>
                </c:pt>
                <c:pt idx="47">
                  <c:v>1.0002947909917542E-2</c:v>
                </c:pt>
                <c:pt idx="48">
                  <c:v>1.0453058561246901E-2</c:v>
                </c:pt>
                <c:pt idx="49">
                  <c:v>1.0913028713327765E-2</c:v>
                </c:pt>
                <c:pt idx="50">
                  <c:v>1.1382855571038551E-2</c:v>
                </c:pt>
                <c:pt idx="51">
                  <c:v>1.1862536247625807E-2</c:v>
                </c:pt>
                <c:pt idx="52">
                  <c:v>1.2352067764538587E-2</c:v>
                </c:pt>
                <c:pt idx="53">
                  <c:v>1.2851447051260281E-2</c:v>
                </c:pt>
                <c:pt idx="54">
                  <c:v>1.3360670945137931E-2</c:v>
                </c:pt>
                <c:pt idx="55">
                  <c:v>1.387973619121079E-2</c:v>
                </c:pt>
                <c:pt idx="56">
                  <c:v>1.440863944203513E-2</c:v>
                </c:pt>
                <c:pt idx="57">
                  <c:v>1.4947377257508493E-2</c:v>
                </c:pt>
                <c:pt idx="58">
                  <c:v>1.5495946104690912E-2</c:v>
                </c:pt>
                <c:pt idx="59">
                  <c:v>1.6054342357624769E-2</c:v>
                </c:pt>
                <c:pt idx="60">
                  <c:v>1.6622562297152782E-2</c:v>
                </c:pt>
                <c:pt idx="61">
                  <c:v>1.7200602110733518E-2</c:v>
                </c:pt>
                <c:pt idx="62">
                  <c:v>1.7788457892255898E-2</c:v>
                </c:pt>
                <c:pt idx="63">
                  <c:v>1.8386125641851367E-2</c:v>
                </c:pt>
                <c:pt idx="64">
                  <c:v>1.8993601265704069E-2</c:v>
                </c:pt>
                <c:pt idx="65">
                  <c:v>1.9610880575860537E-2</c:v>
                </c:pt>
                <c:pt idx="66">
                  <c:v>2.0237959290036012E-2</c:v>
                </c:pt>
                <c:pt idx="67">
                  <c:v>2.0874833031420372E-2</c:v>
                </c:pt>
                <c:pt idx="68">
                  <c:v>2.1521497328482218E-2</c:v>
                </c:pt>
                <c:pt idx="69">
                  <c:v>2.217794761477088E-2</c:v>
                </c:pt>
                <c:pt idx="70">
                  <c:v>2.2844179228717978E-2</c:v>
                </c:pt>
                <c:pt idx="71">
                  <c:v>2.3520187413435919E-2</c:v>
                </c:pt>
                <c:pt idx="72">
                  <c:v>2.4205967316517002E-2</c:v>
                </c:pt>
                <c:pt idx="73">
                  <c:v>2.4901513989829111E-2</c:v>
                </c:pt>
                <c:pt idx="74">
                  <c:v>2.5606822389311907E-2</c:v>
                </c:pt>
                <c:pt idx="75">
                  <c:v>2.6321887374770335E-2</c:v>
                </c:pt>
                <c:pt idx="76">
                  <c:v>2.7046703709667309E-2</c:v>
                </c:pt>
                <c:pt idx="77">
                  <c:v>2.7781266060916208E-2</c:v>
                </c:pt>
                <c:pt idx="78">
                  <c:v>2.8525568998670241E-2</c:v>
                </c:pt>
                <c:pt idx="79">
                  <c:v>2.9279606996112824E-2</c:v>
                </c:pt>
                <c:pt idx="80">
                  <c:v>3.0043374429245217E-2</c:v>
                </c:pt>
                <c:pt idx="81">
                  <c:v>3.0816865576674322E-2</c:v>
                </c:pt>
                <c:pt idx="82">
                  <c:v>3.1600074619398906E-2</c:v>
                </c:pt>
                <c:pt idx="83">
                  <c:v>3.2392995640595126E-2</c:v>
                </c:pt>
                <c:pt idx="84">
                  <c:v>3.3195622625401211E-2</c:v>
                </c:pt>
                <c:pt idx="85">
                  <c:v>3.4007949460701119E-2</c:v>
                </c:pt>
                <c:pt idx="86">
                  <c:v>3.4829969934907973E-2</c:v>
                </c:pt>
                <c:pt idx="87">
                  <c:v>3.5661677737746103E-2</c:v>
                </c:pt>
                <c:pt idx="88">
                  <c:v>3.6503066460032998E-2</c:v>
                </c:pt>
                <c:pt idx="89">
                  <c:v>3.7354129593460524E-2</c:v>
                </c:pt>
                <c:pt idx="90">
                  <c:v>3.8214860530375025E-2</c:v>
                </c:pt>
                <c:pt idx="91">
                  <c:v>3.908525256355791E-2</c:v>
                </c:pt>
                <c:pt idx="92">
                  <c:v>3.996529888600539E-2</c:v>
                </c:pt>
                <c:pt idx="93">
                  <c:v>4.0854992590707136E-2</c:v>
                </c:pt>
                <c:pt idx="94">
                  <c:v>4.1754326670425661E-2</c:v>
                </c:pt>
                <c:pt idx="95">
                  <c:v>4.2663294017475019E-2</c:v>
                </c:pt>
                <c:pt idx="96">
                  <c:v>4.3581887423498805E-2</c:v>
                </c:pt>
                <c:pt idx="97">
                  <c:v>4.4510099579248508E-2</c:v>
                </c:pt>
                <c:pt idx="98">
                  <c:v>4.5447923074362052E-2</c:v>
                </c:pt>
                <c:pt idx="99">
                  <c:v>4.6395350397141266E-2</c:v>
                </c:pt>
                <c:pt idx="100">
                  <c:v>4.7352373934330047E-2</c:v>
                </c:pt>
                <c:pt idx="101">
                  <c:v>4.8318985970892507E-2</c:v>
                </c:pt>
                <c:pt idx="102">
                  <c:v>4.9295178689791136E-2</c:v>
                </c:pt>
                <c:pt idx="103">
                  <c:v>5.0280944171765179E-2</c:v>
                </c:pt>
                <c:pt idx="104">
                  <c:v>5.1276274395108928E-2</c:v>
                </c:pt>
                <c:pt idx="105">
                  <c:v>5.2281161235450582E-2</c:v>
                </c:pt>
                <c:pt idx="106">
                  <c:v>5.3295596465531489E-2</c:v>
                </c:pt>
                <c:pt idx="107">
                  <c:v>5.4319571754985314E-2</c:v>
                </c:pt>
                <c:pt idx="108">
                  <c:v>5.5353078670118579E-2</c:v>
                </c:pt>
                <c:pt idx="109">
                  <c:v>5.6396108673690167E-2</c:v>
                </c:pt>
                <c:pt idx="110">
                  <c:v>5.7448653124693244E-2</c:v>
                </c:pt>
                <c:pt idx="111">
                  <c:v>5.8510703278135782E-2</c:v>
                </c:pt>
                <c:pt idx="112">
                  <c:v>5.958225028482389E-2</c:v>
                </c:pt>
                <c:pt idx="113">
                  <c:v>6.0663285191143904E-2</c:v>
                </c:pt>
                <c:pt idx="114">
                  <c:v>6.1753798938846506E-2</c:v>
                </c:pt>
                <c:pt idx="115">
                  <c:v>6.2853782364831148E-2</c:v>
                </c:pt>
                <c:pt idx="116">
                  <c:v>6.3963226200931755E-2</c:v>
                </c:pt>
                <c:pt idx="117">
                  <c:v>6.5082121073702842E-2</c:v>
                </c:pt>
                <c:pt idx="118">
                  <c:v>6.6210457504206885E-2</c:v>
                </c:pt>
                <c:pt idx="119">
                  <c:v>6.7348225907803316E-2</c:v>
                </c:pt>
                <c:pt idx="120">
                  <c:v>6.8495416593937833E-2</c:v>
                </c:pt>
                <c:pt idx="121">
                  <c:v>6.9652019765933132E-2</c:v>
                </c:pt>
                <c:pt idx="122">
                  <c:v>7.0818025520780981E-2</c:v>
                </c:pt>
                <c:pt idx="123">
                  <c:v>7.1993423848935867E-2</c:v>
                </c:pt>
                <c:pt idx="124">
                  <c:v>7.317820463410965E-2</c:v>
                </c:pt>
                <c:pt idx="125">
                  <c:v>7.4372357653067614E-2</c:v>
                </c:pt>
                <c:pt idx="126">
                  <c:v>7.5575872575426098E-2</c:v>
                </c:pt>
                <c:pt idx="127">
                  <c:v>7.6788738963451952E-2</c:v>
                </c:pt>
                <c:pt idx="128">
                  <c:v>7.801094627186303E-2</c:v>
                </c:pt>
                <c:pt idx="129">
                  <c:v>7.9242483847630996E-2</c:v>
                </c:pt>
                <c:pt idx="130">
                  <c:v>8.0483340929785291E-2</c:v>
                </c:pt>
                <c:pt idx="131">
                  <c:v>8.1733506649219273E-2</c:v>
                </c:pt>
                <c:pt idx="132">
                  <c:v>8.2992970028497592E-2</c:v>
                </c:pt>
                <c:pt idx="133">
                  <c:v>8.4261719981666691E-2</c:v>
                </c:pt>
                <c:pt idx="134">
                  <c:v>8.5539745314065802E-2</c:v>
                </c:pt>
                <c:pt idx="135">
                  <c:v>8.6827034722140997E-2</c:v>
                </c:pt>
                <c:pt idx="136">
                  <c:v>8.8123576793260869E-2</c:v>
                </c:pt>
                <c:pt idx="137">
                  <c:v>8.9429360005534253E-2</c:v>
                </c:pt>
                <c:pt idx="138">
                  <c:v>9.0744372727630945E-2</c:v>
                </c:pt>
                <c:pt idx="139">
                  <c:v>9.2068603218603232E-2</c:v>
                </c:pt>
                <c:pt idx="140">
                  <c:v>9.3402039627711334E-2</c:v>
                </c:pt>
                <c:pt idx="141">
                  <c:v>9.4744669994250061E-2</c:v>
                </c:pt>
                <c:pt idx="142">
                  <c:v>9.6096482247378365E-2</c:v>
                </c:pt>
                <c:pt idx="143">
                  <c:v>9.7457464205951153E-2</c:v>
                </c:pt>
                <c:pt idx="144">
                  <c:v>9.8827603578354323E-2</c:v>
                </c:pt>
                <c:pt idx="145">
                  <c:v>0.10020688796234151</c:v>
                </c:pt>
                <c:pt idx="146">
                  <c:v>0.10159530484487372</c:v>
                </c:pt>
                <c:pt idx="147">
                  <c:v>0.10299284160196259</c:v>
                </c:pt>
                <c:pt idx="148">
                  <c:v>0.10439948549851473</c:v>
                </c:pt>
                <c:pt idx="149">
                  <c:v>0.10581522368818064</c:v>
                </c:pt>
                <c:pt idx="150">
                  <c:v>0.10724004321320547</c:v>
                </c:pt>
                <c:pt idx="151">
                  <c:v>0.10867393100428301</c:v>
                </c:pt>
                <c:pt idx="152">
                  <c:v>0.11011687388041259</c:v>
                </c:pt>
                <c:pt idx="153">
                  <c:v>0.11156885854875946</c:v>
                </c:pt>
                <c:pt idx="154">
                  <c:v>0.11302987160451777</c:v>
                </c:pt>
                <c:pt idx="155">
                  <c:v>0.11449989953077712</c:v>
                </c:pt>
                <c:pt idx="156">
                  <c:v>0.11597892869839195</c:v>
                </c:pt>
                <c:pt idx="157">
                  <c:v>0.11746694536585472</c:v>
                </c:pt>
                <c:pt idx="158">
                  <c:v>0.11896393567917184</c:v>
                </c:pt>
                <c:pt idx="159">
                  <c:v>0.12046988567174391</c:v>
                </c:pt>
                <c:pt idx="160">
                  <c:v>0.1219847812642481</c:v>
                </c:pt>
                <c:pt idx="161">
                  <c:v>0.12350860826452538</c:v>
                </c:pt>
                <c:pt idx="162">
                  <c:v>0.12504135236747077</c:v>
                </c:pt>
                <c:pt idx="163">
                  <c:v>0.1265829991549263</c:v>
                </c:pt>
                <c:pt idx="164">
                  <c:v>0.12813353409557998</c:v>
                </c:pt>
                <c:pt idx="165">
                  <c:v>0.12969294254486546</c:v>
                </c:pt>
                <c:pt idx="166">
                  <c:v>0.1312612097448683</c:v>
                </c:pt>
                <c:pt idx="167">
                  <c:v>0.13283832082423416</c:v>
                </c:pt>
                <c:pt idx="168">
                  <c:v>0.13442426079808187</c:v>
                </c:pt>
                <c:pt idx="169">
                  <c:v>0.13601901456791984</c:v>
                </c:pt>
                <c:pt idx="170">
                  <c:v>0.13762256692156677</c:v>
                </c:pt>
                <c:pt idx="171">
                  <c:v>0.13923490253307663</c:v>
                </c:pt>
                <c:pt idx="172">
                  <c:v>0.14085600596266742</c:v>
                </c:pt>
                <c:pt idx="173">
                  <c:v>0.14248586165665383</c:v>
                </c:pt>
                <c:pt idx="174">
                  <c:v>0.14412445394738452</c:v>
                </c:pt>
                <c:pt idx="175">
                  <c:v>0.14577176705318384</c:v>
                </c:pt>
                <c:pt idx="176">
                  <c:v>0.14742778507829699</c:v>
                </c:pt>
                <c:pt idx="177">
                  <c:v>0.1490924920128405</c:v>
                </c:pt>
                <c:pt idx="178">
                  <c:v>0.1507658717327563</c:v>
                </c:pt>
                <c:pt idx="179">
                  <c:v>0.15244790799977076</c:v>
                </c:pt>
                <c:pt idx="180">
                  <c:v>0.15413858446135789</c:v>
                </c:pt>
                <c:pt idx="181">
                  <c:v>0.15583788465070747</c:v>
                </c:pt>
                <c:pt idx="182">
                  <c:v>0.15754579198669733</c:v>
                </c:pt>
                <c:pt idx="183">
                  <c:v>0.15926228977387039</c:v>
                </c:pt>
                <c:pt idx="184">
                  <c:v>0.16098736120241611</c:v>
                </c:pt>
                <c:pt idx="185">
                  <c:v>0.16272098934815774</c:v>
                </c:pt>
                <c:pt idx="186">
                  <c:v>0.16446315717254251</c:v>
                </c:pt>
                <c:pt idx="187">
                  <c:v>0.16621384752263846</c:v>
                </c:pt>
                <c:pt idx="188">
                  <c:v>0.16797304313113481</c:v>
                </c:pt>
                <c:pt idx="189">
                  <c:v>0.16974072661634779</c:v>
                </c:pt>
                <c:pt idx="190">
                  <c:v>0.17151688048223152</c:v>
                </c:pt>
                <c:pt idx="191">
                  <c:v>0.17330148711839324</c:v>
                </c:pt>
                <c:pt idx="192">
                  <c:v>0.17509452880011411</c:v>
                </c:pt>
                <c:pt idx="193">
                  <c:v>0.17689598768837525</c:v>
                </c:pt>
                <c:pt idx="194">
                  <c:v>0.17870584582988777</c:v>
                </c:pt>
                <c:pt idx="195">
                  <c:v>0.18052408515712925</c:v>
                </c:pt>
                <c:pt idx="196">
                  <c:v>0.18235068748838459</c:v>
                </c:pt>
                <c:pt idx="197">
                  <c:v>0.18418563452779232</c:v>
                </c:pt>
                <c:pt idx="198">
                  <c:v>0.18602890786539611</c:v>
                </c:pt>
                <c:pt idx="199">
                  <c:v>0.18788048897720122</c:v>
                </c:pt>
                <c:pt idx="200">
                  <c:v>0.18974035922523744</c:v>
                </c:pt>
                <c:pt idx="201">
                  <c:v>0.19160849985762521</c:v>
                </c:pt>
                <c:pt idx="202">
                  <c:v>0.19348489200864977</c:v>
                </c:pt>
                <c:pt idx="203">
                  <c:v>0.19536951669883873</c:v>
                </c:pt>
                <c:pt idx="204">
                  <c:v>0.19726235483504545</c:v>
                </c:pt>
                <c:pt idx="205">
                  <c:v>0.19916338721053914</c:v>
                </c:pt>
                <c:pt idx="206">
                  <c:v>0.20107259450509818</c:v>
                </c:pt>
                <c:pt idx="207">
                  <c:v>0.20298995728511168</c:v>
                </c:pt>
                <c:pt idx="208">
                  <c:v>0.20491545600368458</c:v>
                </c:pt>
                <c:pt idx="209">
                  <c:v>0.20684907100074876</c:v>
                </c:pt>
                <c:pt idx="210">
                  <c:v>0.20879078250318092</c:v>
                </c:pt>
                <c:pt idx="211">
                  <c:v>0.2107405706249241</c:v>
                </c:pt>
                <c:pt idx="212">
                  <c:v>0.21269841536711717</c:v>
                </c:pt>
                <c:pt idx="213">
                  <c:v>0.21466429661822817</c:v>
                </c:pt>
                <c:pt idx="214">
                  <c:v>0.21663819415419419</c:v>
                </c:pt>
                <c:pt idx="215">
                  <c:v>0.21862008763856716</c:v>
                </c:pt>
                <c:pt idx="216">
                  <c:v>0.22060995662266505</c:v>
                </c:pt>
                <c:pt idx="217">
                  <c:v>0.22260778054572883</c:v>
                </c:pt>
                <c:pt idx="218">
                  <c:v>0.22461353873508585</c:v>
                </c:pt>
                <c:pt idx="219">
                  <c:v>0.22662721040631853</c:v>
                </c:pt>
                <c:pt idx="220">
                  <c:v>0.22864877466343878</c:v>
                </c:pt>
                <c:pt idx="221">
                  <c:v>0.23067821049906875</c:v>
                </c:pt>
                <c:pt idx="222">
                  <c:v>0.23271549679462752</c:v>
                </c:pt>
                <c:pt idx="223">
                  <c:v>0.23476061232052356</c:v>
                </c:pt>
                <c:pt idx="224">
                  <c:v>0.23681353573635255</c:v>
                </c:pt>
                <c:pt idx="225">
                  <c:v>0.23887424559110262</c:v>
                </c:pt>
                <c:pt idx="226">
                  <c:v>0.24094272032336383</c:v>
                </c:pt>
                <c:pt idx="227">
                  <c:v>0.24301893826154505</c:v>
                </c:pt>
                <c:pt idx="228">
                  <c:v>0.24510287762409588</c:v>
                </c:pt>
                <c:pt idx="229">
                  <c:v>0.24719451651973551</c:v>
                </c:pt>
                <c:pt idx="230">
                  <c:v>0.24929383294768676</c:v>
                </c:pt>
                <c:pt idx="231">
                  <c:v>0.25140080479791649</c:v>
                </c:pt>
                <c:pt idx="232">
                  <c:v>0.25351540985138238</c:v>
                </c:pt>
                <c:pt idx="233">
                  <c:v>0.25563762578028504</c:v>
                </c:pt>
                <c:pt idx="234">
                  <c:v>0.25776743014832726</c:v>
                </c:pt>
                <c:pt idx="235">
                  <c:v>0.25990480041097835</c:v>
                </c:pt>
                <c:pt idx="236">
                  <c:v>0.26204971391574489</c:v>
                </c:pt>
                <c:pt idx="237">
                  <c:v>0.26420214790244795</c:v>
                </c:pt>
                <c:pt idx="238">
                  <c:v>0.2663620795035056</c:v>
                </c:pt>
                <c:pt idx="239">
                  <c:v>0.26852948574422308</c:v>
                </c:pt>
                <c:pt idx="240">
                  <c:v>0.27070434354308665</c:v>
                </c:pt>
                <c:pt idx="241">
                  <c:v>0.27288662971206623</c:v>
                </c:pt>
                <c:pt idx="242">
                  <c:v>0.2750763209569218</c:v>
                </c:pt>
                <c:pt idx="243">
                  <c:v>0.27727339387751793</c:v>
                </c:pt>
                <c:pt idx="244">
                  <c:v>0.27947782496814283</c:v>
                </c:pt>
                <c:pt idx="245">
                  <c:v>0.28168959061783466</c:v>
                </c:pt>
                <c:pt idx="246">
                  <c:v>0.28390866711071289</c:v>
                </c:pt>
                <c:pt idx="247">
                  <c:v>0.28613503062631712</c:v>
                </c:pt>
                <c:pt idx="248">
                  <c:v>0.28836865723995042</c:v>
                </c:pt>
                <c:pt idx="249">
                  <c:v>0.29060952292303044</c:v>
                </c:pt>
                <c:pt idx="250">
                  <c:v>0.29285760354344514</c:v>
                </c:pt>
                <c:pt idx="251">
                  <c:v>0.29511287486591548</c:v>
                </c:pt>
                <c:pt idx="252">
                  <c:v>0.29737531255236416</c:v>
                </c:pt>
                <c:pt idx="253">
                  <c:v>0.29964489216228973</c:v>
                </c:pt>
                <c:pt idx="254">
                  <c:v>0.30192158915314793</c:v>
                </c:pt>
                <c:pt idx="255">
                  <c:v>0.30420537888073801</c:v>
                </c:pt>
                <c:pt idx="256">
                  <c:v>0.30649623659959585</c:v>
                </c:pt>
                <c:pt idx="257">
                  <c:v>0.30879413746339246</c:v>
                </c:pt>
                <c:pt idx="258">
                  <c:v>0.31109905652533876</c:v>
                </c:pt>
                <c:pt idx="259">
                  <c:v>0.31341096873859708</c:v>
                </c:pt>
                <c:pt idx="260">
                  <c:v>0.31572984895669753</c:v>
                </c:pt>
                <c:pt idx="261">
                  <c:v>0.31805567193396078</c:v>
                </c:pt>
                <c:pt idx="262">
                  <c:v>0.32038841232592735</c:v>
                </c:pt>
                <c:pt idx="263">
                  <c:v>0.32272804468979116</c:v>
                </c:pt>
                <c:pt idx="264">
                  <c:v>0.3250745434848421</c:v>
                </c:pt>
                <c:pt idx="265">
                  <c:v>0.32742788307291099</c:v>
                </c:pt>
                <c:pt idx="266">
                  <c:v>0.32978803771882281</c:v>
                </c:pt>
                <c:pt idx="267">
                  <c:v>0.3321549815908546</c:v>
                </c:pt>
                <c:pt idx="268">
                  <c:v>0.33452868876120007</c:v>
                </c:pt>
                <c:pt idx="269">
                  <c:v>0.33690913320643912</c:v>
                </c:pt>
                <c:pt idx="270">
                  <c:v>0.33929628880801405</c:v>
                </c:pt>
                <c:pt idx="271">
                  <c:v>0.34169012935271087</c:v>
                </c:pt>
                <c:pt idx="272">
                  <c:v>0.3440906285331467</c:v>
                </c:pt>
                <c:pt idx="273">
                  <c:v>0.34649775994826232</c:v>
                </c:pt>
                <c:pt idx="274">
                  <c:v>0.34891149710382169</c:v>
                </c:pt>
                <c:pt idx="275">
                  <c:v>0.35133181341291547</c:v>
                </c:pt>
                <c:pt idx="276">
                  <c:v>0.35375868219647177</c:v>
                </c:pt>
                <c:pt idx="277">
                  <c:v>0.3561920766837709</c:v>
                </c:pt>
                <c:pt idx="278">
                  <c:v>0.35863197001296759</c:v>
                </c:pt>
                <c:pt idx="279">
                  <c:v>0.3610783352316162</c:v>
                </c:pt>
                <c:pt idx="280">
                  <c:v>0.36353114529720437</c:v>
                </c:pt>
                <c:pt idx="281">
                  <c:v>0.36599037307768989</c:v>
                </c:pt>
                <c:pt idx="282">
                  <c:v>0.36845599135204393</c:v>
                </c:pt>
                <c:pt idx="283">
                  <c:v>0.37092797281079942</c:v>
                </c:pt>
                <c:pt idx="284">
                  <c:v>0.37340629005660503</c:v>
                </c:pt>
                <c:pt idx="285">
                  <c:v>0.37589091560478427</c:v>
                </c:pt>
                <c:pt idx="286">
                  <c:v>0.37838182188390002</c:v>
                </c:pt>
                <c:pt idx="287">
                  <c:v>0.38087898123632424</c:v>
                </c:pt>
                <c:pt idx="288">
                  <c:v>0.38338236591881258</c:v>
                </c:pt>
                <c:pt idx="289">
                  <c:v>0.38589194810308475</c:v>
                </c:pt>
                <c:pt idx="290">
                  <c:v>0.38840769987640933</c:v>
                </c:pt>
                <c:pt idx="291">
                  <c:v>0.39092959324219445</c:v>
                </c:pt>
                <c:pt idx="292">
                  <c:v>0.39345760012058278</c:v>
                </c:pt>
                <c:pt idx="293">
                  <c:v>0.39599169234905174</c:v>
                </c:pt>
                <c:pt idx="294">
                  <c:v>0.39853184168301925</c:v>
                </c:pt>
                <c:pt idx="295">
                  <c:v>0.40107135714994158</c:v>
                </c:pt>
                <c:pt idx="296">
                  <c:v>0.40360776279675042</c:v>
                </c:pt>
                <c:pt idx="297">
                  <c:v>0.40615010592423856</c:v>
                </c:pt>
                <c:pt idx="298">
                  <c:v>0.40869835990438258</c:v>
                </c:pt>
                <c:pt idx="299">
                  <c:v>0.41125249803243208</c:v>
                </c:pt>
                <c:pt idx="300">
                  <c:v>0.41381249352722499</c:v>
                </c:pt>
                <c:pt idx="301">
                  <c:v>0.41637831953150867</c:v>
                </c:pt>
                <c:pt idx="302">
                  <c:v>0.41894994911226102</c:v>
                </c:pt>
                <c:pt idx="303">
                  <c:v>0.4215273552610162</c:v>
                </c:pt>
                <c:pt idx="304">
                  <c:v>0.42411051089419288</c:v>
                </c:pt>
                <c:pt idx="305">
                  <c:v>0.42669938885342451</c:v>
                </c:pt>
                <c:pt idx="306">
                  <c:v>0.42929396190589358</c:v>
                </c:pt>
                <c:pt idx="307">
                  <c:v>0.43189420274466833</c:v>
                </c:pt>
                <c:pt idx="308">
                  <c:v>0.43450008398904133</c:v>
                </c:pt>
                <c:pt idx="309">
                  <c:v>0.43711157818487278</c:v>
                </c:pt>
                <c:pt idx="310">
                  <c:v>0.43972865780493409</c:v>
                </c:pt>
                <c:pt idx="311">
                  <c:v>0.44235129524925715</c:v>
                </c:pt>
                <c:pt idx="312">
                  <c:v>0.44497946284548384</c:v>
                </c:pt>
                <c:pt idx="313">
                  <c:v>0.44761313284921972</c:v>
                </c:pt>
                <c:pt idx="314">
                  <c:v>0.45025227744439017</c:v>
                </c:pt>
                <c:pt idx="315">
                  <c:v>0.45289686874359891</c:v>
                </c:pt>
                <c:pt idx="316">
                  <c:v>0.45554687878848987</c:v>
                </c:pt>
                <c:pt idx="317">
                  <c:v>0.45820227955011145</c:v>
                </c:pt>
                <c:pt idx="318">
                  <c:v>0.46086304292928371</c:v>
                </c:pt>
                <c:pt idx="319">
                  <c:v>0.46352914075696744</c:v>
                </c:pt>
                <c:pt idx="320">
                  <c:v>0.46620054479463779</c:v>
                </c:pt>
                <c:pt idx="321">
                  <c:v>0.46887722673465793</c:v>
                </c:pt>
                <c:pt idx="322">
                  <c:v>0.47155915820065808</c:v>
                </c:pt>
                <c:pt idx="323">
                  <c:v>0.47424631074791529</c:v>
                </c:pt>
                <c:pt idx="324">
                  <c:v>0.47693865586373657</c:v>
                </c:pt>
                <c:pt idx="325">
                  <c:v>0.47963616496784534</c:v>
                </c:pt>
                <c:pt idx="326">
                  <c:v>0.48233880941276852</c:v>
                </c:pt>
                <c:pt idx="327">
                  <c:v>0.48504656048422917</c:v>
                </c:pt>
                <c:pt idx="328">
                  <c:v>0.48775938940153807</c:v>
                </c:pt>
                <c:pt idx="329">
                  <c:v>0.49047726731799191</c:v>
                </c:pt>
                <c:pt idx="330">
                  <c:v>0.49320016532127048</c:v>
                </c:pt>
                <c:pt idx="331">
                  <c:v>0.49592805443383919</c:v>
                </c:pt>
                <c:pt idx="332">
                  <c:v>0.49866090561335158</c:v>
                </c:pt>
                <c:pt idx="333">
                  <c:v>0.50139868975305679</c:v>
                </c:pt>
                <c:pt idx="334">
                  <c:v>0.50414137768220801</c:v>
                </c:pt>
                <c:pt idx="335">
                  <c:v>0.50688894016647379</c:v>
                </c:pt>
                <c:pt idx="336">
                  <c:v>0.50964134790835236</c:v>
                </c:pt>
                <c:pt idx="337">
                  <c:v>0.51239857154758683</c:v>
                </c:pt>
                <c:pt idx="338">
                  <c:v>0.51516058166158563</c:v>
                </c:pt>
                <c:pt idx="339">
                  <c:v>0.5179273487658419</c:v>
                </c:pt>
                <c:pt idx="340">
                  <c:v>0.52069884331435867</c:v>
                </c:pt>
                <c:pt idx="341">
                  <c:v>0.52347503570007392</c:v>
                </c:pt>
                <c:pt idx="342">
                  <c:v>0.5262558962552899</c:v>
                </c:pt>
                <c:pt idx="343">
                  <c:v>0.52904139525210248</c:v>
                </c:pt>
                <c:pt idx="344">
                  <c:v>0.53183150290283587</c:v>
                </c:pt>
                <c:pt idx="345">
                  <c:v>0.53462618936047701</c:v>
                </c:pt>
                <c:pt idx="346">
                  <c:v>0.5374254247191137</c:v>
                </c:pt>
                <c:pt idx="347">
                  <c:v>0.54022917901437528</c:v>
                </c:pt>
                <c:pt idx="348">
                  <c:v>0.54303742222387386</c:v>
                </c:pt>
                <c:pt idx="349">
                  <c:v>0.54585012426764967</c:v>
                </c:pt>
                <c:pt idx="350">
                  <c:v>0.54866725500861768</c:v>
                </c:pt>
                <c:pt idx="351">
                  <c:v>0.55148878425301728</c:v>
                </c:pt>
                <c:pt idx="352">
                  <c:v>0.55431468175086274</c:v>
                </c:pt>
                <c:pt idx="353">
                  <c:v>0.55714491719639725</c:v>
                </c:pt>
                <c:pt idx="354">
                  <c:v>0.55997946022854861</c:v>
                </c:pt>
                <c:pt idx="355">
                  <c:v>0.56281828043138604</c:v>
                </c:pt>
                <c:pt idx="356">
                  <c:v>0.5656613473345824</c:v>
                </c:pt>
                <c:pt idx="357">
                  <c:v>0.56850863041387334</c:v>
                </c:pt>
                <c:pt idx="358">
                  <c:v>0.57136009909152408</c:v>
                </c:pt>
                <c:pt idx="359">
                  <c:v>0.57421572273679311</c:v>
                </c:pt>
                <c:pt idx="360">
                  <c:v>0.57707547066640319</c:v>
                </c:pt>
                <c:pt idx="361">
                  <c:v>0.57993931214500904</c:v>
                </c:pt>
                <c:pt idx="362">
                  <c:v>0.58280721638567168</c:v>
                </c:pt>
                <c:pt idx="363">
                  <c:v>0.58567915255033143</c:v>
                </c:pt>
                <c:pt idx="364">
                  <c:v>0.58855508975028381</c:v>
                </c:pt>
                <c:pt idx="365">
                  <c:v>0.5914349970466598</c:v>
                </c:pt>
                <c:pt idx="366">
                  <c:v>0.59431884345090369</c:v>
                </c:pt>
                <c:pt idx="367">
                  <c:v>0.59720659792525621</c:v>
                </c:pt>
                <c:pt idx="368">
                  <c:v>0.60009822938323798</c:v>
                </c:pt>
                <c:pt idx="369">
                  <c:v>0.60299370669013586</c:v>
                </c:pt>
                <c:pt idx="370">
                  <c:v>0.605892998663489</c:v>
                </c:pt>
                <c:pt idx="371">
                  <c:v>0.60879607407358072</c:v>
                </c:pt>
                <c:pt idx="372">
                  <c:v>0.61170290164392715</c:v>
                </c:pt>
                <c:pt idx="373">
                  <c:v>0.61461345005177159</c:v>
                </c:pt>
                <c:pt idx="374">
                  <c:v>0.61752768792857882</c:v>
                </c:pt>
                <c:pt idx="375">
                  <c:v>0.62044558386053106</c:v>
                </c:pt>
                <c:pt idx="376">
                  <c:v>0.62336710638902726</c:v>
                </c:pt>
                <c:pt idx="377">
                  <c:v>0.6262922240111809</c:v>
                </c:pt>
                <c:pt idx="378">
                  <c:v>0.62922090518032359</c:v>
                </c:pt>
                <c:pt idx="379">
                  <c:v>0.63215311830650622</c:v>
                </c:pt>
                <c:pt idx="380">
                  <c:v>0.63508883175700448</c:v>
                </c:pt>
                <c:pt idx="381">
                  <c:v>0.63802801385682495</c:v>
                </c:pt>
                <c:pt idx="382">
                  <c:v>0.64097063288921308</c:v>
                </c:pt>
                <c:pt idx="383">
                  <c:v>0.64391665709616175</c:v>
                </c:pt>
                <c:pt idx="384">
                  <c:v>0.64686605467892266</c:v>
                </c:pt>
                <c:pt idx="385">
                  <c:v>0.64981879379851826</c:v>
                </c:pt>
                <c:pt idx="386">
                  <c:v>0.65277484257625529</c:v>
                </c:pt>
                <c:pt idx="387">
                  <c:v>0.65573416909424076</c:v>
                </c:pt>
                <c:pt idx="388">
                  <c:v>0.6586967413958974</c:v>
                </c:pt>
                <c:pt idx="389">
                  <c:v>0.66166252748648224</c:v>
                </c:pt>
                <c:pt idx="390">
                  <c:v>0.6646314953336051</c:v>
                </c:pt>
                <c:pt idx="391">
                  <c:v>0.66760361286775083</c:v>
                </c:pt>
                <c:pt idx="392">
                  <c:v>0.67057884798279876</c:v>
                </c:pt>
                <c:pt idx="393">
                  <c:v>0.67355716853654835</c:v>
                </c:pt>
                <c:pt idx="394">
                  <c:v>0.67653854235124122</c:v>
                </c:pt>
                <c:pt idx="395">
                  <c:v>0.67952293721408941</c:v>
                </c:pt>
                <c:pt idx="396">
                  <c:v>0.68251032087779961</c:v>
                </c:pt>
                <c:pt idx="397">
                  <c:v>0.68550066106110241</c:v>
                </c:pt>
                <c:pt idx="398">
                  <c:v>0.68849392544928212</c:v>
                </c:pt>
                <c:pt idx="399">
                  <c:v>0.69149008169470538</c:v>
                </c:pt>
                <c:pt idx="400">
                  <c:v>0.69448909741735432</c:v>
                </c:pt>
                <c:pt idx="401">
                  <c:v>0.69749094020535685</c:v>
                </c:pt>
                <c:pt idx="402">
                  <c:v>0.70049557761552228</c:v>
                </c:pt>
                <c:pt idx="403">
                  <c:v>0.70350297717387444</c:v>
                </c:pt>
                <c:pt idx="404">
                  <c:v>0.70651310637618803</c:v>
                </c:pt>
                <c:pt idx="405">
                  <c:v>0.7095259326885236</c:v>
                </c:pt>
                <c:pt idx="406">
                  <c:v>0.71254142354776695</c:v>
                </c:pt>
                <c:pt idx="407">
                  <c:v>0.71555954636216546</c:v>
                </c:pt>
                <c:pt idx="408">
                  <c:v>0.71858026851186807</c:v>
                </c:pt>
                <c:pt idx="409">
                  <c:v>0.72160355734946602</c:v>
                </c:pt>
                <c:pt idx="410">
                  <c:v>0.72462938020053203</c:v>
                </c:pt>
                <c:pt idx="411">
                  <c:v>0.72765770436416322</c:v>
                </c:pt>
                <c:pt idx="412">
                  <c:v>0.73068849711352268</c:v>
                </c:pt>
                <c:pt idx="413">
                  <c:v>0.73372172569638372</c:v>
                </c:pt>
                <c:pt idx="414">
                  <c:v>0.73675735733567171</c:v>
                </c:pt>
                <c:pt idx="415">
                  <c:v>0.73979535923001127</c:v>
                </c:pt>
                <c:pt idx="416">
                  <c:v>0.74283569855426879</c:v>
                </c:pt>
                <c:pt idx="417">
                  <c:v>0.74587834246009999</c:v>
                </c:pt>
                <c:pt idx="418">
                  <c:v>0.74892325807649585</c:v>
                </c:pt>
                <c:pt idx="419">
                  <c:v>0.75197041251032948</c:v>
                </c:pt>
                <c:pt idx="420">
                  <c:v>0.75501977284690425</c:v>
                </c:pt>
                <c:pt idx="421">
                  <c:v>0.75807130615050033</c:v>
                </c:pt>
                <c:pt idx="422">
                  <c:v>0.76112497946492519</c:v>
                </c:pt>
                <c:pt idx="423">
                  <c:v>0.76418075981406142</c:v>
                </c:pt>
                <c:pt idx="424">
                  <c:v>0.7672386142024169</c:v>
                </c:pt>
                <c:pt idx="425">
                  <c:v>0.77029850961567359</c:v>
                </c:pt>
                <c:pt idx="426">
                  <c:v>0.7733604130212397</c:v>
                </c:pt>
                <c:pt idx="427">
                  <c:v>0.7764242913687982</c:v>
                </c:pt>
                <c:pt idx="428">
                  <c:v>0.77949011159085857</c:v>
                </c:pt>
                <c:pt idx="429">
                  <c:v>0.78255784060330924</c:v>
                </c:pt>
                <c:pt idx="430">
                  <c:v>0.78562744530596706</c:v>
                </c:pt>
                <c:pt idx="431">
                  <c:v>0.78869889258313108</c:v>
                </c:pt>
                <c:pt idx="432">
                  <c:v>0.7917721493041322</c:v>
                </c:pt>
                <c:pt idx="433">
                  <c:v>0.79484718232388807</c:v>
                </c:pt>
                <c:pt idx="434">
                  <c:v>0.7979239584834531</c:v>
                </c:pt>
                <c:pt idx="435">
                  <c:v>0.80100244461057257</c:v>
                </c:pt>
                <c:pt idx="436">
                  <c:v>0.80408260752023386</c:v>
                </c:pt>
                <c:pt idx="437">
                  <c:v>0.80716441401522054</c:v>
                </c:pt>
                <c:pt idx="438">
                  <c:v>0.81024783088666341</c:v>
                </c:pt>
                <c:pt idx="439">
                  <c:v>0.81333282491459447</c:v>
                </c:pt>
                <c:pt idx="440">
                  <c:v>0.8164193628684997</c:v>
                </c:pt>
                <c:pt idx="441">
                  <c:v>0.81950741150787076</c:v>
                </c:pt>
                <c:pt idx="442">
                  <c:v>0.82259693758275831</c:v>
                </c:pt>
                <c:pt idx="443">
                  <c:v>0.82568790783432422</c:v>
                </c:pt>
                <c:pt idx="444">
                  <c:v>0.82878028899539502</c:v>
                </c:pt>
                <c:pt idx="445">
                  <c:v>0.83187404779101171</c:v>
                </c:pt>
                <c:pt idx="446">
                  <c:v>0.8349691509389856</c:v>
                </c:pt>
                <c:pt idx="447">
                  <c:v>0.83806556515044606</c:v>
                </c:pt>
                <c:pt idx="448">
                  <c:v>0.84116325713039541</c:v>
                </c:pt>
                <c:pt idx="449">
                  <c:v>0.84426219357825927</c:v>
                </c:pt>
                <c:pt idx="450">
                  <c:v>0.84736234118843656</c:v>
                </c:pt>
                <c:pt idx="451">
                  <c:v>0.85046366665085249</c:v>
                </c:pt>
                <c:pt idx="452">
                  <c:v>0.85356613665150738</c:v>
                </c:pt>
                <c:pt idx="453">
                  <c:v>0.85666971787302726</c:v>
                </c:pt>
                <c:pt idx="454">
                  <c:v>0.85977437699521386</c:v>
                </c:pt>
                <c:pt idx="455">
                  <c:v>0.86288008069559419</c:v>
                </c:pt>
                <c:pt idx="456">
                  <c:v>0.86598679564996817</c:v>
                </c:pt>
                <c:pt idx="457">
                  <c:v>0.8690944885329589</c:v>
                </c:pt>
                <c:pt idx="458">
                  <c:v>0.87220312601855865</c:v>
                </c:pt>
                <c:pt idx="459">
                  <c:v>0.87531267478067776</c:v>
                </c:pt>
                <c:pt idx="460">
                  <c:v>0.87842310149369085</c:v>
                </c:pt>
                <c:pt idx="461">
                  <c:v>0.88153437283298253</c:v>
                </c:pt>
                <c:pt idx="462">
                  <c:v>0.88464645547549481</c:v>
                </c:pt>
                <c:pt idx="463">
                  <c:v>0.88775931610026926</c:v>
                </c:pt>
                <c:pt idx="464">
                  <c:v>0.89087292138899499</c:v>
                </c:pt>
                <c:pt idx="465">
                  <c:v>0.893987238026549</c:v>
                </c:pt>
                <c:pt idx="466">
                  <c:v>0.89710223270154155</c:v>
                </c:pt>
                <c:pt idx="467">
                  <c:v>0.90021787210685644</c:v>
                </c:pt>
                <c:pt idx="468">
                  <c:v>0.90333412294019466</c:v>
                </c:pt>
                <c:pt idx="469">
                  <c:v>0.90645095190461278</c:v>
                </c:pt>
                <c:pt idx="470">
                  <c:v>0.90956832570906487</c:v>
                </c:pt>
                <c:pt idx="471">
                  <c:v>0.91268621106893999</c:v>
                </c:pt>
                <c:pt idx="472">
                  <c:v>0.91580457470660137</c:v>
                </c:pt>
                <c:pt idx="473">
                  <c:v>0.91892338335192303</c:v>
                </c:pt>
                <c:pt idx="474">
                  <c:v>0.92204260374282643</c:v>
                </c:pt>
                <c:pt idx="475">
                  <c:v>0.9251622026258165</c:v>
                </c:pt>
                <c:pt idx="476">
                  <c:v>0.92828214675651466</c:v>
                </c:pt>
                <c:pt idx="477">
                  <c:v>0.93140240290019394</c:v>
                </c:pt>
                <c:pt idx="478">
                  <c:v>0.93452293783230989</c:v>
                </c:pt>
                <c:pt idx="479">
                  <c:v>0.93764371833903337</c:v>
                </c:pt>
                <c:pt idx="480">
                  <c:v>0.94076471121777983</c:v>
                </c:pt>
                <c:pt idx="481">
                  <c:v>0.94388588327773948</c:v>
                </c:pt>
                <c:pt idx="482">
                  <c:v>0.9470072013404045</c:v>
                </c:pt>
                <c:pt idx="483">
                  <c:v>0.9501286322400968</c:v>
                </c:pt>
                <c:pt idx="484">
                  <c:v>0.9532501428244935</c:v>
                </c:pt>
                <c:pt idx="485">
                  <c:v>0.95637169995515148</c:v>
                </c:pt>
                <c:pt idx="486">
                  <c:v>0.95949327050803168</c:v>
                </c:pt>
                <c:pt idx="487">
                  <c:v>0.96261482137401999</c:v>
                </c:pt>
                <c:pt idx="488">
                  <c:v>0.9657363194594496</c:v>
                </c:pt>
                <c:pt idx="489">
                  <c:v>0.96885773168661915</c:v>
                </c:pt>
                <c:pt idx="490">
                  <c:v>0.97197902499431277</c:v>
                </c:pt>
                <c:pt idx="491">
                  <c:v>0.97510016633831598</c:v>
                </c:pt>
                <c:pt idx="492">
                  <c:v>0.9782211226919314</c:v>
                </c:pt>
                <c:pt idx="493">
                  <c:v>0.98134186104649435</c:v>
                </c:pt>
                <c:pt idx="494">
                  <c:v>0.98446234841188363</c:v>
                </c:pt>
                <c:pt idx="495">
                  <c:v>0.98758255181703547</c:v>
                </c:pt>
                <c:pt idx="496">
                  <c:v>0.99070243831045135</c:v>
                </c:pt>
                <c:pt idx="497">
                  <c:v>0.99382197496070879</c:v>
                </c:pt>
                <c:pt idx="498">
                  <c:v>0.9969411288569664</c:v>
                </c:pt>
                <c:pt idx="499">
                  <c:v>1.0000598671094714</c:v>
                </c:pt>
              </c:numCache>
            </c:numRef>
          </c:xVal>
          <c:yVal>
            <c:numRef>
              <c:f>Data3!$H$1:$H$500</c:f>
              <c:numCache>
                <c:formatCode>0.00000</c:formatCode>
                <c:ptCount val="500"/>
                <c:pt idx="0">
                  <c:v>0</c:v>
                </c:pt>
                <c:pt idx="1">
                  <c:v>1.9787501400139068E-4</c:v>
                </c:pt>
                <c:pt idx="2">
                  <c:v>3.9694697488076148E-4</c:v>
                </c:pt>
                <c:pt idx="3">
                  <c:v>5.9721528714138739E-4</c:v>
                </c:pt>
                <c:pt idx="4">
                  <c:v>7.9867918732389343E-4</c:v>
                </c:pt>
                <c:pt idx="5">
                  <c:v>1.0013377440077525E-3</c:v>
                </c:pt>
                <c:pt idx="6">
                  <c:v>1.205189857835958E-3</c:v>
                </c:pt>
                <c:pt idx="7">
                  <c:v>1.4102342615450118E-3</c:v>
                </c:pt>
                <c:pt idx="8">
                  <c:v>1.6164695200075055E-3</c:v>
                </c:pt>
                <c:pt idx="9">
                  <c:v>1.8238940302868858E-3</c:v>
                </c:pt>
                <c:pt idx="10">
                  <c:v>2.0325060217029388E-3</c:v>
                </c:pt>
                <c:pt idx="11">
                  <c:v>2.2423035559092637E-3</c:v>
                </c:pt>
                <c:pt idx="12">
                  <c:v>2.4532845269814121E-3</c:v>
                </c:pt>
                <c:pt idx="13">
                  <c:v>2.6654466615166129E-3</c:v>
                </c:pt>
                <c:pt idx="14">
                  <c:v>2.8787875187454874E-3</c:v>
                </c:pt>
                <c:pt idx="15">
                  <c:v>3.0933044906546817E-3</c:v>
                </c:pt>
                <c:pt idx="16">
                  <c:v>3.3089948021199959E-3</c:v>
                </c:pt>
                <c:pt idx="17">
                  <c:v>3.5258555110530406E-3</c:v>
                </c:pt>
                <c:pt idx="18">
                  <c:v>3.7438835085567071E-3</c:v>
                </c:pt>
                <c:pt idx="19">
                  <c:v>3.963075519094297E-3</c:v>
                </c:pt>
                <c:pt idx="20">
                  <c:v>4.1834281006678667E-3</c:v>
                </c:pt>
                <c:pt idx="21">
                  <c:v>4.4049376450095998E-3</c:v>
                </c:pt>
                <c:pt idx="22">
                  <c:v>4.6276003777835535E-3</c:v>
                </c:pt>
                <c:pt idx="23">
                  <c:v>4.8514123587991079E-3</c:v>
                </c:pt>
                <c:pt idx="24">
                  <c:v>5.0763694822351683E-3</c:v>
                </c:pt>
                <c:pt idx="25">
                  <c:v>5.3024674768765503E-3</c:v>
                </c:pt>
                <c:pt idx="26">
                  <c:v>5.5297019063603571E-3</c:v>
                </c:pt>
                <c:pt idx="27">
                  <c:v>5.7580681694350804E-3</c:v>
                </c:pt>
                <c:pt idx="28">
                  <c:v>5.98756150022963E-3</c:v>
                </c:pt>
                <c:pt idx="29">
                  <c:v>6.2181769685342057E-3</c:v>
                </c:pt>
                <c:pt idx="30">
                  <c:v>6.4499094800926369E-3</c:v>
                </c:pt>
                <c:pt idx="31">
                  <c:v>6.682753776904673E-3</c:v>
                </c:pt>
                <c:pt idx="32">
                  <c:v>6.9167044375411397E-3</c:v>
                </c:pt>
                <c:pt idx="33">
                  <c:v>7.151755877469009E-3</c:v>
                </c:pt>
                <c:pt idx="34">
                  <c:v>7.3879023493878069E-3</c:v>
                </c:pt>
                <c:pt idx="35">
                  <c:v>7.6251379435773236E-3</c:v>
                </c:pt>
                <c:pt idx="36">
                  <c:v>7.8634565882565385E-3</c:v>
                </c:pt>
                <c:pt idx="37">
                  <c:v>8.1028520499531794E-3</c:v>
                </c:pt>
                <c:pt idx="38">
                  <c:v>8.343317933884483E-3</c:v>
                </c:pt>
                <c:pt idx="39">
                  <c:v>8.5848476843491412E-3</c:v>
                </c:pt>
                <c:pt idx="40">
                  <c:v>8.8274345851300368E-3</c:v>
                </c:pt>
                <c:pt idx="41">
                  <c:v>9.0710717599080636E-3</c:v>
                </c:pt>
                <c:pt idx="42">
                  <c:v>9.3157521726866966E-3</c:v>
                </c:pt>
                <c:pt idx="43">
                  <c:v>9.5614686282275672E-3</c:v>
                </c:pt>
                <c:pt idx="44">
                  <c:v>9.8082137724971111E-3</c:v>
                </c:pt>
                <c:pt idx="45">
                  <c:v>1.0055980093123824E-2</c:v>
                </c:pt>
                <c:pt idx="46">
                  <c:v>1.030475991986648E-2</c:v>
                </c:pt>
                <c:pt idx="47">
                  <c:v>1.0554545425092871E-2</c:v>
                </c:pt>
                <c:pt idx="48">
                  <c:v>1.080532862426997E-2</c:v>
                </c:pt>
                <c:pt idx="49">
                  <c:v>1.1057101376463957E-2</c:v>
                </c:pt>
                <c:pt idx="50">
                  <c:v>1.1309855384851757E-2</c:v>
                </c:pt>
                <c:pt idx="51">
                  <c:v>1.1563582197242692E-2</c:v>
                </c:pt>
                <c:pt idx="52">
                  <c:v>1.1818273206611203E-2</c:v>
                </c:pt>
                <c:pt idx="53">
                  <c:v>1.2073919651639915E-2</c:v>
                </c:pt>
                <c:pt idx="54">
                  <c:v>1.2330512617273134E-2</c:v>
                </c:pt>
                <c:pt idx="55">
                  <c:v>1.2588043035281566E-2</c:v>
                </c:pt>
                <c:pt idx="56">
                  <c:v>1.2846501684836675E-2</c:v>
                </c:pt>
                <c:pt idx="57">
                  <c:v>1.3105879193096264E-2</c:v>
                </c:pt>
                <c:pt idx="58">
                  <c:v>1.3366166035799975E-2</c:v>
                </c:pt>
                <c:pt idx="59">
                  <c:v>1.362735253787549E-2</c:v>
                </c:pt>
                <c:pt idx="60">
                  <c:v>1.3889428874055103E-2</c:v>
                </c:pt>
                <c:pt idx="61">
                  <c:v>1.415238506950238E-2</c:v>
                </c:pt>
                <c:pt idx="62">
                  <c:v>1.441621100044941E-2</c:v>
                </c:pt>
                <c:pt idx="63">
                  <c:v>1.4680896394844179E-2</c:v>
                </c:pt>
                <c:pt idx="64">
                  <c:v>1.4946430833007941E-2</c:v>
                </c:pt>
                <c:pt idx="65">
                  <c:v>1.5212803748303378E-2</c:v>
                </c:pt>
                <c:pt idx="66">
                  <c:v>1.5480004427812142E-2</c:v>
                </c:pt>
                <c:pt idx="67">
                  <c:v>1.5748022013022979E-2</c:v>
                </c:pt>
                <c:pt idx="68">
                  <c:v>1.6016845500529855E-2</c:v>
                </c:pt>
                <c:pt idx="69">
                  <c:v>1.6286463742739822E-2</c:v>
                </c:pt>
                <c:pt idx="70">
                  <c:v>1.6556865448591314E-2</c:v>
                </c:pt>
                <c:pt idx="71">
                  <c:v>1.6828039184281687E-2</c:v>
                </c:pt>
                <c:pt idx="72">
                  <c:v>1.7099973374005442E-2</c:v>
                </c:pt>
                <c:pt idx="73">
                  <c:v>1.7372656300701519E-2</c:v>
                </c:pt>
                <c:pt idx="74">
                  <c:v>1.7646076106810998E-2</c:v>
                </c:pt>
                <c:pt idx="75">
                  <c:v>1.7920220795044104E-2</c:v>
                </c:pt>
                <c:pt idx="76">
                  <c:v>1.819507822915694E-2</c:v>
                </c:pt>
                <c:pt idx="77">
                  <c:v>1.8470636134738351E-2</c:v>
                </c:pt>
                <c:pt idx="78">
                  <c:v>1.8746882100005548E-2</c:v>
                </c:pt>
                <c:pt idx="79">
                  <c:v>1.9023803576610102E-2</c:v>
                </c:pt>
                <c:pt idx="80">
                  <c:v>1.9301387880452797E-2</c:v>
                </c:pt>
                <c:pt idx="81">
                  <c:v>1.9579622192508354E-2</c:v>
                </c:pt>
                <c:pt idx="82">
                  <c:v>1.9858493559659292E-2</c:v>
                </c:pt>
                <c:pt idx="83">
                  <c:v>2.0137988895539249E-2</c:v>
                </c:pt>
                <c:pt idx="84">
                  <c:v>2.0418094981385543E-2</c:v>
                </c:pt>
                <c:pt idx="85">
                  <c:v>2.069879846690089E-2</c:v>
                </c:pt>
                <c:pt idx="86">
                  <c:v>2.0980085871124581E-2</c:v>
                </c:pt>
                <c:pt idx="87">
                  <c:v>2.126194358331239E-2</c:v>
                </c:pt>
                <c:pt idx="88">
                  <c:v>2.1544357863825841E-2</c:v>
                </c:pt>
                <c:pt idx="89">
                  <c:v>2.1827314845030452E-2</c:v>
                </c:pt>
                <c:pt idx="90">
                  <c:v>2.2110800532202681E-2</c:v>
                </c:pt>
                <c:pt idx="91">
                  <c:v>2.2394800804446179E-2</c:v>
                </c:pt>
                <c:pt idx="92">
                  <c:v>2.2679301415616658E-2</c:v>
                </c:pt>
                <c:pt idx="93">
                  <c:v>2.2964287995255416E-2</c:v>
                </c:pt>
                <c:pt idx="94">
                  <c:v>2.3249746049531853E-2</c:v>
                </c:pt>
                <c:pt idx="95">
                  <c:v>2.3535660962194557E-2</c:v>
                </c:pt>
                <c:pt idx="96">
                  <c:v>2.3822017995530895E-2</c:v>
                </c:pt>
                <c:pt idx="97">
                  <c:v>2.4108802291335205E-2</c:v>
                </c:pt>
                <c:pt idx="98">
                  <c:v>2.4395998871885722E-2</c:v>
                </c:pt>
                <c:pt idx="99">
                  <c:v>2.4683592640929407E-2</c:v>
                </c:pt>
                <c:pt idx="100">
                  <c:v>2.4971568384675614E-2</c:v>
                </c:pt>
                <c:pt idx="101">
                  <c:v>2.5259910772797798E-2</c:v>
                </c:pt>
                <c:pt idx="102">
                  <c:v>2.5548604359443592E-2</c:v>
                </c:pt>
                <c:pt idx="103">
                  <c:v>2.5837633584252992E-2</c:v>
                </c:pt>
                <c:pt idx="104">
                  <c:v>2.6126982773384582E-2</c:v>
                </c:pt>
                <c:pt idx="105">
                  <c:v>2.6416636140549905E-2</c:v>
                </c:pt>
                <c:pt idx="106">
                  <c:v>2.6706577788055783E-2</c:v>
                </c:pt>
                <c:pt idx="107">
                  <c:v>2.6996791707854469E-2</c:v>
                </c:pt>
                <c:pt idx="108">
                  <c:v>2.7287261782601869E-2</c:v>
                </c:pt>
                <c:pt idx="109">
                  <c:v>2.7577971786723086E-2</c:v>
                </c:pt>
                <c:pt idx="110">
                  <c:v>2.7868905387486265E-2</c:v>
                </c:pt>
                <c:pt idx="111">
                  <c:v>2.8160046146083438E-2</c:v>
                </c:pt>
                <c:pt idx="112">
                  <c:v>2.8451377518719567E-2</c:v>
                </c:pt>
                <c:pt idx="113">
                  <c:v>2.8742882857708558E-2</c:v>
                </c:pt>
                <c:pt idx="114">
                  <c:v>2.9034545412576971E-2</c:v>
                </c:pt>
                <c:pt idx="115">
                  <c:v>2.9326348331175034E-2</c:v>
                </c:pt>
                <c:pt idx="116">
                  <c:v>2.9618274660794974E-2</c:v>
                </c:pt>
                <c:pt idx="117">
                  <c:v>2.991030734929646E-2</c:v>
                </c:pt>
                <c:pt idx="118">
                  <c:v>3.0202429246239212E-2</c:v>
                </c:pt>
                <c:pt idx="119">
                  <c:v>3.0494623104022803E-2</c:v>
                </c:pt>
                <c:pt idx="120">
                  <c:v>3.0786871579033332E-2</c:v>
                </c:pt>
                <c:pt idx="121">
                  <c:v>3.1079157232796958E-2</c:v>
                </c:pt>
                <c:pt idx="122">
                  <c:v>3.1371462533140382E-2</c:v>
                </c:pt>
                <c:pt idx="123">
                  <c:v>3.1663769855358112E-2</c:v>
                </c:pt>
                <c:pt idx="124">
                  <c:v>3.195606148338638E-2</c:v>
                </c:pt>
                <c:pt idx="125">
                  <c:v>3.2248319610983595E-2</c:v>
                </c:pt>
                <c:pt idx="126">
                  <c:v>3.2540526342917417E-2</c:v>
                </c:pt>
                <c:pt idx="127">
                  <c:v>3.2832663696158344E-2</c:v>
                </c:pt>
                <c:pt idx="128">
                  <c:v>3.3124713601079506E-2</c:v>
                </c:pt>
                <c:pt idx="129">
                  <c:v>3.3416657902662995E-2</c:v>
                </c:pt>
                <c:pt idx="130">
                  <c:v>3.3708478361712181E-2</c:v>
                </c:pt>
                <c:pt idx="131">
                  <c:v>3.4000156656070347E-2</c:v>
                </c:pt>
                <c:pt idx="132">
                  <c:v>3.4291674381845251E-2</c:v>
                </c:pt>
                <c:pt idx="133">
                  <c:v>3.4583013054639851E-2</c:v>
                </c:pt>
                <c:pt idx="134">
                  <c:v>3.487415411078873E-2</c:v>
                </c:pt>
                <c:pt idx="135">
                  <c:v>3.5165078908600475E-2</c:v>
                </c:pt>
                <c:pt idx="136">
                  <c:v>3.5455768729605777E-2</c:v>
                </c:pt>
                <c:pt idx="137">
                  <c:v>3.574620477981108E-2</c:v>
                </c:pt>
                <c:pt idx="138">
                  <c:v>3.6036368190958006E-2</c:v>
                </c:pt>
                <c:pt idx="139">
                  <c:v>3.632624002178806E-2</c:v>
                </c:pt>
                <c:pt idx="140">
                  <c:v>3.6615801259312894E-2</c:v>
                </c:pt>
                <c:pt idx="141">
                  <c:v>3.6905032820089778E-2</c:v>
                </c:pt>
                <c:pt idx="142">
                  <c:v>3.7193915551502414E-2</c:v>
                </c:pt>
                <c:pt idx="143">
                  <c:v>3.7482430233046739E-2</c:v>
                </c:pt>
                <c:pt idx="144">
                  <c:v>3.7770557577622044E-2</c:v>
                </c:pt>
                <c:pt idx="145">
                  <c:v>3.8058278232826863E-2</c:v>
                </c:pt>
                <c:pt idx="146">
                  <c:v>3.8345572782259744E-2</c:v>
                </c:pt>
                <c:pt idx="147">
                  <c:v>3.8632421746825081E-2</c:v>
                </c:pt>
                <c:pt idx="148">
                  <c:v>3.8918805586043242E-2</c:v>
                </c:pt>
                <c:pt idx="149">
                  <c:v>3.9204704699365794E-2</c:v>
                </c:pt>
                <c:pt idx="150">
                  <c:v>3.9490099427494901E-2</c:v>
                </c:pt>
                <c:pt idx="151">
                  <c:v>3.9774970053707351E-2</c:v>
                </c:pt>
                <c:pt idx="152">
                  <c:v>4.0059296805182887E-2</c:v>
                </c:pt>
                <c:pt idx="153">
                  <c:v>4.034305985433688E-2</c:v>
                </c:pt>
                <c:pt idx="154">
                  <c:v>4.0626239320157104E-2</c:v>
                </c:pt>
                <c:pt idx="155">
                  <c:v>4.0908815269544645E-2</c:v>
                </c:pt>
                <c:pt idx="156">
                  <c:v>4.1190767718658781E-2</c:v>
                </c:pt>
                <c:pt idx="157">
                  <c:v>4.1472076634265831E-2</c:v>
                </c:pt>
                <c:pt idx="158">
                  <c:v>4.1752721935091698E-2</c:v>
                </c:pt>
                <c:pt idx="159">
                  <c:v>4.2032683493178402E-2</c:v>
                </c:pt>
                <c:pt idx="160">
                  <c:v>4.2311941135243808E-2</c:v>
                </c:pt>
                <c:pt idx="161">
                  <c:v>4.259047464404541E-2</c:v>
                </c:pt>
                <c:pt idx="162">
                  <c:v>4.2868263759747206E-2</c:v>
                </c:pt>
                <c:pt idx="163">
                  <c:v>4.3145288181289911E-2</c:v>
                </c:pt>
                <c:pt idx="164">
                  <c:v>4.3421527567764781E-2</c:v>
                </c:pt>
                <c:pt idx="165">
                  <c:v>4.3696961539790177E-2</c:v>
                </c:pt>
                <c:pt idx="166">
                  <c:v>4.3971569680891498E-2</c:v>
                </c:pt>
                <c:pt idx="167">
                  <c:v>4.4245331538883957E-2</c:v>
                </c:pt>
                <c:pt idx="168">
                  <c:v>4.4518226627258267E-2</c:v>
                </c:pt>
                <c:pt idx="169">
                  <c:v>4.4790234426569119E-2</c:v>
                </c:pt>
                <c:pt idx="170">
                  <c:v>4.506133438582631E-2</c:v>
                </c:pt>
                <c:pt idx="171">
                  <c:v>4.533150592388855E-2</c:v>
                </c:pt>
                <c:pt idx="172">
                  <c:v>4.560072843085973E-2</c:v>
                </c:pt>
                <c:pt idx="173">
                  <c:v>4.5868981269487505E-2</c:v>
                </c:pt>
                <c:pt idx="174">
                  <c:v>4.6136243776564265E-2</c:v>
                </c:pt>
                <c:pt idx="175">
                  <c:v>4.6402495264330372E-2</c:v>
                </c:pt>
                <c:pt idx="176">
                  <c:v>4.6667715021879323E-2</c:v>
                </c:pt>
                <c:pt idx="177">
                  <c:v>4.6931882316565109E-2</c:v>
                </c:pt>
                <c:pt idx="178">
                  <c:v>4.719497639541137E-2</c:v>
                </c:pt>
                <c:pt idx="179">
                  <c:v>4.7456976486522424E-2</c:v>
                </c:pt>
                <c:pt idx="180">
                  <c:v>4.771786180049592E-2</c:v>
                </c:pt>
                <c:pt idx="181">
                  <c:v>4.7977611531837279E-2</c:v>
                </c:pt>
                <c:pt idx="182">
                  <c:v>4.823620486037547E-2</c:v>
                </c:pt>
                <c:pt idx="183">
                  <c:v>4.8493620952680269E-2</c:v>
                </c:pt>
                <c:pt idx="184">
                  <c:v>4.874983896348091E-2</c:v>
                </c:pt>
                <c:pt idx="185">
                  <c:v>4.9004838037085781E-2</c:v>
                </c:pt>
                <c:pt idx="186">
                  <c:v>4.9258597308803449E-2</c:v>
                </c:pt>
                <c:pt idx="187">
                  <c:v>4.9511095906364537E-2</c:v>
                </c:pt>
                <c:pt idx="188">
                  <c:v>4.9762312951344548E-2</c:v>
                </c:pt>
                <c:pt idx="189">
                  <c:v>5.001222756058759E-2</c:v>
                </c:pt>
                <c:pt idx="190">
                  <c:v>5.0260818847630714E-2</c:v>
                </c:pt>
                <c:pt idx="191">
                  <c:v>5.0508065924128931E-2</c:v>
                </c:pt>
                <c:pt idx="192">
                  <c:v>5.0753947901280676E-2</c:v>
                </c:pt>
                <c:pt idx="193">
                  <c:v>5.0998443891253728E-2</c:v>
                </c:pt>
                <c:pt idx="194">
                  <c:v>5.1241533008611471E-2</c:v>
                </c:pt>
                <c:pt idx="195">
                  <c:v>5.1483194371739274E-2</c:v>
                </c:pt>
                <c:pt idx="196">
                  <c:v>5.1723407104271021E-2</c:v>
                </c:pt>
                <c:pt idx="197">
                  <c:v>5.1962150336515717E-2</c:v>
                </c:pt>
                <c:pt idx="198">
                  <c:v>5.2199403206883786E-2</c:v>
                </c:pt>
                <c:pt idx="199">
                  <c:v>5.243514486331341E-2</c:v>
                </c:pt>
                <c:pt idx="200">
                  <c:v>5.2669354464696477E-2</c:v>
                </c:pt>
                <c:pt idx="201">
                  <c:v>5.2902011182303935E-2</c:v>
                </c:pt>
                <c:pt idx="202">
                  <c:v>5.3133094201210991E-2</c:v>
                </c:pt>
                <c:pt idx="203">
                  <c:v>5.3362582721721445E-2</c:v>
                </c:pt>
                <c:pt idx="204">
                  <c:v>5.3590455960791261E-2</c:v>
                </c:pt>
                <c:pt idx="205">
                  <c:v>5.3816693153451667E-2</c:v>
                </c:pt>
                <c:pt idx="206">
                  <c:v>5.4041273554230759E-2</c:v>
                </c:pt>
                <c:pt idx="207">
                  <c:v>5.4264176438574778E-2</c:v>
                </c:pt>
                <c:pt idx="208">
                  <c:v>5.4485381104267636E-2</c:v>
                </c:pt>
                <c:pt idx="209">
                  <c:v>5.4704866872849561E-2</c:v>
                </c:pt>
                <c:pt idx="210">
                  <c:v>5.4922613091034411E-2</c:v>
                </c:pt>
                <c:pt idx="211">
                  <c:v>5.5138599132125279E-2</c:v>
                </c:pt>
                <c:pt idx="212">
                  <c:v>5.5352804397428894E-2</c:v>
                </c:pt>
                <c:pt idx="213">
                  <c:v>5.5565208317668133E-2</c:v>
                </c:pt>
                <c:pt idx="214">
                  <c:v>5.5775790354392965E-2</c:v>
                </c:pt>
                <c:pt idx="215">
                  <c:v>5.5984530001389324E-2</c:v>
                </c:pt>
                <c:pt idx="216">
                  <c:v>5.6191406786086334E-2</c:v>
                </c:pt>
                <c:pt idx="217">
                  <c:v>5.6396400270961142E-2</c:v>
                </c:pt>
                <c:pt idx="218">
                  <c:v>5.6599490054941887E-2</c:v>
                </c:pt>
                <c:pt idx="219">
                  <c:v>5.6800655774808181E-2</c:v>
                </c:pt>
                <c:pt idx="220">
                  <c:v>5.6999877106589367E-2</c:v>
                </c:pt>
                <c:pt idx="221">
                  <c:v>5.7197133766960284E-2</c:v>
                </c:pt>
                <c:pt idx="222">
                  <c:v>5.7392405514634336E-2</c:v>
                </c:pt>
                <c:pt idx="223">
                  <c:v>5.7585672151754169E-2</c:v>
                </c:pt>
                <c:pt idx="224">
                  <c:v>5.7776913525279194E-2</c:v>
                </c:pt>
                <c:pt idx="225">
                  <c:v>5.7966109528370523E-2</c:v>
                </c:pt>
                <c:pt idx="226">
                  <c:v>5.8153240101772856E-2</c:v>
                </c:pt>
                <c:pt idx="227">
                  <c:v>5.8338285235193223E-2</c:v>
                </c:pt>
                <c:pt idx="228">
                  <c:v>5.8521224968676525E-2</c:v>
                </c:pt>
                <c:pt idx="229">
                  <c:v>5.870203939397789E-2</c:v>
                </c:pt>
                <c:pt idx="230">
                  <c:v>5.8880708655931605E-2</c:v>
                </c:pt>
                <c:pt idx="231">
                  <c:v>5.9057212953816475E-2</c:v>
                </c:pt>
                <c:pt idx="232">
                  <c:v>5.9231532542717638E-2</c:v>
                </c:pt>
                <c:pt idx="233">
                  <c:v>5.940364773488474E-2</c:v>
                </c:pt>
                <c:pt idx="234">
                  <c:v>5.9573538901086243E-2</c:v>
                </c:pt>
                <c:pt idx="235">
                  <c:v>5.974118647195982E-2</c:v>
                </c:pt>
                <c:pt idx="236">
                  <c:v>5.9906570939358875E-2</c:v>
                </c:pt>
                <c:pt idx="237">
                  <c:v>6.0069672857694753E-2</c:v>
                </c:pt>
                <c:pt idx="238">
                  <c:v>6.0230472845274968E-2</c:v>
                </c:pt>
                <c:pt idx="239">
                  <c:v>6.0388951585636994E-2</c:v>
                </c:pt>
                <c:pt idx="240">
                  <c:v>6.0545089828877671E-2</c:v>
                </c:pt>
                <c:pt idx="241">
                  <c:v>6.0698868392978167E-2</c:v>
                </c:pt>
                <c:pt idx="242">
                  <c:v>6.0850268165124316E-2</c:v>
                </c:pt>
                <c:pt idx="243">
                  <c:v>6.0999270103022238E-2</c:v>
                </c:pt>
                <c:pt idx="244">
                  <c:v>6.1145855236209079E-2</c:v>
                </c:pt>
                <c:pt idx="245">
                  <c:v>6.1290004667359121E-2</c:v>
                </c:pt>
                <c:pt idx="246">
                  <c:v>6.1431699573584519E-2</c:v>
                </c:pt>
                <c:pt idx="247">
                  <c:v>6.1570921207731319E-2</c:v>
                </c:pt>
                <c:pt idx="248">
                  <c:v>6.1707650899669994E-2</c:v>
                </c:pt>
                <c:pt idx="249">
                  <c:v>6.184187005758085E-2</c:v>
                </c:pt>
                <c:pt idx="250">
                  <c:v>6.197356016923402E-2</c:v>
                </c:pt>
                <c:pt idx="251">
                  <c:v>6.2102702803263875E-2</c:v>
                </c:pt>
                <c:pt idx="252">
                  <c:v>6.2229279610438032E-2</c:v>
                </c:pt>
                <c:pt idx="253">
                  <c:v>6.2353272324920578E-2</c:v>
                </c:pt>
                <c:pt idx="254">
                  <c:v>6.247466276552946E-2</c:v>
                </c:pt>
                <c:pt idx="255">
                  <c:v>6.2593432836988178E-2</c:v>
                </c:pt>
                <c:pt idx="256">
                  <c:v>6.270956453117138E-2</c:v>
                </c:pt>
                <c:pt idx="257">
                  <c:v>6.2823039928344426E-2</c:v>
                </c:pt>
                <c:pt idx="258">
                  <c:v>6.2933841198396845E-2</c:v>
                </c:pt>
                <c:pt idx="259">
                  <c:v>6.3041950602069546E-2</c:v>
                </c:pt>
                <c:pt idx="260">
                  <c:v>6.3147350492175652E-2</c:v>
                </c:pt>
                <c:pt idx="261">
                  <c:v>6.3250023314814843E-2</c:v>
                </c:pt>
                <c:pt idx="262">
                  <c:v>6.3349951610581434E-2</c:v>
                </c:pt>
                <c:pt idx="263">
                  <c:v>6.3447118015765427E-2</c:v>
                </c:pt>
                <c:pt idx="264">
                  <c:v>6.3541505263547321E-2</c:v>
                </c:pt>
                <c:pt idx="265">
                  <c:v>6.3633096185185783E-2</c:v>
                </c:pt>
                <c:pt idx="266">
                  <c:v>6.3721873711198487E-2</c:v>
                </c:pt>
                <c:pt idx="267">
                  <c:v>6.3807820872536183E-2</c:v>
                </c:pt>
                <c:pt idx="268">
                  <c:v>6.3890920801749379E-2</c:v>
                </c:pt>
                <c:pt idx="269">
                  <c:v>6.3971156734148216E-2</c:v>
                </c:pt>
                <c:pt idx="270">
                  <c:v>6.4048512008954769E-2</c:v>
                </c:pt>
                <c:pt idx="271">
                  <c:v>6.4122970070448315E-2</c:v>
                </c:pt>
                <c:pt idx="272">
                  <c:v>6.4194514469102834E-2</c:v>
                </c:pt>
                <c:pt idx="273">
                  <c:v>6.4263128862717456E-2</c:v>
                </c:pt>
                <c:pt idx="274">
                  <c:v>6.4328797017538908E-2</c:v>
                </c:pt>
                <c:pt idx="275">
                  <c:v>6.43915028093765E-2</c:v>
                </c:pt>
                <c:pt idx="276">
                  <c:v>6.4451230224709194E-2</c:v>
                </c:pt>
                <c:pt idx="277">
                  <c:v>6.4507963361785117E-2</c:v>
                </c:pt>
                <c:pt idx="278">
                  <c:v>6.4561686431712825E-2</c:v>
                </c:pt>
                <c:pt idx="279">
                  <c:v>6.4612383759544673E-2</c:v>
                </c:pt>
                <c:pt idx="280">
                  <c:v>6.4660039785352189E-2</c:v>
                </c:pt>
                <c:pt idx="281">
                  <c:v>6.4704639065293071E-2</c:v>
                </c:pt>
                <c:pt idx="282">
                  <c:v>6.474616627267013E-2</c:v>
                </c:pt>
                <c:pt idx="283">
                  <c:v>6.4784606198981659E-2</c:v>
                </c:pt>
                <c:pt idx="284">
                  <c:v>6.4819943754963805E-2</c:v>
                </c:pt>
                <c:pt idx="285">
                  <c:v>6.4852163971623814E-2</c:v>
                </c:pt>
                <c:pt idx="286">
                  <c:v>6.4881252001265252E-2</c:v>
                </c:pt>
                <c:pt idx="287">
                  <c:v>6.4907193118504375E-2</c:v>
                </c:pt>
                <c:pt idx="288">
                  <c:v>6.4929972721277596E-2</c:v>
                </c:pt>
                <c:pt idx="289">
                  <c:v>6.4949576331840481E-2</c:v>
                </c:pt>
                <c:pt idx="290">
                  <c:v>6.4965989597757567E-2</c:v>
                </c:pt>
                <c:pt idx="291">
                  <c:v>6.4979198292883428E-2</c:v>
                </c:pt>
                <c:pt idx="292">
                  <c:v>6.4989188318334515E-2</c:v>
                </c:pt>
                <c:pt idx="293">
                  <c:v>6.4995945703452088E-2</c:v>
                </c:pt>
                <c:pt idx="294">
                  <c:v>6.4999456606755796E-2</c:v>
                </c:pt>
                <c:pt idx="295">
                  <c:v>6.4999787413617297E-2</c:v>
                </c:pt>
                <c:pt idx="296">
                  <c:v>6.4997589775369236E-2</c:v>
                </c:pt>
                <c:pt idx="297">
                  <c:v>6.4992997367229133E-2</c:v>
                </c:pt>
                <c:pt idx="298">
                  <c:v>6.4985994925602086E-2</c:v>
                </c:pt>
                <c:pt idx="299">
                  <c:v>6.4976567263844043E-2</c:v>
                </c:pt>
                <c:pt idx="300">
                  <c:v>6.4964699273078713E-2</c:v>
                </c:pt>
                <c:pt idx="301">
                  <c:v>6.4950375923010256E-2</c:v>
                </c:pt>
                <c:pt idx="302">
                  <c:v>6.4933582262731881E-2</c:v>
                </c:pt>
                <c:pt idx="303">
                  <c:v>6.4914303421530262E-2</c:v>
                </c:pt>
                <c:pt idx="304">
                  <c:v>6.4892524609685837E-2</c:v>
                </c:pt>
                <c:pt idx="305">
                  <c:v>6.4868231119268774E-2</c:v>
                </c:pt>
                <c:pt idx="306">
                  <c:v>6.4841408324930724E-2</c:v>
                </c:pt>
                <c:pt idx="307">
                  <c:v>6.4812041684692123E-2</c:v>
                </c:pt>
                <c:pt idx="308">
                  <c:v>6.4780116740725369E-2</c:v>
                </c:pt>
                <c:pt idx="309">
                  <c:v>6.4745619120133324E-2</c:v>
                </c:pt>
                <c:pt idx="310">
                  <c:v>6.4708534535723575E-2</c:v>
                </c:pt>
                <c:pt idx="311">
                  <c:v>6.4668848786778158E-2</c:v>
                </c:pt>
                <c:pt idx="312">
                  <c:v>6.4626547759818673E-2</c:v>
                </c:pt>
                <c:pt idx="313">
                  <c:v>6.458161742936705E-2</c:v>
                </c:pt>
                <c:pt idx="314">
                  <c:v>6.4534043858701512E-2</c:v>
                </c:pt>
                <c:pt idx="315">
                  <c:v>6.4483813200608017E-2</c:v>
                </c:pt>
                <c:pt idx="316">
                  <c:v>6.4430911698127036E-2</c:v>
                </c:pt>
                <c:pt idx="317">
                  <c:v>6.4375325685295567E-2</c:v>
                </c:pt>
                <c:pt idx="318">
                  <c:v>6.4317041587884483E-2</c:v>
                </c:pt>
                <c:pt idx="319">
                  <c:v>6.4256045924131061E-2</c:v>
                </c:pt>
                <c:pt idx="320">
                  <c:v>6.4192325305466674E-2</c:v>
                </c:pt>
                <c:pt idx="321">
                  <c:v>6.4125866437239706E-2</c:v>
                </c:pt>
                <c:pt idx="322">
                  <c:v>6.4056656119433536E-2</c:v>
                </c:pt>
                <c:pt idx="323">
                  <c:v>6.3984681247379521E-2</c:v>
                </c:pt>
                <c:pt idx="324">
                  <c:v>6.3909928812465322E-2</c:v>
                </c:pt>
                <c:pt idx="325">
                  <c:v>6.3832385902837865E-2</c:v>
                </c:pt>
                <c:pt idx="326">
                  <c:v>6.3752039704101468E-2</c:v>
                </c:pt>
                <c:pt idx="327">
                  <c:v>6.3668877500010948E-2</c:v>
                </c:pt>
                <c:pt idx="328">
                  <c:v>6.358288667315963E-2</c:v>
                </c:pt>
                <c:pt idx="329">
                  <c:v>6.3494054705662106E-2</c:v>
                </c:pt>
                <c:pt idx="330">
                  <c:v>6.3402369179831983E-2</c:v>
                </c:pt>
                <c:pt idx="331">
                  <c:v>6.3307817778854358E-2</c:v>
                </c:pt>
                <c:pt idx="332">
                  <c:v>6.3210388287453179E-2</c:v>
                </c:pt>
                <c:pt idx="333">
                  <c:v>6.3110068592553206E-2</c:v>
                </c:pt>
                <c:pt idx="334">
                  <c:v>6.3006846683936829E-2</c:v>
                </c:pt>
                <c:pt idx="335">
                  <c:v>6.2900710654895456E-2</c:v>
                </c:pt>
                <c:pt idx="336">
                  <c:v>6.2791648702875721E-2</c:v>
                </c:pt>
                <c:pt idx="337">
                  <c:v>6.2679649130120099E-2</c:v>
                </c:pt>
                <c:pt idx="338">
                  <c:v>6.2564700344302296E-2</c:v>
                </c:pt>
                <c:pt idx="339">
                  <c:v>6.2446790859157206E-2</c:v>
                </c:pt>
                <c:pt idx="340">
                  <c:v>6.2325909295105175E-2</c:v>
                </c:pt>
                <c:pt idx="341">
                  <c:v>6.2202044379871133E-2</c:v>
                </c:pt>
                <c:pt idx="342">
                  <c:v>6.2075184949097917E-2</c:v>
                </c:pt>
                <c:pt idx="343">
                  <c:v>6.194531994695416E-2</c:v>
                </c:pt>
                <c:pt idx="344">
                  <c:v>6.1812438426736588E-2</c:v>
                </c:pt>
                <c:pt idx="345">
                  <c:v>6.1676529551466755E-2</c:v>
                </c:pt>
                <c:pt idx="346">
                  <c:v>6.153758259448204E-2</c:v>
                </c:pt>
                <c:pt idx="347">
                  <c:v>6.1395586940021174E-2</c:v>
                </c:pt>
                <c:pt idx="348">
                  <c:v>6.1250532083803835E-2</c:v>
                </c:pt>
                <c:pt idx="349">
                  <c:v>6.1102407633604749E-2</c:v>
                </c:pt>
                <c:pt idx="350">
                  <c:v>6.0951203309821962E-2</c:v>
                </c:pt>
                <c:pt idx="351">
                  <c:v>6.0796908946039355E-2</c:v>
                </c:pt>
                <c:pt idx="352">
                  <c:v>6.0639514489583352E-2</c:v>
                </c:pt>
                <c:pt idx="353">
                  <c:v>6.0479010002073882E-2</c:v>
                </c:pt>
                <c:pt idx="354">
                  <c:v>6.0315385659969467E-2</c:v>
                </c:pt>
                <c:pt idx="355">
                  <c:v>6.0148631755106458E-2</c:v>
                </c:pt>
                <c:pt idx="356">
                  <c:v>5.9978738695232327E-2</c:v>
                </c:pt>
                <c:pt idx="357">
                  <c:v>5.9805697004533281E-2</c:v>
                </c:pt>
                <c:pt idx="358">
                  <c:v>5.9629497324155525E-2</c:v>
                </c:pt>
                <c:pt idx="359">
                  <c:v>5.9450130412721118E-2</c:v>
                </c:pt>
                <c:pt idx="360">
                  <c:v>5.9267587146837317E-2</c:v>
                </c:pt>
                <c:pt idx="361">
                  <c:v>5.9081858521600389E-2</c:v>
                </c:pt>
                <c:pt idx="362">
                  <c:v>5.889293565109302E-2</c:v>
                </c:pt>
                <c:pt idx="363">
                  <c:v>5.8700809768876025E-2</c:v>
                </c:pt>
                <c:pt idx="364">
                  <c:v>5.8505472228473812E-2</c:v>
                </c:pt>
                <c:pt idx="365">
                  <c:v>5.8306914503853696E-2</c:v>
                </c:pt>
                <c:pt idx="366">
                  <c:v>5.8105128189899352E-2</c:v>
                </c:pt>
                <c:pt idx="367">
                  <c:v>5.7900105002878011E-2</c:v>
                </c:pt>
                <c:pt idx="368">
                  <c:v>5.7691836780901479E-2</c:v>
                </c:pt>
                <c:pt idx="369">
                  <c:v>5.748031548438115E-2</c:v>
                </c:pt>
                <c:pt idx="370">
                  <c:v>5.7265533196476703E-2</c:v>
                </c:pt>
                <c:pt idx="371">
                  <c:v>5.7047482123538676E-2</c:v>
                </c:pt>
                <c:pt idx="372">
                  <c:v>5.6826154595544867E-2</c:v>
                </c:pt>
                <c:pt idx="373">
                  <c:v>5.6601543066530424E-2</c:v>
                </c:pt>
                <c:pt idx="374">
                  <c:v>5.6373640115011843E-2</c:v>
                </c:pt>
                <c:pt idx="375">
                  <c:v>5.614243844440453E-2</c:v>
                </c:pt>
                <c:pt idx="376">
                  <c:v>5.5907930883434175E-2</c:v>
                </c:pt>
                <c:pt idx="377">
                  <c:v>5.5670110386541932E-2</c:v>
                </c:pt>
                <c:pt idx="378">
                  <c:v>5.5428970034283126E-2</c:v>
                </c:pt>
                <c:pt idx="379">
                  <c:v>5.5184503033719773E-2</c:v>
                </c:pt>
                <c:pt idx="380">
                  <c:v>5.493670271880674E-2</c:v>
                </c:pt>
                <c:pt idx="381">
                  <c:v>5.4685562550771519E-2</c:v>
                </c:pt>
                <c:pt idx="382">
                  <c:v>5.4431076118487645E-2</c:v>
                </c:pt>
                <c:pt idx="383">
                  <c:v>5.4173237138841882E-2</c:v>
                </c:pt>
                <c:pt idx="384">
                  <c:v>5.3912039457094788E-2</c:v>
                </c:pt>
                <c:pt idx="385">
                  <c:v>5.3647477047235111E-2</c:v>
                </c:pt>
                <c:pt idx="386">
                  <c:v>5.3379544012327661E-2</c:v>
                </c:pt>
                <c:pt idx="387">
                  <c:v>5.3108234584854766E-2</c:v>
                </c:pt>
                <c:pt idx="388">
                  <c:v>5.2833543127051324E-2</c:v>
                </c:pt>
                <c:pt idx="389">
                  <c:v>5.2555464131233437E-2</c:v>
                </c:pt>
                <c:pt idx="390">
                  <c:v>5.2273992220120594E-2</c:v>
                </c:pt>
                <c:pt idx="391">
                  <c:v>5.1989122147151276E-2</c:v>
                </c:pt>
                <c:pt idx="392">
                  <c:v>5.1700848796792272E-2</c:v>
                </c:pt>
                <c:pt idx="393">
                  <c:v>5.1409167184841453E-2</c:v>
                </c:pt>
                <c:pt idx="394">
                  <c:v>5.1114072458724E-2</c:v>
                </c:pt>
                <c:pt idx="395">
                  <c:v>5.0815559897782095E-2</c:v>
                </c:pt>
                <c:pt idx="396">
                  <c:v>5.051362491355843E-2</c:v>
                </c:pt>
                <c:pt idx="397">
                  <c:v>5.0208263050072748E-2</c:v>
                </c:pt>
                <c:pt idx="398">
                  <c:v>4.9899469984092185E-2</c:v>
                </c:pt>
                <c:pt idx="399">
                  <c:v>4.9587241525394989E-2</c:v>
                </c:pt>
                <c:pt idx="400">
                  <c:v>4.9271573617027699E-2</c:v>
                </c:pt>
                <c:pt idx="401">
                  <c:v>4.8952462335555946E-2</c:v>
                </c:pt>
                <c:pt idx="402">
                  <c:v>4.8629903891308314E-2</c:v>
                </c:pt>
                <c:pt idx="403">
                  <c:v>4.8303894628614147E-2</c:v>
                </c:pt>
                <c:pt idx="404">
                  <c:v>4.7974431026034423E-2</c:v>
                </c:pt>
                <c:pt idx="405">
                  <c:v>4.7641509696586461E-2</c:v>
                </c:pt>
                <c:pt idx="406">
                  <c:v>4.7305127387961519E-2</c:v>
                </c:pt>
                <c:pt idx="407">
                  <c:v>4.6965280982736432E-2</c:v>
                </c:pt>
                <c:pt idx="408">
                  <c:v>4.6621967498578297E-2</c:v>
                </c:pt>
                <c:pt idx="409">
                  <c:v>4.6275184088442625E-2</c:v>
                </c:pt>
                <c:pt idx="410">
                  <c:v>4.5924928040765194E-2</c:v>
                </c:pt>
                <c:pt idx="411">
                  <c:v>4.557119677964698E-2</c:v>
                </c:pt>
                <c:pt idx="412">
                  <c:v>4.5213987865032765E-2</c:v>
                </c:pt>
                <c:pt idx="413">
                  <c:v>4.4853298992883019E-2</c:v>
                </c:pt>
                <c:pt idx="414">
                  <c:v>4.448912799533937E-2</c:v>
                </c:pt>
                <c:pt idx="415">
                  <c:v>4.4121472840883288E-2</c:v>
                </c:pt>
                <c:pt idx="416">
                  <c:v>4.3750331634488472E-2</c:v>
                </c:pt>
                <c:pt idx="417">
                  <c:v>4.337570261776643E-2</c:v>
                </c:pt>
                <c:pt idx="418">
                  <c:v>4.2997584169105485E-2</c:v>
                </c:pt>
                <c:pt idx="419">
                  <c:v>4.2615974803803483E-2</c:v>
                </c:pt>
                <c:pt idx="420">
                  <c:v>4.2230873174193537E-2</c:v>
                </c:pt>
                <c:pt idx="421">
                  <c:v>4.1842278069763678E-2</c:v>
                </c:pt>
                <c:pt idx="422">
                  <c:v>4.1450188417269419E-2</c:v>
                </c:pt>
                <c:pt idx="423">
                  <c:v>4.1054603280840221E-2</c:v>
                </c:pt>
                <c:pt idx="424">
                  <c:v>4.0655521862079054E-2</c:v>
                </c:pt>
                <c:pt idx="425">
                  <c:v>4.0252943500155708E-2</c:v>
                </c:pt>
                <c:pt idx="426">
                  <c:v>3.984686767189323E-2</c:v>
                </c:pt>
                <c:pt idx="427">
                  <c:v>3.9437293991848185E-2</c:v>
                </c:pt>
                <c:pt idx="428">
                  <c:v>3.9024222212384128E-2</c:v>
                </c:pt>
                <c:pt idx="429">
                  <c:v>3.8607652223738451E-2</c:v>
                </c:pt>
                <c:pt idx="430">
                  <c:v>3.8187584054083124E-2</c:v>
                </c:pt>
                <c:pt idx="431">
                  <c:v>3.7764017869578316E-2</c:v>
                </c:pt>
                <c:pt idx="432">
                  <c:v>3.7336953974420266E-2</c:v>
                </c:pt>
                <c:pt idx="433">
                  <c:v>3.6906392810881747E-2</c:v>
                </c:pt>
                <c:pt idx="434">
                  <c:v>3.6472334959346875E-2</c:v>
                </c:pt>
                <c:pt idx="435">
                  <c:v>3.6034781138338773E-2</c:v>
                </c:pt>
                <c:pt idx="436">
                  <c:v>3.559373220454122E-2</c:v>
                </c:pt>
                <c:pt idx="437">
                  <c:v>3.5149189152813426E-2</c:v>
                </c:pt>
                <c:pt idx="438">
                  <c:v>3.4701153116198862E-2</c:v>
                </c:pt>
                <c:pt idx="439">
                  <c:v>3.4249625365926961E-2</c:v>
                </c:pt>
                <c:pt idx="440">
                  <c:v>3.3794607311408903E-2</c:v>
                </c:pt>
                <c:pt idx="441">
                  <c:v>3.3336100500226784E-2</c:v>
                </c:pt>
                <c:pt idx="442">
                  <c:v>3.2874106618116294E-2</c:v>
                </c:pt>
                <c:pt idx="443">
                  <c:v>3.240862748894309E-2</c:v>
                </c:pt>
                <c:pt idx="444">
                  <c:v>3.1939665074672621E-2</c:v>
                </c:pt>
                <c:pt idx="445">
                  <c:v>3.1467221475333838E-2</c:v>
                </c:pt>
                <c:pt idx="446">
                  <c:v>3.0991298928976008E-2</c:v>
                </c:pt>
                <c:pt idx="447">
                  <c:v>3.0511899811619864E-2</c:v>
                </c:pt>
                <c:pt idx="448">
                  <c:v>3.0029026637201674E-2</c:v>
                </c:pt>
                <c:pt idx="449">
                  <c:v>2.9542682057511496E-2</c:v>
                </c:pt>
                <c:pt idx="450">
                  <c:v>2.9052868862124874E-2</c:v>
                </c:pt>
                <c:pt idx="451">
                  <c:v>2.8559589978328179E-2</c:v>
                </c:pt>
                <c:pt idx="452">
                  <c:v>2.8062848471037741E-2</c:v>
                </c:pt>
                <c:pt idx="453">
                  <c:v>2.7562647542712745E-2</c:v>
                </c:pt>
                <c:pt idx="454">
                  <c:v>2.7058990533261686E-2</c:v>
                </c:pt>
                <c:pt idx="455">
                  <c:v>2.6551880919942532E-2</c:v>
                </c:pt>
                <c:pt idx="456">
                  <c:v>2.6041322317257053E-2</c:v>
                </c:pt>
                <c:pt idx="457">
                  <c:v>2.5527318476838291E-2</c:v>
                </c:pt>
                <c:pt idx="458">
                  <c:v>2.5009873287332434E-2</c:v>
                </c:pt>
                <c:pt idx="459">
                  <c:v>2.4488990774273918E-2</c:v>
                </c:pt>
                <c:pt idx="460">
                  <c:v>2.3964675099954893E-2</c:v>
                </c:pt>
                <c:pt idx="461">
                  <c:v>2.3436930563288168E-2</c:v>
                </c:pt>
                <c:pt idx="462">
                  <c:v>2.2905761599663902E-2</c:v>
                </c:pt>
                <c:pt idx="463">
                  <c:v>2.2371172780800884E-2</c:v>
                </c:pt>
                <c:pt idx="464">
                  <c:v>2.1833168814590551E-2</c:v>
                </c:pt>
                <c:pt idx="465">
                  <c:v>2.1291754544936089E-2</c:v>
                </c:pt>
                <c:pt idx="466">
                  <c:v>2.0746934951584528E-2</c:v>
                </c:pt>
                <c:pt idx="467">
                  <c:v>2.0198715149953549E-2</c:v>
                </c:pt>
                <c:pt idx="468">
                  <c:v>1.9647100390951452E-2</c:v>
                </c:pt>
                <c:pt idx="469">
                  <c:v>1.909209606079201E-2</c:v>
                </c:pt>
                <c:pt idx="470">
                  <c:v>1.8533707680802446E-2</c:v>
                </c:pt>
                <c:pt idx="471">
                  <c:v>1.797194090722614E-2</c:v>
                </c:pt>
                <c:pt idx="472">
                  <c:v>1.7406801531018937E-2</c:v>
                </c:pt>
                <c:pt idx="473">
                  <c:v>1.6838295477639709E-2</c:v>
                </c:pt>
                <c:pt idx="474">
                  <c:v>1.6266428806835008E-2</c:v>
                </c:pt>
                <c:pt idx="475">
                  <c:v>1.5691207712417679E-2</c:v>
                </c:pt>
                <c:pt idx="476">
                  <c:v>1.51126385220399E-2</c:v>
                </c:pt>
                <c:pt idx="477">
                  <c:v>1.4530727696959966E-2</c:v>
                </c:pt>
                <c:pt idx="478">
                  <c:v>1.3945481831803689E-2</c:v>
                </c:pt>
                <c:pt idx="479">
                  <c:v>1.3356907654319596E-2</c:v>
                </c:pt>
                <c:pt idx="480">
                  <c:v>1.2765012025128711E-2</c:v>
                </c:pt>
                <c:pt idx="481">
                  <c:v>1.216980193746822E-2</c:v>
                </c:pt>
                <c:pt idx="482">
                  <c:v>1.1571284516929757E-2</c:v>
                </c:pt>
                <c:pt idx="483">
                  <c:v>1.0969467021191708E-2</c:v>
                </c:pt>
                <c:pt idx="484">
                  <c:v>1.036435683974603E-2</c:v>
                </c:pt>
                <c:pt idx="485">
                  <c:v>9.7559614936192363E-3</c:v>
                </c:pt>
                <c:pt idx="486">
                  <c:v>9.1442886350878091E-3</c:v>
                </c:pt>
                <c:pt idx="487">
                  <c:v>8.5293460473881821E-3</c:v>
                </c:pt>
                <c:pt idx="488">
                  <c:v>7.9111416444207772E-3</c:v>
                </c:pt>
                <c:pt idx="489">
                  <c:v>7.2896834704490017E-3</c:v>
                </c:pt>
                <c:pt idx="490">
                  <c:v>6.6649796997919914E-3</c:v>
                </c:pt>
                <c:pt idx="491">
                  <c:v>6.0370386365126176E-3</c:v>
                </c:pt>
                <c:pt idx="492">
                  <c:v>5.4058687140995541E-3</c:v>
                </c:pt>
                <c:pt idx="493">
                  <c:v>4.7714784951438305E-3</c:v>
                </c:pt>
                <c:pt idx="494">
                  <c:v>4.1338766710105205E-3</c:v>
                </c:pt>
                <c:pt idx="495">
                  <c:v>3.4930720615041246E-3</c:v>
                </c:pt>
                <c:pt idx="496">
                  <c:v>2.8490736145296192E-3</c:v>
                </c:pt>
                <c:pt idx="497">
                  <c:v>2.2018904057471995E-3</c:v>
                </c:pt>
                <c:pt idx="498">
                  <c:v>1.5515316382225084E-3</c:v>
                </c:pt>
                <c:pt idx="499">
                  <c:v>8.9800664207096987E-4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8C-44EC-91AE-89C4210D34B8}"/>
            </c:ext>
          </c:extLst>
        </c:ser>
        <c:ser>
          <c:idx val="2"/>
          <c:order val="2"/>
          <c:tx>
            <c:v>Lower Camber</c:v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Data3!$I$1:$I$500</c:f>
              <c:numCache>
                <c:formatCode>0.00000</c:formatCode>
                <c:ptCount val="500"/>
                <c:pt idx="0">
                  <c:v>0</c:v>
                </c:pt>
                <c:pt idx="1">
                  <c:v>2.4692307949942561E-5</c:v>
                </c:pt>
                <c:pt idx="2">
                  <c:v>5.9312899812204738E-5</c:v>
                </c:pt>
                <c:pt idx="3">
                  <c:v>1.038601105698729E-4</c:v>
                </c:pt>
                <c:pt idx="4">
                  <c:v>1.5833216556901966E-4</c:v>
                </c:pt>
                <c:pt idx="5">
                  <c:v>2.2272718056035314E-4</c:v>
                </c:pt>
                <c:pt idx="6">
                  <c:v>2.9704316174834013E-4</c:v>
                </c:pt>
                <c:pt idx="7">
                  <c:v>3.8127800584392764E-4</c:v>
                </c:pt>
                <c:pt idx="8">
                  <c:v>4.7542950012235768E-4</c:v>
                </c:pt>
                <c:pt idx="9">
                  <c:v>5.7949532248624948E-4</c:v>
                </c:pt>
                <c:pt idx="10">
                  <c:v>6.9347304153336128E-4</c:v>
                </c:pt>
                <c:pt idx="11">
                  <c:v>8.1736011662959145E-4</c:v>
                </c:pt>
                <c:pt idx="12">
                  <c:v>9.5115389798653381E-4</c:v>
                </c:pt>
                <c:pt idx="13">
                  <c:v>1.0948516267440019E-3</c:v>
                </c:pt>
                <c:pt idx="14">
                  <c:v>1.2484504350578861E-3</c:v>
                </c:pt>
                <c:pt idx="15">
                  <c:v>1.4119473461926787E-3</c:v>
                </c:pt>
                <c:pt idx="16">
                  <c:v>1.5853392746181798E-3</c:v>
                </c:pt>
                <c:pt idx="17">
                  <c:v>1.7686230261127641E-3</c:v>
                </c:pt>
                <c:pt idx="18">
                  <c:v>1.9617952978695421E-3</c:v>
                </c:pt>
                <c:pt idx="19">
                  <c:v>2.1648526786092969E-3</c:v>
                </c:pt>
                <c:pt idx="20">
                  <c:v>2.3777916486964457E-3</c:v>
                </c:pt>
                <c:pt idx="21">
                  <c:v>2.6006085802613636E-3</c:v>
                </c:pt>
                <c:pt idx="22">
                  <c:v>2.8332997373267002E-3</c:v>
                </c:pt>
                <c:pt idx="23">
                  <c:v>3.075861275938915E-3</c:v>
                </c:pt>
                <c:pt idx="24">
                  <c:v>3.3282892443040417E-3</c:v>
                </c:pt>
                <c:pt idx="25">
                  <c:v>3.5905795829292348E-3</c:v>
                </c:pt>
                <c:pt idx="26">
                  <c:v>3.8627281247676768E-3</c:v>
                </c:pt>
                <c:pt idx="27">
                  <c:v>4.1447305953699488E-3</c:v>
                </c:pt>
                <c:pt idx="28">
                  <c:v>4.4365826130386187E-3</c:v>
                </c:pt>
                <c:pt idx="29">
                  <c:v>4.7382796889882889E-3</c:v>
                </c:pt>
                <c:pt idx="30">
                  <c:v>5.0498172275107427E-3</c:v>
                </c:pt>
                <c:pt idx="31">
                  <c:v>5.3711905261431313E-3</c:v>
                </c:pt>
                <c:pt idx="32">
                  <c:v>5.7023947758431167E-3</c:v>
                </c:pt>
                <c:pt idx="33">
                  <c:v>6.0434250611670201E-3</c:v>
                </c:pt>
                <c:pt idx="34">
                  <c:v>6.3942763604528611E-3</c:v>
                </c:pt>
                <c:pt idx="35">
                  <c:v>6.7549435460082675E-3</c:v>
                </c:pt>
                <c:pt idx="36">
                  <c:v>7.1254213843032158E-3</c:v>
                </c:pt>
                <c:pt idx="37">
                  <c:v>7.5057045361666538E-3</c:v>
                </c:pt>
                <c:pt idx="38">
                  <c:v>7.8957875569879224E-3</c:v>
                </c:pt>
                <c:pt idx="39">
                  <c:v>8.295664896922933E-3</c:v>
                </c:pt>
                <c:pt idx="40">
                  <c:v>8.7053309011045164E-3</c:v>
                </c:pt>
                <c:pt idx="41">
                  <c:v>9.1247798098574705E-3</c:v>
                </c:pt>
                <c:pt idx="42">
                  <c:v>9.5540057589176136E-3</c:v>
                </c:pt>
                <c:pt idx="43">
                  <c:v>9.9930027796554886E-3</c:v>
                </c:pt>
                <c:pt idx="44">
                  <c:v>1.0441764799304696E-2</c:v>
                </c:pt>
                <c:pt idx="45">
                  <c:v>1.0900285641194147E-2</c:v>
                </c:pt>
                <c:pt idx="46">
                  <c:v>1.1368559024984877E-2</c:v>
                </c:pt>
                <c:pt idx="47">
                  <c:v>1.1846578566910598E-2</c:v>
                </c:pt>
                <c:pt idx="48">
                  <c:v>1.2334337780023682E-2</c:v>
                </c:pt>
                <c:pt idx="49">
                  <c:v>1.2831830074443785E-2</c:v>
                </c:pt>
                <c:pt idx="50">
                  <c:v>1.3339048757612073E-2</c:v>
                </c:pt>
                <c:pt idx="51">
                  <c:v>1.3855987034548581E-2</c:v>
                </c:pt>
                <c:pt idx="52">
                  <c:v>1.4382638008114436E-2</c:v>
                </c:pt>
                <c:pt idx="53">
                  <c:v>1.4918994679277717E-2</c:v>
                </c:pt>
                <c:pt idx="54">
                  <c:v>1.5465049947382958E-2</c:v>
                </c:pt>
                <c:pt idx="55">
                  <c:v>1.6020796610426057E-2</c:v>
                </c:pt>
                <c:pt idx="56">
                  <c:v>1.6586227365331389E-2</c:v>
                </c:pt>
                <c:pt idx="57">
                  <c:v>1.7161334808234348E-2</c:v>
                </c:pt>
                <c:pt idx="58">
                  <c:v>1.7746111434766725E-2</c:v>
                </c:pt>
                <c:pt idx="59">
                  <c:v>1.834054964034653E-2</c:v>
                </c:pt>
                <c:pt idx="60">
                  <c:v>1.8944641720471694E-2</c:v>
                </c:pt>
                <c:pt idx="61">
                  <c:v>1.9558379871016909E-2</c:v>
                </c:pt>
                <c:pt idx="62">
                  <c:v>2.0181756188535033E-2</c:v>
                </c:pt>
                <c:pt idx="63">
                  <c:v>2.0814762670561718E-2</c:v>
                </c:pt>
                <c:pt idx="64">
                  <c:v>2.1457391215923355E-2</c:v>
                </c:pt>
                <c:pt idx="65">
                  <c:v>2.210963362504996E-2</c:v>
                </c:pt>
                <c:pt idx="66">
                  <c:v>2.2771481600289866E-2</c:v>
                </c:pt>
                <c:pt idx="67">
                  <c:v>2.3442926746229251E-2</c:v>
                </c:pt>
                <c:pt idx="68">
                  <c:v>2.4123960570014837E-2</c:v>
                </c:pt>
                <c:pt idx="69">
                  <c:v>2.481457448167956E-2</c:v>
                </c:pt>
                <c:pt idx="70">
                  <c:v>2.5514759794472684E-2</c:v>
                </c:pt>
                <c:pt idx="71">
                  <c:v>2.622450772519164E-2</c:v>
                </c:pt>
                <c:pt idx="72">
                  <c:v>2.6943809394519264E-2</c:v>
                </c:pt>
                <c:pt idx="73">
                  <c:v>2.7672655827362207E-2</c:v>
                </c:pt>
                <c:pt idx="74">
                  <c:v>2.8411037953194423E-2</c:v>
                </c:pt>
                <c:pt idx="75">
                  <c:v>2.9158946606402426E-2</c:v>
                </c:pt>
                <c:pt idx="76">
                  <c:v>2.9916372526634059E-2</c:v>
                </c:pt>
                <c:pt idx="77">
                  <c:v>3.0683306359151431E-2</c:v>
                </c:pt>
                <c:pt idx="78">
                  <c:v>3.1459738655184769E-2</c:v>
                </c:pt>
                <c:pt idx="79">
                  <c:v>3.2245659872291492E-2</c:v>
                </c:pt>
                <c:pt idx="80">
                  <c:v>3.3041060374716422E-2</c:v>
                </c:pt>
                <c:pt idx="81">
                  <c:v>3.3845930433756138E-2</c:v>
                </c:pt>
                <c:pt idx="82">
                  <c:v>3.4660260228125454E-2</c:v>
                </c:pt>
                <c:pt idx="83">
                  <c:v>3.5484039844326951E-2</c:v>
                </c:pt>
                <c:pt idx="84">
                  <c:v>3.6317259277023228E-2</c:v>
                </c:pt>
                <c:pt idx="85">
                  <c:v>3.7159908429411588E-2</c:v>
                </c:pt>
                <c:pt idx="86">
                  <c:v>3.8011977113602019E-2</c:v>
                </c:pt>
                <c:pt idx="87">
                  <c:v>3.8873455050996805E-2</c:v>
                </c:pt>
                <c:pt idx="88">
                  <c:v>3.9744331872673552E-2</c:v>
                </c:pt>
                <c:pt idx="89">
                  <c:v>4.0624597119770282E-2</c:v>
                </c:pt>
                <c:pt idx="90">
                  <c:v>4.1514240243872527E-2</c:v>
                </c:pt>
                <c:pt idx="91">
                  <c:v>4.2413250607403724E-2</c:v>
                </c:pt>
                <c:pt idx="92">
                  <c:v>4.3321617484017555E-2</c:v>
                </c:pt>
                <c:pt idx="93">
                  <c:v>4.4239330058991826E-2</c:v>
                </c:pt>
                <c:pt idx="94">
                  <c:v>4.51663774296256E-2</c:v>
                </c:pt>
                <c:pt idx="95">
                  <c:v>4.6102748605638143E-2</c:v>
                </c:pt>
                <c:pt idx="96">
                  <c:v>4.7048432509569443E-2</c:v>
                </c:pt>
                <c:pt idx="97">
                  <c:v>4.8003417977183271E-2</c:v>
                </c:pt>
                <c:pt idx="98">
                  <c:v>4.8967693757872709E-2</c:v>
                </c:pt>
                <c:pt idx="99">
                  <c:v>4.9941248515066317E-2</c:v>
                </c:pt>
                <c:pt idx="100">
                  <c:v>5.0924070826637149E-2</c:v>
                </c:pt>
                <c:pt idx="101">
                  <c:v>5.191614918531335E-2</c:v>
                </c:pt>
                <c:pt idx="102">
                  <c:v>5.2917471999090498E-2</c:v>
                </c:pt>
                <c:pt idx="103">
                  <c:v>5.392802759164575E-2</c:v>
                </c:pt>
                <c:pt idx="104">
                  <c:v>5.4947804202753164E-2</c:v>
                </c:pt>
                <c:pt idx="105">
                  <c:v>5.5976789988701134E-2</c:v>
                </c:pt>
                <c:pt idx="106">
                  <c:v>5.7014973022711204E-2</c:v>
                </c:pt>
                <c:pt idx="107">
                  <c:v>5.8062341295358082E-2</c:v>
                </c:pt>
                <c:pt idx="108">
                  <c:v>5.911888271499182E-2</c:v>
                </c:pt>
                <c:pt idx="109">
                  <c:v>6.0184585108159931E-2</c:v>
                </c:pt>
                <c:pt idx="110">
                  <c:v>6.1259436220032631E-2</c:v>
                </c:pt>
                <c:pt idx="111">
                  <c:v>6.2343423714827269E-2</c:v>
                </c:pt>
                <c:pt idx="112">
                  <c:v>6.3436535176236153E-2</c:v>
                </c:pt>
                <c:pt idx="113">
                  <c:v>6.4538758107853408E-2</c:v>
                </c:pt>
                <c:pt idx="114">
                  <c:v>6.5650079933604236E-2</c:v>
                </c:pt>
                <c:pt idx="115">
                  <c:v>6.6770487998174574E-2</c:v>
                </c:pt>
                <c:pt idx="116">
                  <c:v>6.7899969567442042E-2</c:v>
                </c:pt>
                <c:pt idx="117">
                  <c:v>6.9038511828907273E-2</c:v>
                </c:pt>
                <c:pt idx="118">
                  <c:v>7.0186101892126332E-2</c:v>
                </c:pt>
                <c:pt idx="119">
                  <c:v>7.1342726789144217E-2</c:v>
                </c:pt>
                <c:pt idx="120">
                  <c:v>7.2508373474928486E-2</c:v>
                </c:pt>
                <c:pt idx="121">
                  <c:v>7.368302882780367E-2</c:v>
                </c:pt>
                <c:pt idx="122">
                  <c:v>7.4866679649886136E-2</c:v>
                </c:pt>
                <c:pt idx="123">
                  <c:v>7.6059312667520029E-2</c:v>
                </c:pt>
                <c:pt idx="124">
                  <c:v>7.7260914531713104E-2</c:v>
                </c:pt>
                <c:pt idx="125">
                  <c:v>7.8471471818572933E-2</c:v>
                </c:pt>
                <c:pt idx="126">
                  <c:v>7.9690971029743526E-2</c:v>
                </c:pt>
                <c:pt idx="127">
                  <c:v>8.0919398592842584E-2</c:v>
                </c:pt>
                <c:pt idx="128">
                  <c:v>8.2156740861898142E-2</c:v>
                </c:pt>
                <c:pt idx="129">
                  <c:v>8.3402984117786239E-2</c:v>
                </c:pt>
                <c:pt idx="130">
                  <c:v>8.4658114568668091E-2</c:v>
                </c:pt>
                <c:pt idx="131">
                  <c:v>8.5922118350427318E-2</c:v>
                </c:pt>
                <c:pt idx="132">
                  <c:v>8.7194981527107029E-2</c:v>
                </c:pt>
                <c:pt idx="133">
                  <c:v>8.8476690091347579E-2</c:v>
                </c:pt>
                <c:pt idx="134">
                  <c:v>8.976722996482292E-2</c:v>
                </c:pt>
                <c:pt idx="135">
                  <c:v>9.1066586998677687E-2</c:v>
                </c:pt>
                <c:pt idx="136">
                  <c:v>9.2374746973963542E-2</c:v>
                </c:pt>
                <c:pt idx="137">
                  <c:v>9.369169560207502E-2</c:v>
                </c:pt>
                <c:pt idx="138">
                  <c:v>9.5017418525185721E-2</c:v>
                </c:pt>
                <c:pt idx="139">
                  <c:v>9.6351901316682795E-2</c:v>
                </c:pt>
                <c:pt idx="140">
                  <c:v>9.769512948160218E-2</c:v>
                </c:pt>
                <c:pt idx="141">
                  <c:v>9.9047088457062185E-2</c:v>
                </c:pt>
                <c:pt idx="142">
                  <c:v>0.10040776361269706</c:v>
                </c:pt>
                <c:pt idx="143">
                  <c:v>0.10177714025108918</c:v>
                </c:pt>
                <c:pt idx="144">
                  <c:v>0.1031552036082016</c:v>
                </c:pt>
                <c:pt idx="145">
                  <c:v>0.10454193885380841</c:v>
                </c:pt>
                <c:pt idx="146">
                  <c:v>0.10593733109192488</c:v>
                </c:pt>
                <c:pt idx="147">
                  <c:v>0.1073413653612369</c:v>
                </c:pt>
                <c:pt idx="148">
                  <c:v>0.10875402663552837</c:v>
                </c:pt>
                <c:pt idx="149">
                  <c:v>0.11017529982410879</c:v>
                </c:pt>
                <c:pt idx="150">
                  <c:v>0.11160516977223865</c:v>
                </c:pt>
                <c:pt idx="151">
                  <c:v>0.11304362126155422</c:v>
                </c:pt>
                <c:pt idx="152">
                  <c:v>0.11449063901049049</c:v>
                </c:pt>
                <c:pt idx="153">
                  <c:v>0.11594620767470361</c:v>
                </c:pt>
                <c:pt idx="154">
                  <c:v>0.11741031184749112</c:v>
                </c:pt>
                <c:pt idx="155">
                  <c:v>0.11888293606021126</c:v>
                </c:pt>
                <c:pt idx="156">
                  <c:v>0.12036406478270038</c:v>
                </c:pt>
                <c:pt idx="157">
                  <c:v>0.12185368242368916</c:v>
                </c:pt>
                <c:pt idx="158">
                  <c:v>0.12335177333121662</c:v>
                </c:pt>
                <c:pt idx="159">
                  <c:v>0.12485832179304365</c:v>
                </c:pt>
                <c:pt idx="160">
                  <c:v>0.12637331203706287</c:v>
                </c:pt>
                <c:pt idx="161">
                  <c:v>0.1278967282317087</c:v>
                </c:pt>
                <c:pt idx="162">
                  <c:v>0.12942855448636442</c:v>
                </c:pt>
                <c:pt idx="163">
                  <c:v>0.13096877485176697</c:v>
                </c:pt>
                <c:pt idx="164">
                  <c:v>0.13251737332041152</c:v>
                </c:pt>
                <c:pt idx="165">
                  <c:v>0.13407433382695139</c:v>
                </c:pt>
                <c:pt idx="166">
                  <c:v>0.13563964024859879</c:v>
                </c:pt>
                <c:pt idx="167">
                  <c:v>0.13721327640552086</c:v>
                </c:pt>
                <c:pt idx="168">
                  <c:v>0.13879522606123532</c:v>
                </c:pt>
                <c:pt idx="169">
                  <c:v>0.14038547292300277</c:v>
                </c:pt>
                <c:pt idx="170">
                  <c:v>0.141984000642217</c:v>
                </c:pt>
                <c:pt idx="171">
                  <c:v>0.14359079281479342</c:v>
                </c:pt>
                <c:pt idx="172">
                  <c:v>0.14520583298155457</c:v>
                </c:pt>
                <c:pt idx="173">
                  <c:v>0.14682910462861293</c:v>
                </c:pt>
                <c:pt idx="174">
                  <c:v>0.14846059118775165</c:v>
                </c:pt>
                <c:pt idx="175">
                  <c:v>0.15010027603680298</c:v>
                </c:pt>
                <c:pt idx="176">
                  <c:v>0.15174814250002314</c:v>
                </c:pt>
                <c:pt idx="177">
                  <c:v>0.15340417384846547</c:v>
                </c:pt>
                <c:pt idx="178">
                  <c:v>0.15506835330035001</c:v>
                </c:pt>
                <c:pt idx="179">
                  <c:v>0.15674066402143122</c:v>
                </c:pt>
                <c:pt idx="180">
                  <c:v>0.15842108912536187</c:v>
                </c:pt>
                <c:pt idx="181">
                  <c:v>0.16010961167405491</c:v>
                </c:pt>
                <c:pt idx="182">
                  <c:v>0.16180621467804196</c:v>
                </c:pt>
                <c:pt idx="183">
                  <c:v>0.16351088109682896</c:v>
                </c:pt>
                <c:pt idx="184">
                  <c:v>0.1652235938392482</c:v>
                </c:pt>
                <c:pt idx="185">
                  <c:v>0.16694433576380882</c:v>
                </c:pt>
                <c:pt idx="186">
                  <c:v>0.1686730896790421</c:v>
                </c:pt>
                <c:pt idx="187">
                  <c:v>0.17040983834384549</c:v>
                </c:pt>
                <c:pt idx="188">
                  <c:v>0.17215456446782196</c:v>
                </c:pt>
                <c:pt idx="189">
                  <c:v>0.17390725071161725</c:v>
                </c:pt>
                <c:pt idx="190">
                  <c:v>0.17566787968725289</c:v>
                </c:pt>
                <c:pt idx="191">
                  <c:v>0.17743643395845651</c:v>
                </c:pt>
                <c:pt idx="192">
                  <c:v>0.17921289604098811</c:v>
                </c:pt>
                <c:pt idx="193">
                  <c:v>0.18099724840296391</c:v>
                </c:pt>
                <c:pt idx="194">
                  <c:v>0.18278947346517541</c:v>
                </c:pt>
                <c:pt idx="195">
                  <c:v>0.18458955360140594</c:v>
                </c:pt>
                <c:pt idx="196">
                  <c:v>0.18639747113874336</c:v>
                </c:pt>
                <c:pt idx="197">
                  <c:v>0.18821320835788893</c:v>
                </c:pt>
                <c:pt idx="198">
                  <c:v>0.19003674749346272</c:v>
                </c:pt>
                <c:pt idx="199">
                  <c:v>0.19186807073430523</c:v>
                </c:pt>
                <c:pt idx="200">
                  <c:v>0.19370716022377579</c:v>
                </c:pt>
                <c:pt idx="201">
                  <c:v>0.19555399806004589</c:v>
                </c:pt>
                <c:pt idx="202">
                  <c:v>0.19740856629639053</c:v>
                </c:pt>
                <c:pt idx="203">
                  <c:v>0.19927084694147434</c:v>
                </c:pt>
                <c:pt idx="204">
                  <c:v>0.20114082195963395</c:v>
                </c:pt>
                <c:pt idx="205">
                  <c:v>0.20301847327115755</c:v>
                </c:pt>
                <c:pt idx="206">
                  <c:v>0.20490378275255861</c:v>
                </c:pt>
                <c:pt idx="207">
                  <c:v>0.20679673223684783</c:v>
                </c:pt>
                <c:pt idx="208">
                  <c:v>0.20869730351379931</c:v>
                </c:pt>
                <c:pt idx="209">
                  <c:v>0.21060547833021329</c:v>
                </c:pt>
                <c:pt idx="210">
                  <c:v>0.21252123839017537</c:v>
                </c:pt>
                <c:pt idx="211">
                  <c:v>0.21444456535531023</c:v>
                </c:pt>
                <c:pt idx="212">
                  <c:v>0.21637544084503293</c:v>
                </c:pt>
                <c:pt idx="213">
                  <c:v>0.21831384643679463</c:v>
                </c:pt>
                <c:pt idx="214">
                  <c:v>0.2202597636663248</c:v>
                </c:pt>
                <c:pt idx="215">
                  <c:v>0.22221317402786894</c:v>
                </c:pt>
                <c:pt idx="216">
                  <c:v>0.22417405897442241</c:v>
                </c:pt>
                <c:pt idx="217">
                  <c:v>0.22614239991795915</c:v>
                </c:pt>
                <c:pt idx="218">
                  <c:v>0.22811817822965727</c:v>
                </c:pt>
                <c:pt idx="219">
                  <c:v>0.2301013752401195</c:v>
                </c:pt>
                <c:pt idx="220">
                  <c:v>0.23209197223958902</c:v>
                </c:pt>
                <c:pt idx="221">
                  <c:v>0.23408995047816175</c:v>
                </c:pt>
                <c:pt idx="222">
                  <c:v>0.23609529116599362</c:v>
                </c:pt>
                <c:pt idx="223">
                  <c:v>0.23810797547350396</c:v>
                </c:pt>
                <c:pt idx="224">
                  <c:v>0.24012798453157336</c:v>
                </c:pt>
                <c:pt idx="225">
                  <c:v>0.24215529943173861</c:v>
                </c:pt>
                <c:pt idx="226">
                  <c:v>0.24418990122638151</c:v>
                </c:pt>
                <c:pt idx="227">
                  <c:v>0.2462317709289146</c:v>
                </c:pt>
                <c:pt idx="228">
                  <c:v>0.2482808895139611</c:v>
                </c:pt>
                <c:pt idx="229">
                  <c:v>0.25033723791753154</c:v>
                </c:pt>
                <c:pt idx="230">
                  <c:v>0.25240079703719492</c:v>
                </c:pt>
                <c:pt idx="231">
                  <c:v>0.25447154773224534</c:v>
                </c:pt>
                <c:pt idx="232">
                  <c:v>0.25654947082386464</c:v>
                </c:pt>
                <c:pt idx="233">
                  <c:v>0.25863454709527978</c:v>
                </c:pt>
                <c:pt idx="234">
                  <c:v>0.26072675729191608</c:v>
                </c:pt>
                <c:pt idx="235">
                  <c:v>0.26282608212154551</c:v>
                </c:pt>
                <c:pt idx="236">
                  <c:v>0.26493250225443049</c:v>
                </c:pt>
                <c:pt idx="237">
                  <c:v>0.26704599832346271</c:v>
                </c:pt>
                <c:pt idx="238">
                  <c:v>0.26916655092429792</c:v>
                </c:pt>
                <c:pt idx="239">
                  <c:v>0.27129414061548562</c:v>
                </c:pt>
                <c:pt idx="240">
                  <c:v>0.27342874791859401</c:v>
                </c:pt>
                <c:pt idx="241">
                  <c:v>0.27557035331833024</c:v>
                </c:pt>
                <c:pt idx="242">
                  <c:v>0.27771893726265628</c:v>
                </c:pt>
                <c:pt idx="243">
                  <c:v>0.27987448016289995</c:v>
                </c:pt>
                <c:pt idx="244">
                  <c:v>0.28203696239386106</c:v>
                </c:pt>
                <c:pt idx="245">
                  <c:v>0.28420636429391305</c:v>
                </c:pt>
                <c:pt idx="246">
                  <c:v>0.2863826661650995</c:v>
                </c:pt>
                <c:pt idx="247">
                  <c:v>0.28856584827322712</c:v>
                </c:pt>
                <c:pt idx="248">
                  <c:v>0.29075589084795195</c:v>
                </c:pt>
                <c:pt idx="249">
                  <c:v>0.29295277408286335</c:v>
                </c:pt>
                <c:pt idx="250">
                  <c:v>0.2951564781355609</c:v>
                </c:pt>
                <c:pt idx="251">
                  <c:v>0.29736698312772841</c:v>
                </c:pt>
                <c:pt idx="252">
                  <c:v>0.2995842691452022</c:v>
                </c:pt>
                <c:pt idx="253">
                  <c:v>0.30180831623803483</c:v>
                </c:pt>
                <c:pt idx="254">
                  <c:v>0.30403910442055482</c:v>
                </c:pt>
                <c:pt idx="255">
                  <c:v>0.30627661367142051</c:v>
                </c:pt>
                <c:pt idx="256">
                  <c:v>0.30852082393367025</c:v>
                </c:pt>
                <c:pt idx="257">
                  <c:v>0.31077171511476753</c:v>
                </c:pt>
                <c:pt idx="258">
                  <c:v>0.31302926708664092</c:v>
                </c:pt>
                <c:pt idx="259">
                  <c:v>0.31529345968572042</c:v>
                </c:pt>
                <c:pt idx="260">
                  <c:v>0.31756427271296861</c:v>
                </c:pt>
                <c:pt idx="261">
                  <c:v>0.31984168593390672</c:v>
                </c:pt>
                <c:pt idx="262">
                  <c:v>0.32212567907863704</c:v>
                </c:pt>
                <c:pt idx="263">
                  <c:v>0.32441623184185903</c:v>
                </c:pt>
                <c:pt idx="264">
                  <c:v>0.32671332388288388</c:v>
                </c:pt>
                <c:pt idx="265">
                  <c:v>0.32901693482564082</c:v>
                </c:pt>
                <c:pt idx="266">
                  <c:v>0.33132704425868165</c:v>
                </c:pt>
                <c:pt idx="267">
                  <c:v>0.33364363173517925</c:v>
                </c:pt>
                <c:pt idx="268">
                  <c:v>0.3359666767729223</c:v>
                </c:pt>
                <c:pt idx="269">
                  <c:v>0.33829615885430453</c:v>
                </c:pt>
                <c:pt idx="270">
                  <c:v>0.34063205742631103</c:v>
                </c:pt>
                <c:pt idx="271">
                  <c:v>0.3429743519004988</c:v>
                </c:pt>
                <c:pt idx="272">
                  <c:v>0.34532302165297296</c:v>
                </c:pt>
                <c:pt idx="273">
                  <c:v>0.34767804602435898</c:v>
                </c:pt>
                <c:pt idx="274">
                  <c:v>0.35003940431977049</c:v>
                </c:pt>
                <c:pt idx="275">
                  <c:v>0.35240707580877234</c:v>
                </c:pt>
                <c:pt idx="276">
                  <c:v>0.3547810397253397</c:v>
                </c:pt>
                <c:pt idx="277">
                  <c:v>0.35716127526781222</c:v>
                </c:pt>
                <c:pt idx="278">
                  <c:v>0.35954776159884499</c:v>
                </c:pt>
                <c:pt idx="279">
                  <c:v>0.36194047784535349</c:v>
                </c:pt>
                <c:pt idx="280">
                  <c:v>0.3643394030984563</c:v>
                </c:pt>
                <c:pt idx="281">
                  <c:v>0.36674451641341221</c:v>
                </c:pt>
                <c:pt idx="282">
                  <c:v>0.3691557968095534</c:v>
                </c:pt>
                <c:pt idx="283">
                  <c:v>0.37157322327021497</c:v>
                </c:pt>
                <c:pt idx="284">
                  <c:v>0.37399677474265941</c:v>
                </c:pt>
                <c:pt idx="285">
                  <c:v>0.37642643013799804</c:v>
                </c:pt>
                <c:pt idx="286">
                  <c:v>0.37886216833110786</c:v>
                </c:pt>
                <c:pt idx="287">
                  <c:v>0.38130396816054413</c:v>
                </c:pt>
                <c:pt idx="288">
                  <c:v>0.38375180842844958</c:v>
                </c:pt>
                <c:pt idx="289">
                  <c:v>0.38620566790045902</c:v>
                </c:pt>
                <c:pt idx="290">
                  <c:v>0.38866552530560028</c:v>
                </c:pt>
                <c:pt idx="291">
                  <c:v>0.39113135933619192</c:v>
                </c:pt>
                <c:pt idx="292">
                  <c:v>0.39360314864773599</c:v>
                </c:pt>
                <c:pt idx="293">
                  <c:v>0.39608087185880747</c:v>
                </c:pt>
                <c:pt idx="294">
                  <c:v>0.39856450755094075</c:v>
                </c:pt>
                <c:pt idx="295">
                  <c:v>0.40106069691502122</c:v>
                </c:pt>
                <c:pt idx="296">
                  <c:v>0.40357186600434442</c:v>
                </c:pt>
                <c:pt idx="297">
                  <c:v>0.40608891750072379</c:v>
                </c:pt>
                <c:pt idx="298">
                  <c:v>0.40861182789766243</c:v>
                </c:pt>
                <c:pt idx="299">
                  <c:v>0.41114057364876305</c:v>
                </c:pt>
                <c:pt idx="300">
                  <c:v>0.41367513116790738</c:v>
                </c:pt>
                <c:pt idx="301">
                  <c:v>0.41621547682943777</c:v>
                </c:pt>
                <c:pt idx="302">
                  <c:v>0.41876158696833343</c:v>
                </c:pt>
                <c:pt idx="303">
                  <c:v>0.42131343788038772</c:v>
                </c:pt>
                <c:pt idx="304">
                  <c:v>0.42387100582238207</c:v>
                </c:pt>
                <c:pt idx="305">
                  <c:v>0.42643426701225873</c:v>
                </c:pt>
                <c:pt idx="306">
                  <c:v>0.42900319762929179</c:v>
                </c:pt>
                <c:pt idx="307">
                  <c:v>0.43157777381425705</c:v>
                </c:pt>
                <c:pt idx="308">
                  <c:v>0.43415797166959874</c:v>
                </c:pt>
                <c:pt idx="309">
                  <c:v>0.43674376725959674</c:v>
                </c:pt>
                <c:pt idx="310">
                  <c:v>0.43933513661052925</c:v>
                </c:pt>
                <c:pt idx="311">
                  <c:v>0.44193205571083666</c:v>
                </c:pt>
                <c:pt idx="312">
                  <c:v>0.44453450051128185</c:v>
                </c:pt>
                <c:pt idx="313">
                  <c:v>0.44714244692510946</c:v>
                </c:pt>
                <c:pt idx="314">
                  <c:v>0.44975587082820373</c:v>
                </c:pt>
                <c:pt idx="315">
                  <c:v>0.45237474805924338</c:v>
                </c:pt>
                <c:pt idx="316">
                  <c:v>0.45499905441985711</c:v>
                </c:pt>
                <c:pt idx="317">
                  <c:v>0.45762876567477512</c:v>
                </c:pt>
                <c:pt idx="318">
                  <c:v>0.46026385755198063</c:v>
                </c:pt>
                <c:pt idx="319">
                  <c:v>0.4629043057428584</c:v>
                </c:pt>
                <c:pt idx="320">
                  <c:v>0.46555008590234337</c:v>
                </c:pt>
                <c:pt idx="321">
                  <c:v>0.46820117364906522</c:v>
                </c:pt>
                <c:pt idx="322">
                  <c:v>0.470857544565494</c:v>
                </c:pt>
                <c:pt idx="323">
                  <c:v>0.47351917419808182</c:v>
                </c:pt>
                <c:pt idx="324">
                  <c:v>0.47618603805740428</c:v>
                </c:pt>
                <c:pt idx="325">
                  <c:v>0.47885811161830061</c:v>
                </c:pt>
                <c:pt idx="326">
                  <c:v>0.48153537032001004</c:v>
                </c:pt>
                <c:pt idx="327">
                  <c:v>0.48421778956630973</c:v>
                </c:pt>
                <c:pt idx="328">
                  <c:v>0.48690534472564784</c:v>
                </c:pt>
                <c:pt idx="329">
                  <c:v>0.48959801113127821</c:v>
                </c:pt>
                <c:pt idx="330">
                  <c:v>0.49229576408139036</c:v>
                </c:pt>
                <c:pt idx="331">
                  <c:v>0.4949985788392412</c:v>
                </c:pt>
                <c:pt idx="332">
                  <c:v>0.49770643063328163</c:v>
                </c:pt>
                <c:pt idx="333">
                  <c:v>0.50041929465728463</c:v>
                </c:pt>
                <c:pt idx="334">
                  <c:v>0.50313714607047044</c:v>
                </c:pt>
                <c:pt idx="335">
                  <c:v>0.50585995999763012</c:v>
                </c:pt>
                <c:pt idx="336">
                  <c:v>0.50858771152924787</c:v>
                </c:pt>
                <c:pt idx="337">
                  <c:v>0.51132037572162214</c:v>
                </c:pt>
                <c:pt idx="338">
                  <c:v>0.51405792759698499</c:v>
                </c:pt>
                <c:pt idx="339">
                  <c:v>0.51680034214361903</c:v>
                </c:pt>
                <c:pt idx="340">
                  <c:v>0.5195475943159753</c:v>
                </c:pt>
                <c:pt idx="341">
                  <c:v>0.52229965903478726</c:v>
                </c:pt>
                <c:pt idx="342">
                  <c:v>0.52505651118718433</c:v>
                </c:pt>
                <c:pt idx="343">
                  <c:v>0.52781812562680397</c:v>
                </c:pt>
                <c:pt idx="344">
                  <c:v>0.53058447717390222</c:v>
                </c:pt>
                <c:pt idx="345">
                  <c:v>0.53335554061546364</c:v>
                </c:pt>
                <c:pt idx="346">
                  <c:v>0.53613129070530796</c:v>
                </c:pt>
                <c:pt idx="347">
                  <c:v>0.53891170216419748</c:v>
                </c:pt>
                <c:pt idx="348">
                  <c:v>0.54169674967994141</c:v>
                </c:pt>
                <c:pt idx="349">
                  <c:v>0.54448640790750025</c:v>
                </c:pt>
                <c:pt idx="350">
                  <c:v>0.54728065146908678</c:v>
                </c:pt>
                <c:pt idx="351">
                  <c:v>0.55007945495426946</c:v>
                </c:pt>
                <c:pt idx="352">
                  <c:v>0.55288279292006981</c:v>
                </c:pt>
                <c:pt idx="353">
                  <c:v>0.55569063989106182</c:v>
                </c:pt>
                <c:pt idx="354">
                  <c:v>0.55850297035946883</c:v>
                </c:pt>
                <c:pt idx="355">
                  <c:v>0.5613197587852593</c:v>
                </c:pt>
                <c:pt idx="356">
                  <c:v>0.56414097959624199</c:v>
                </c:pt>
                <c:pt idx="357">
                  <c:v>0.56696660718815761</c:v>
                </c:pt>
                <c:pt idx="358">
                  <c:v>0.56979661592477349</c:v>
                </c:pt>
                <c:pt idx="359">
                  <c:v>0.57263098013797109</c:v>
                </c:pt>
                <c:pt idx="360">
                  <c:v>0.57546967412783867</c:v>
                </c:pt>
                <c:pt idx="361">
                  <c:v>0.57831267216275795</c:v>
                </c:pt>
                <c:pt idx="362">
                  <c:v>0.58115994847949204</c:v>
                </c:pt>
                <c:pt idx="363">
                  <c:v>0.5840114772832713</c:v>
                </c:pt>
                <c:pt idx="364">
                  <c:v>0.58686723274787789</c:v>
                </c:pt>
                <c:pt idx="365">
                  <c:v>0.58972718901573107</c:v>
                </c:pt>
                <c:pt idx="366">
                  <c:v>0.59259132019796779</c:v>
                </c:pt>
                <c:pt idx="367">
                  <c:v>0.59545960037452617</c:v>
                </c:pt>
                <c:pt idx="368">
                  <c:v>0.59833200359422478</c:v>
                </c:pt>
                <c:pt idx="369">
                  <c:v>0.60120850387484315</c:v>
                </c:pt>
                <c:pt idx="370">
                  <c:v>0.60408907520319854</c:v>
                </c:pt>
                <c:pt idx="371">
                  <c:v>0.60697369153522573</c:v>
                </c:pt>
                <c:pt idx="372">
                  <c:v>0.60986232679605135</c:v>
                </c:pt>
                <c:pt idx="373">
                  <c:v>0.61275495488007026</c:v>
                </c:pt>
                <c:pt idx="374">
                  <c:v>0.61565154965101965</c:v>
                </c:pt>
                <c:pt idx="375">
                  <c:v>0.61855208494205216</c:v>
                </c:pt>
                <c:pt idx="376">
                  <c:v>0.62145653455580974</c:v>
                </c:pt>
                <c:pt idx="377">
                  <c:v>0.62436487226449311</c:v>
                </c:pt>
                <c:pt idx="378">
                  <c:v>0.62727707180993486</c:v>
                </c:pt>
                <c:pt idx="379">
                  <c:v>0.63019310690366692</c:v>
                </c:pt>
                <c:pt idx="380">
                  <c:v>0.63311295122699085</c:v>
                </c:pt>
                <c:pt idx="381">
                  <c:v>0.63603657843104566</c:v>
                </c:pt>
                <c:pt idx="382">
                  <c:v>0.63896396213687523</c:v>
                </c:pt>
                <c:pt idx="383">
                  <c:v>0.64189507593549389</c:v>
                </c:pt>
                <c:pt idx="384">
                  <c:v>0.64482989338795327</c:v>
                </c:pt>
                <c:pt idx="385">
                  <c:v>0.64776838802540593</c:v>
                </c:pt>
                <c:pt idx="386">
                  <c:v>0.65071053334917039</c:v>
                </c:pt>
                <c:pt idx="387">
                  <c:v>0.6536563028307939</c:v>
                </c:pt>
                <c:pt idx="388">
                  <c:v>0.65660566991211555</c:v>
                </c:pt>
                <c:pt idx="389">
                  <c:v>0.65955860800532795</c:v>
                </c:pt>
                <c:pt idx="390">
                  <c:v>0.66251509049303758</c:v>
                </c:pt>
                <c:pt idx="391">
                  <c:v>0.66547509072832767</c:v>
                </c:pt>
                <c:pt idx="392">
                  <c:v>0.66843858203481576</c:v>
                </c:pt>
                <c:pt idx="393">
                  <c:v>0.67140553770671441</c:v>
                </c:pt>
                <c:pt idx="394">
                  <c:v>0.67437593100888937</c:v>
                </c:pt>
                <c:pt idx="395">
                  <c:v>0.67734973517691843</c:v>
                </c:pt>
                <c:pt idx="396">
                  <c:v>0.68032692341714762</c:v>
                </c:pt>
                <c:pt idx="397">
                  <c:v>0.68330746890674965</c:v>
                </c:pt>
                <c:pt idx="398">
                  <c:v>0.68629134479378018</c:v>
                </c:pt>
                <c:pt idx="399">
                  <c:v>0.68927852419723301</c:v>
                </c:pt>
                <c:pt idx="400">
                  <c:v>0.69226898020709693</c:v>
                </c:pt>
                <c:pt idx="401">
                  <c:v>0.69526268588440887</c:v>
                </c:pt>
                <c:pt idx="402">
                  <c:v>0.69825961426131122</c:v>
                </c:pt>
                <c:pt idx="403">
                  <c:v>0.70125973834110378</c:v>
                </c:pt>
                <c:pt idx="404">
                  <c:v>0.70426303109829913</c:v>
                </c:pt>
                <c:pt idx="405">
                  <c:v>0.70726946547867431</c:v>
                </c:pt>
                <c:pt idx="406">
                  <c:v>0.7102790143993265</c:v>
                </c:pt>
                <c:pt idx="407">
                  <c:v>0.71329165074872358</c:v>
                </c:pt>
                <c:pt idx="408">
                  <c:v>0.71630734738675716</c:v>
                </c:pt>
                <c:pt idx="409">
                  <c:v>0.71932607714479568</c:v>
                </c:pt>
                <c:pt idx="410">
                  <c:v>0.72234781282573535</c:v>
                </c:pt>
                <c:pt idx="411">
                  <c:v>0.7253725272040521</c:v>
                </c:pt>
                <c:pt idx="412">
                  <c:v>0.7284001930258529</c:v>
                </c:pt>
                <c:pt idx="413">
                  <c:v>0.73143078300892772</c:v>
                </c:pt>
                <c:pt idx="414">
                  <c:v>0.73446426984279911</c:v>
                </c:pt>
                <c:pt idx="415">
                  <c:v>0.73750062618877532</c:v>
                </c:pt>
                <c:pt idx="416">
                  <c:v>0.74053982467999857</c:v>
                </c:pt>
                <c:pt idx="417">
                  <c:v>0.74358183792149701</c:v>
                </c:pt>
                <c:pt idx="418">
                  <c:v>0.74662663849023569</c:v>
                </c:pt>
                <c:pt idx="419">
                  <c:v>0.74967419893516585</c:v>
                </c:pt>
                <c:pt idx="420">
                  <c:v>0.75272449177727674</c:v>
                </c:pt>
                <c:pt idx="421">
                  <c:v>0.75577748950964374</c:v>
                </c:pt>
                <c:pt idx="422">
                  <c:v>0.75883316459748185</c:v>
                </c:pt>
                <c:pt idx="423">
                  <c:v>0.76189148947819285</c:v>
                </c:pt>
                <c:pt idx="424">
                  <c:v>0.76495243656141876</c:v>
                </c:pt>
                <c:pt idx="425">
                  <c:v>0.7680159782290894</c:v>
                </c:pt>
                <c:pt idx="426">
                  <c:v>0.77108208683547552</c:v>
                </c:pt>
                <c:pt idx="427">
                  <c:v>0.77415073470723761</c:v>
                </c:pt>
                <c:pt idx="428">
                  <c:v>0.7772218941434772</c:v>
                </c:pt>
                <c:pt idx="429">
                  <c:v>0.78029553741578861</c:v>
                </c:pt>
                <c:pt idx="430">
                  <c:v>0.78337163676830857</c:v>
                </c:pt>
                <c:pt idx="431">
                  <c:v>0.78645016441776927</c:v>
                </c:pt>
                <c:pt idx="432">
                  <c:v>0.78953109255354714</c:v>
                </c:pt>
                <c:pt idx="433">
                  <c:v>0.7926143933377181</c:v>
                </c:pt>
                <c:pt idx="434">
                  <c:v>0.79570003890510621</c:v>
                </c:pt>
                <c:pt idx="435">
                  <c:v>0.79878800136333816</c:v>
                </c:pt>
                <c:pt idx="436">
                  <c:v>0.80187825279289449</c:v>
                </c:pt>
                <c:pt idx="437">
                  <c:v>0.8049707652471636</c:v>
                </c:pt>
                <c:pt idx="438">
                  <c:v>0.80806551075249344</c:v>
                </c:pt>
                <c:pt idx="439">
                  <c:v>0.81116246130824587</c:v>
                </c:pt>
                <c:pt idx="440">
                  <c:v>0.81426158888685141</c:v>
                </c:pt>
                <c:pt idx="441">
                  <c:v>0.81736286543386194</c:v>
                </c:pt>
                <c:pt idx="442">
                  <c:v>0.82046626286800672</c:v>
                </c:pt>
                <c:pt idx="443">
                  <c:v>0.82357175308124675</c:v>
                </c:pt>
                <c:pt idx="444">
                  <c:v>0.82667930793883149</c:v>
                </c:pt>
                <c:pt idx="445">
                  <c:v>0.82978889927935329</c:v>
                </c:pt>
                <c:pt idx="446">
                  <c:v>0.83290049891480655</c:v>
                </c:pt>
                <c:pt idx="447">
                  <c:v>0.83601407863064225</c:v>
                </c:pt>
                <c:pt idx="448">
                  <c:v>0.83912961018582799</c:v>
                </c:pt>
                <c:pt idx="449">
                  <c:v>0.84224706531290483</c:v>
                </c:pt>
                <c:pt idx="450">
                  <c:v>0.84536641571804672</c:v>
                </c:pt>
                <c:pt idx="451">
                  <c:v>0.84848763308112063</c:v>
                </c:pt>
                <c:pt idx="452">
                  <c:v>0.85161068905574588</c:v>
                </c:pt>
                <c:pt idx="453">
                  <c:v>0.8547355552693553</c:v>
                </c:pt>
                <c:pt idx="454">
                  <c:v>0.85786220332325669</c:v>
                </c:pt>
                <c:pt idx="455">
                  <c:v>0.86099060479269618</c:v>
                </c:pt>
                <c:pt idx="456">
                  <c:v>0.86412073122691913</c:v>
                </c:pt>
                <c:pt idx="457">
                  <c:v>0.86725255414923585</c:v>
                </c:pt>
                <c:pt idx="458">
                  <c:v>0.8703860450570845</c:v>
                </c:pt>
                <c:pt idx="459">
                  <c:v>0.87352117542209806</c:v>
                </c:pt>
                <c:pt idx="460">
                  <c:v>0.87665791669016857</c:v>
                </c:pt>
                <c:pt idx="461">
                  <c:v>0.87979624028151515</c:v>
                </c:pt>
                <c:pt idx="462">
                  <c:v>0.88293611759075252</c:v>
                </c:pt>
                <c:pt idx="463">
                  <c:v>0.88607751998695683</c:v>
                </c:pt>
                <c:pt idx="464">
                  <c:v>0.88922041881373892</c:v>
                </c:pt>
                <c:pt idx="465">
                  <c:v>0.89236478538931152</c:v>
                </c:pt>
                <c:pt idx="466">
                  <c:v>0.89551059100656294</c:v>
                </c:pt>
                <c:pt idx="467">
                  <c:v>0.89865780693312736</c:v>
                </c:pt>
                <c:pt idx="468">
                  <c:v>0.90180640441146054</c:v>
                </c:pt>
                <c:pt idx="469">
                  <c:v>0.90495635465891133</c:v>
                </c:pt>
                <c:pt idx="470">
                  <c:v>0.90810762886779928</c:v>
                </c:pt>
                <c:pt idx="471">
                  <c:v>0.91126019820548954</c:v>
                </c:pt>
                <c:pt idx="472">
                  <c:v>0.91441403381447073</c:v>
                </c:pt>
                <c:pt idx="473">
                  <c:v>0.91756910681243342</c:v>
                </c:pt>
                <c:pt idx="474">
                  <c:v>0.9207253882923494</c:v>
                </c:pt>
                <c:pt idx="475">
                  <c:v>0.92388284932255271</c:v>
                </c:pt>
                <c:pt idx="476">
                  <c:v>0.92704146094682061</c:v>
                </c:pt>
                <c:pt idx="477">
                  <c:v>0.93020119418445768</c:v>
                </c:pt>
                <c:pt idx="478">
                  <c:v>0.93336202003037849</c:v>
                </c:pt>
                <c:pt idx="479">
                  <c:v>0.93652390945519404</c:v>
                </c:pt>
                <c:pt idx="480">
                  <c:v>0.93968683340529691</c:v>
                </c:pt>
                <c:pt idx="481">
                  <c:v>0.94285076280295055</c:v>
                </c:pt>
                <c:pt idx="482">
                  <c:v>0.94601566854637653</c:v>
                </c:pt>
                <c:pt idx="483">
                  <c:v>0.9491815215098458</c:v>
                </c:pt>
                <c:pt idx="484">
                  <c:v>0.95234829254376918</c:v>
                </c:pt>
                <c:pt idx="485">
                  <c:v>0.95551595247479093</c:v>
                </c:pt>
                <c:pt idx="486">
                  <c:v>0.9586844721058827</c:v>
                </c:pt>
                <c:pt idx="487">
                  <c:v>0.96185382221643789</c:v>
                </c:pt>
                <c:pt idx="488">
                  <c:v>0.96502397356236991</c:v>
                </c:pt>
                <c:pt idx="489">
                  <c:v>0.96819489687620797</c:v>
                </c:pt>
                <c:pt idx="490">
                  <c:v>0.97136656286719902</c:v>
                </c:pt>
                <c:pt idx="491">
                  <c:v>0.97453894222140691</c:v>
                </c:pt>
                <c:pt idx="492">
                  <c:v>0.97771200560181459</c:v>
                </c:pt>
                <c:pt idx="493">
                  <c:v>0.98088572364842919</c:v>
                </c:pt>
                <c:pt idx="494">
                  <c:v>0.98406006697838466</c:v>
                </c:pt>
                <c:pt idx="495">
                  <c:v>0.98723500618605142</c:v>
                </c:pt>
                <c:pt idx="496">
                  <c:v>0.99041051184314133</c:v>
                </c:pt>
                <c:pt idx="497">
                  <c:v>0.9935865544988195</c:v>
                </c:pt>
                <c:pt idx="498">
                  <c:v>0.99676310467981388</c:v>
                </c:pt>
                <c:pt idx="499">
                  <c:v>0.99994013289052852</c:v>
                </c:pt>
              </c:numCache>
            </c:numRef>
          </c:xVal>
          <c:yVal>
            <c:numRef>
              <c:f>Data3!$J$1:$J$500</c:f>
              <c:numCache>
                <c:formatCode>0.00000</c:formatCode>
                <c:ptCount val="500"/>
                <c:pt idx="0">
                  <c:v>0</c:v>
                </c:pt>
                <c:pt idx="1">
                  <c:v>-1.9688410079961419E-4</c:v>
                </c:pt>
                <c:pt idx="2">
                  <c:v>-3.9298340553644407E-4</c:v>
                </c:pt>
                <c:pt idx="3">
                  <c:v>-5.8829756909848188E-4</c:v>
                </c:pt>
                <c:pt idx="4">
                  <c:v>-7.828262453216299E-4</c:v>
                </c:pt>
                <c:pt idx="5">
                  <c:v>-9.7656908697262338E-4</c:v>
                </c:pt>
                <c:pt idx="6">
                  <c:v>-1.1695257457473641E-3</c:v>
                </c:pt>
                <c:pt idx="7">
                  <c:v>-1.36169587226723E-3</c:v>
                </c:pt>
                <c:pt idx="8">
                  <c:v>-1.5530791160804865E-3</c:v>
                </c:pt>
                <c:pt idx="9">
                  <c:v>-1.7436751256683421E-3</c:v>
                </c:pt>
                <c:pt idx="10">
                  <c:v>-1.9334835484542826E-3</c:v>
                </c:pt>
                <c:pt idx="11">
                  <c:v>-2.1225040308178564E-3</c:v>
                </c:pt>
                <c:pt idx="12">
                  <c:v>-2.3107362181117122E-3</c:v>
                </c:pt>
                <c:pt idx="13">
                  <c:v>-2.4981797546827374E-3</c:v>
                </c:pt>
                <c:pt idx="14">
                  <c:v>-2.6848342838976438E-3</c:v>
                </c:pt>
                <c:pt idx="15">
                  <c:v>-2.8706994481720359E-3</c:v>
                </c:pt>
                <c:pt idx="16">
                  <c:v>-3.0557748890026374E-3</c:v>
                </c:pt>
                <c:pt idx="17">
                  <c:v>-3.2400602470052968E-3</c:v>
                </c:pt>
                <c:pt idx="18">
                  <c:v>-3.4235551619546858E-3</c:v>
                </c:pt>
                <c:pt idx="19">
                  <c:v>-3.6062592728298782E-3</c:v>
                </c:pt>
                <c:pt idx="20">
                  <c:v>-3.7881722178620151E-3</c:v>
                </c:pt>
                <c:pt idx="21">
                  <c:v>-3.9692936345872834E-3</c:v>
                </c:pt>
                <c:pt idx="22">
                  <c:v>-4.1496231599029883E-3</c:v>
                </c:pt>
                <c:pt idx="23">
                  <c:v>-4.3291604301278208E-3</c:v>
                </c:pt>
                <c:pt idx="24">
                  <c:v>-4.5079050810655505E-3</c:v>
                </c:pt>
                <c:pt idx="25">
                  <c:v>-4.685856748073319E-3</c:v>
                </c:pt>
                <c:pt idx="26">
                  <c:v>-4.8630150661327599E-3</c:v>
                </c:pt>
                <c:pt idx="27">
                  <c:v>-5.0393796699261181E-3</c:v>
                </c:pt>
                <c:pt idx="28">
                  <c:v>-5.2149501939152019E-3</c:v>
                </c:pt>
                <c:pt idx="29">
                  <c:v>-5.3897262724246333E-3</c:v>
                </c:pt>
                <c:pt idx="30">
                  <c:v>-5.5637075397291175E-3</c:v>
                </c:pt>
                <c:pt idx="31">
                  <c:v>-5.7368936301435925E-3</c:v>
                </c:pt>
                <c:pt idx="32">
                  <c:v>-5.9092841781184669E-3</c:v>
                </c:pt>
                <c:pt idx="33">
                  <c:v>-6.080878818337695E-3</c:v>
                </c:pt>
                <c:pt idx="34">
                  <c:v>-6.2516771858208246E-3</c:v>
                </c:pt>
                <c:pt idx="35">
                  <c:v>-6.4216789160289273E-3</c:v>
                </c:pt>
                <c:pt idx="36">
                  <c:v>-6.5908836449743999E-3</c:v>
                </c:pt>
                <c:pt idx="37">
                  <c:v>-6.7592910093341851E-3</c:v>
                </c:pt>
                <c:pt idx="38">
                  <c:v>-6.9269006465668467E-3</c:v>
                </c:pt>
                <c:pt idx="39">
                  <c:v>-7.0937121950334931E-3</c:v>
                </c:pt>
                <c:pt idx="40">
                  <c:v>-7.2597252941222455E-3</c:v>
                </c:pt>
                <c:pt idx="41">
                  <c:v>-7.4249395843764927E-3</c:v>
                </c:pt>
                <c:pt idx="42">
                  <c:v>-7.5893547076266912E-3</c:v>
                </c:pt>
                <c:pt idx="43">
                  <c:v>-7.7529703071258955E-3</c:v>
                </c:pt>
                <c:pt idx="44">
                  <c:v>-7.9157860276890535E-3</c:v>
                </c:pt>
                <c:pt idx="45">
                  <c:v>-8.0778015158357724E-3</c:v>
                </c:pt>
                <c:pt idx="46">
                  <c:v>-8.2390164199368007E-3</c:v>
                </c:pt>
                <c:pt idx="47">
                  <c:v>-8.399430390363909E-3</c:v>
                </c:pt>
                <c:pt idx="48">
                  <c:v>-8.5590430796437956E-3</c:v>
                </c:pt>
                <c:pt idx="49">
                  <c:v>-8.7178541426150037E-3</c:v>
                </c:pt>
                <c:pt idx="50">
                  <c:v>-8.8758632365888799E-3</c:v>
                </c:pt>
                <c:pt idx="51">
                  <c:v>-9.0330700215137377E-3</c:v>
                </c:pt>
                <c:pt idx="52">
                  <c:v>-9.1894741601427962E-3</c:v>
                </c:pt>
                <c:pt idx="53">
                  <c:v>-9.345075318205439E-3</c:v>
                </c:pt>
                <c:pt idx="54">
                  <c:v>-9.4998731645818887E-3</c:v>
                </c:pt>
                <c:pt idx="55">
                  <c:v>-9.6538673714817412E-3</c:v>
                </c:pt>
                <c:pt idx="56">
                  <c:v>-9.8070576146254227E-3</c:v>
                </c:pt>
                <c:pt idx="57">
                  <c:v>-9.9594435734295297E-3</c:v>
                </c:pt>
                <c:pt idx="58">
                  <c:v>-1.0111024931195251E-2</c:v>
                </c:pt>
                <c:pt idx="59">
                  <c:v>-1.0261801375300368E-2</c:v>
                </c:pt>
                <c:pt idx="60">
                  <c:v>-1.0411772597394614E-2</c:v>
                </c:pt>
                <c:pt idx="61">
                  <c:v>-1.0560938293598252E-2</c:v>
                </c:pt>
                <c:pt idx="62">
                  <c:v>-1.0709298164704135E-2</c:v>
                </c:pt>
                <c:pt idx="63">
                  <c:v>-1.0856851916383014E-2</c:v>
                </c:pt>
                <c:pt idx="64">
                  <c:v>-1.100359925939199E-2</c:v>
                </c:pt>
                <c:pt idx="65">
                  <c:v>-1.1149539909786604E-2</c:v>
                </c:pt>
                <c:pt idx="66">
                  <c:v>-1.1294673589135707E-2</c:v>
                </c:pt>
                <c:pt idx="67">
                  <c:v>-1.1439000024739857E-2</c:v>
                </c:pt>
                <c:pt idx="68">
                  <c:v>-1.1582518949852866E-2</c:v>
                </c:pt>
                <c:pt idx="69">
                  <c:v>-1.1725230103906366E-2</c:v>
                </c:pt>
                <c:pt idx="70">
                  <c:v>-1.1867133232737789E-2</c:v>
                </c:pt>
                <c:pt idx="71">
                  <c:v>-1.200822808882112E-2</c:v>
                </c:pt>
                <c:pt idx="72">
                  <c:v>-1.2148514431501119E-2</c:v>
                </c:pt>
                <c:pt idx="73">
                  <c:v>-1.2287992027230316E-2</c:v>
                </c:pt>
                <c:pt idx="74">
                  <c:v>-1.2426660649809273E-2</c:v>
                </c:pt>
                <c:pt idx="75">
                  <c:v>-1.2564520080629733E-2</c:v>
                </c:pt>
                <c:pt idx="76">
                  <c:v>-1.2701570108920722E-2</c:v>
                </c:pt>
                <c:pt idx="77">
                  <c:v>-1.2837810531997921E-2</c:v>
                </c:pt>
                <c:pt idx="78">
                  <c:v>-1.2973241155515524E-2</c:v>
                </c:pt>
                <c:pt idx="79">
                  <c:v>-1.3107861793721445E-2</c:v>
                </c:pt>
                <c:pt idx="80">
                  <c:v>-1.3241672269715092E-2</c:v>
                </c:pt>
                <c:pt idx="81">
                  <c:v>-1.337467241570822E-2</c:v>
                </c:pt>
                <c:pt idx="82">
                  <c:v>-1.3506862073288484E-2</c:v>
                </c:pt>
                <c:pt idx="83">
                  <c:v>-1.3638241093685879E-2</c:v>
                </c:pt>
                <c:pt idx="84">
                  <c:v>-1.3768809338041876E-2</c:v>
                </c:pt>
                <c:pt idx="85">
                  <c:v>-1.3898566677681327E-2</c:v>
                </c:pt>
                <c:pt idx="86">
                  <c:v>-1.4027512994387205E-2</c:v>
                </c:pt>
                <c:pt idx="87">
                  <c:v>-1.415564818067782E-2</c:v>
                </c:pt>
                <c:pt idx="88">
                  <c:v>-1.4282972140086839E-2</c:v>
                </c:pt>
                <c:pt idx="89">
                  <c:v>-1.4409484787445918E-2</c:v>
                </c:pt>
                <c:pt idx="90">
                  <c:v>-1.4535186049169809E-2</c:v>
                </c:pt>
                <c:pt idx="91">
                  <c:v>-1.466007586354422E-2</c:v>
                </c:pt>
                <c:pt idx="92">
                  <c:v>-1.4784154181016064E-2</c:v>
                </c:pt>
                <c:pt idx="93">
                  <c:v>-1.4907420964486214E-2</c:v>
                </c:pt>
                <c:pt idx="94">
                  <c:v>-1.5029876189604767E-2</c:v>
                </c:pt>
                <c:pt idx="95">
                  <c:v>-1.5151519845068764E-2</c:v>
                </c:pt>
                <c:pt idx="96">
                  <c:v>-1.5272351932922215E-2</c:v>
                </c:pt>
                <c:pt idx="97">
                  <c:v>-1.5392372468858544E-2</c:v>
                </c:pt>
                <c:pt idx="98">
                  <c:v>-1.5511581482525457E-2</c:v>
                </c:pt>
                <c:pt idx="99">
                  <c:v>-1.5629979017831874E-2</c:v>
                </c:pt>
                <c:pt idx="100">
                  <c:v>-1.5747565133257358E-2</c:v>
                </c:pt>
                <c:pt idx="101">
                  <c:v>-1.5864339902163644E-2</c:v>
                </c:pt>
                <c:pt idx="102">
                  <c:v>-1.5980303413108386E-2</c:v>
                </c:pt>
                <c:pt idx="103">
                  <c:v>-1.609545577016111E-2</c:v>
                </c:pt>
                <c:pt idx="104">
                  <c:v>-1.6209797093221175E-2</c:v>
                </c:pt>
                <c:pt idx="105">
                  <c:v>-1.6323327518337913E-2</c:v>
                </c:pt>
                <c:pt idx="106">
                  <c:v>-1.6436047198032794E-2</c:v>
                </c:pt>
                <c:pt idx="107">
                  <c:v>-1.6547956301623569E-2</c:v>
                </c:pt>
                <c:pt idx="108">
                  <c:v>-1.6659055015550466E-2</c:v>
                </c:pt>
                <c:pt idx="109">
                  <c:v>-1.6769343543704168E-2</c:v>
                </c:pt>
                <c:pt idx="110">
                  <c:v>-1.6878822107755889E-2</c:v>
                </c:pt>
                <c:pt idx="111">
                  <c:v>-1.6987490947489088E-2</c:v>
                </c:pt>
                <c:pt idx="112">
                  <c:v>-1.7095350321133213E-2</c:v>
                </c:pt>
                <c:pt idx="113">
                  <c:v>-1.7202400505699076E-2</c:v>
                </c:pt>
                <c:pt idx="114">
                  <c:v>-1.7308641797316029E-2</c:v>
                </c:pt>
                <c:pt idx="115">
                  <c:v>-1.7414074511570815E-2</c:v>
                </c:pt>
                <c:pt idx="116">
                  <c:v>-1.7518698983848127E-2</c:v>
                </c:pt>
                <c:pt idx="117">
                  <c:v>-1.7622515569672748E-2</c:v>
                </c:pt>
                <c:pt idx="118">
                  <c:v>-1.7725524645053232E-2</c:v>
                </c:pt>
                <c:pt idx="119">
                  <c:v>-1.7827726606827236E-2</c:v>
                </c:pt>
                <c:pt idx="120">
                  <c:v>-1.7929121873008259E-2</c:v>
                </c:pt>
                <c:pt idx="121">
                  <c:v>-1.8029710883133834E-2</c:v>
                </c:pt>
                <c:pt idx="122">
                  <c:v>-1.8129494098615181E-2</c:v>
                </c:pt>
                <c:pt idx="123">
                  <c:v>-1.8228472003088216E-2</c:v>
                </c:pt>
                <c:pt idx="124">
                  <c:v>-1.8326645102765896E-2</c:v>
                </c:pt>
                <c:pt idx="125">
                  <c:v>-1.8424013926791792E-2</c:v>
                </c:pt>
                <c:pt idx="126">
                  <c:v>-1.8520579027594974E-2</c:v>
                </c:pt>
                <c:pt idx="127">
                  <c:v>-1.8616340981246086E-2</c:v>
                </c:pt>
                <c:pt idx="128">
                  <c:v>-1.8711300387814545E-2</c:v>
                </c:pt>
                <c:pt idx="129">
                  <c:v>-1.8805457871726876E-2</c:v>
                </c:pt>
                <c:pt idx="130">
                  <c:v>-1.8898814082126077E-2</c:v>
                </c:pt>
                <c:pt idx="131">
                  <c:v>-1.8991369693232077E-2</c:v>
                </c:pt>
                <c:pt idx="132">
                  <c:v>-1.9083125404703097E-2</c:v>
                </c:pt>
                <c:pt idx="133">
                  <c:v>-1.9174081941997982E-2</c:v>
                </c:pt>
                <c:pt idx="134">
                  <c:v>-1.9264240056739414E-2</c:v>
                </c:pt>
                <c:pt idx="135">
                  <c:v>-1.9353600527077963E-2</c:v>
                </c:pt>
                <c:pt idx="136">
                  <c:v>-1.9442164158056944E-2</c:v>
                </c:pt>
                <c:pt idx="137">
                  <c:v>-1.9529931781977972E-2</c:v>
                </c:pt>
                <c:pt idx="138">
                  <c:v>-1.9616904258767283E-2</c:v>
                </c:pt>
                <c:pt idx="139">
                  <c:v>-1.9703082476342698E-2</c:v>
                </c:pt>
                <c:pt idx="140">
                  <c:v>-1.9788467350981144E-2</c:v>
                </c:pt>
                <c:pt idx="141">
                  <c:v>-1.9873059827686786E-2</c:v>
                </c:pt>
                <c:pt idx="142">
                  <c:v>-1.9956860880559688E-2</c:v>
                </c:pt>
                <c:pt idx="143">
                  <c:v>-2.0039871513164796E-2</c:v>
                </c:pt>
                <c:pt idx="144">
                  <c:v>-2.0122092758901547E-2</c:v>
                </c:pt>
                <c:pt idx="145">
                  <c:v>-2.0203525681373735E-2</c:v>
                </c:pt>
                <c:pt idx="146">
                  <c:v>-2.0284171374759623E-2</c:v>
                </c:pt>
                <c:pt idx="147">
                  <c:v>-2.036403096418251E-2</c:v>
                </c:pt>
                <c:pt idx="148">
                  <c:v>-2.0443105606081292E-2</c:v>
                </c:pt>
                <c:pt idx="149">
                  <c:v>-2.0521396488581409E-2</c:v>
                </c:pt>
                <c:pt idx="150">
                  <c:v>-2.0598904831865768E-2</c:v>
                </c:pt>
                <c:pt idx="151">
                  <c:v>-2.0675631888545775E-2</c:v>
                </c:pt>
                <c:pt idx="152">
                  <c:v>-2.0751578944032404E-2</c:v>
                </c:pt>
                <c:pt idx="153">
                  <c:v>-2.0826747316907247E-2</c:v>
                </c:pt>
                <c:pt idx="154">
                  <c:v>-2.0901138359293431E-2</c:v>
                </c:pt>
                <c:pt idx="155">
                  <c:v>-2.097475345722645E-2</c:v>
                </c:pt>
                <c:pt idx="156">
                  <c:v>-2.1047594031024776E-2</c:v>
                </c:pt>
                <c:pt idx="157">
                  <c:v>-2.1119661535660278E-2</c:v>
                </c:pt>
                <c:pt idx="158">
                  <c:v>-2.1190957461128306E-2</c:v>
                </c:pt>
                <c:pt idx="159">
                  <c:v>-2.1261483332817511E-2</c:v>
                </c:pt>
                <c:pt idx="160">
                  <c:v>-2.1331240711879126E-2</c:v>
                </c:pt>
                <c:pt idx="161">
                  <c:v>-2.1400231195596052E-2</c:v>
                </c:pt>
                <c:pt idx="162">
                  <c:v>-2.1468456417751157E-2</c:v>
                </c:pt>
                <c:pt idx="163">
                  <c:v>-2.153591804899526E-2</c:v>
                </c:pt>
                <c:pt idx="164">
                  <c:v>-2.1602617797214368E-2</c:v>
                </c:pt>
                <c:pt idx="165">
                  <c:v>-2.1668557407896392E-2</c:v>
                </c:pt>
                <c:pt idx="166">
                  <c:v>-2.1733738664496998E-2</c:v>
                </c:pt>
                <c:pt idx="167">
                  <c:v>-2.1798163388804824E-2</c:v>
                </c:pt>
                <c:pt idx="168">
                  <c:v>-2.1861833441305836E-2</c:v>
                </c:pt>
                <c:pt idx="169">
                  <c:v>-2.1924750721546836E-2</c:v>
                </c:pt>
                <c:pt idx="170">
                  <c:v>-2.1986917168497988E-2</c:v>
                </c:pt>
                <c:pt idx="171">
                  <c:v>-2.2048334760914438E-2</c:v>
                </c:pt>
                <c:pt idx="172">
                  <c:v>-2.2109005517696914E-2</c:v>
                </c:pt>
                <c:pt idx="173">
                  <c:v>-2.2168931498251152E-2</c:v>
                </c:pt>
                <c:pt idx="174">
                  <c:v>-2.2228114802846255E-2</c:v>
                </c:pt>
                <c:pt idx="175">
                  <c:v>-2.2286557572971884E-2</c:v>
                </c:pt>
                <c:pt idx="176">
                  <c:v>-2.2344261991694085E-2</c:v>
                </c:pt>
                <c:pt idx="177">
                  <c:v>-2.2401230284009928E-2</c:v>
                </c:pt>
                <c:pt idx="178">
                  <c:v>-2.2457464717200785E-2</c:v>
                </c:pt>
                <c:pt idx="179">
                  <c:v>-2.2512967601184104E-2</c:v>
                </c:pt>
                <c:pt idx="180">
                  <c:v>-2.2567741288863755E-2</c:v>
                </c:pt>
                <c:pt idx="181">
                  <c:v>-2.2621788176478912E-2</c:v>
                </c:pt>
                <c:pt idx="182">
                  <c:v>-2.2675110703951274E-2</c:v>
                </c:pt>
                <c:pt idx="183">
                  <c:v>-2.27277113552307E-2</c:v>
                </c:pt>
                <c:pt idx="184">
                  <c:v>-2.2779592658639158E-2</c:v>
                </c:pt>
                <c:pt idx="185">
                  <c:v>-2.2830757187212801E-2</c:v>
                </c:pt>
                <c:pt idx="186">
                  <c:v>-2.2881207559042487E-2</c:v>
                </c:pt>
                <c:pt idx="187">
                  <c:v>-2.2930946437612225E-2</c:v>
                </c:pt>
                <c:pt idx="188">
                  <c:v>-2.2979976532135751E-2</c:v>
                </c:pt>
                <c:pt idx="189">
                  <c:v>-2.3028300597891189E-2</c:v>
                </c:pt>
                <c:pt idx="190">
                  <c:v>-2.3075921436553681E-2</c:v>
                </c:pt>
                <c:pt idx="191">
                  <c:v>-2.3122841896525869E-2</c:v>
                </c:pt>
                <c:pt idx="192">
                  <c:v>-2.3169064873266289E-2</c:v>
                </c:pt>
                <c:pt idx="193">
                  <c:v>-2.3214593309615505E-2</c:v>
                </c:pt>
                <c:pt idx="194">
                  <c:v>-2.3259430196120139E-2</c:v>
                </c:pt>
                <c:pt idx="195">
                  <c:v>-2.3303578571354389E-2</c:v>
                </c:pt>
                <c:pt idx="196">
                  <c:v>-2.3347041522239331E-2</c:v>
                </c:pt>
                <c:pt idx="197">
                  <c:v>-2.338982218435974E-2</c:v>
                </c:pt>
                <c:pt idx="198">
                  <c:v>-2.3431923742278406E-2</c:v>
                </c:pt>
                <c:pt idx="199">
                  <c:v>-2.3473349429847995E-2</c:v>
                </c:pt>
                <c:pt idx="200">
                  <c:v>-2.3514102530520244E-2</c:v>
                </c:pt>
                <c:pt idx="201">
                  <c:v>-2.3554186377652497E-2</c:v>
                </c:pt>
                <c:pt idx="202">
                  <c:v>-2.3593604354811608E-2</c:v>
                </c:pt>
                <c:pt idx="203">
                  <c:v>-2.3632359896075046E-2</c:v>
                </c:pt>
                <c:pt idx="204">
                  <c:v>-2.3670456486329119E-2</c:v>
                </c:pt>
                <c:pt idx="205">
                  <c:v>-2.3707897661564434E-2</c:v>
                </c:pt>
                <c:pt idx="206">
                  <c:v>-2.3744687009168292E-2</c:v>
                </c:pt>
                <c:pt idx="207">
                  <c:v>-2.3780828168214259E-2</c:v>
                </c:pt>
                <c:pt idx="208">
                  <c:v>-2.3816324829748495E-2</c:v>
                </c:pt>
                <c:pt idx="209">
                  <c:v>-2.3851180737073152E-2</c:v>
                </c:pt>
                <c:pt idx="210">
                  <c:v>-2.3885399686026529E-2</c:v>
                </c:pt>
                <c:pt idx="211">
                  <c:v>-2.3918985525259995E-2</c:v>
                </c:pt>
                <c:pt idx="212">
                  <c:v>-2.3951942156511689E-2</c:v>
                </c:pt>
                <c:pt idx="213">
                  <c:v>-2.3984273534876848E-2</c:v>
                </c:pt>
                <c:pt idx="214">
                  <c:v>-2.4015983669074818E-2</c:v>
                </c:pt>
                <c:pt idx="215">
                  <c:v>-2.4047076621712498E-2</c:v>
                </c:pt>
                <c:pt idx="216">
                  <c:v>-2.4077556509544466E-2</c:v>
                </c:pt>
                <c:pt idx="217">
                  <c:v>-2.4107427503729389E-2</c:v>
                </c:pt>
                <c:pt idx="218">
                  <c:v>-2.413669383008284E-2</c:v>
                </c:pt>
                <c:pt idx="219">
                  <c:v>-2.4165359769326603E-2</c:v>
                </c:pt>
                <c:pt idx="220">
                  <c:v>-2.4193429657334089E-2</c:v>
                </c:pt>
                <c:pt idx="221">
                  <c:v>-2.4220907885372039E-2</c:v>
                </c:pt>
                <c:pt idx="222">
                  <c:v>-2.4247798900338381E-2</c:v>
                </c:pt>
                <c:pt idx="223">
                  <c:v>-2.4274107204996297E-2</c:v>
                </c:pt>
                <c:pt idx="224">
                  <c:v>-2.4299837358204127E-2</c:v>
                </c:pt>
                <c:pt idx="225">
                  <c:v>-2.4324993975141505E-2</c:v>
                </c:pt>
                <c:pt idx="226">
                  <c:v>-2.4349581727531357E-2</c:v>
                </c:pt>
                <c:pt idx="227">
                  <c:v>-2.4373605343857747E-2</c:v>
                </c:pt>
                <c:pt idx="228">
                  <c:v>-2.4397069609579606E-2</c:v>
                </c:pt>
                <c:pt idx="229">
                  <c:v>-2.441997936734026E-2</c:v>
                </c:pt>
                <c:pt idx="230">
                  <c:v>-2.4442339517172656E-2</c:v>
                </c:pt>
                <c:pt idx="231">
                  <c:v>-2.4464155016700316E-2</c:v>
                </c:pt>
                <c:pt idx="232">
                  <c:v>-2.4485430881333814E-2</c:v>
                </c:pt>
                <c:pt idx="233">
                  <c:v>-2.4506172184462941E-2</c:v>
                </c:pt>
                <c:pt idx="234">
                  <c:v>-2.4526384057644294E-2</c:v>
                </c:pt>
                <c:pt idx="235">
                  <c:v>-2.4546071690784401E-2</c:v>
                </c:pt>
                <c:pt idx="236">
                  <c:v>-2.4565240332318185E-2</c:v>
                </c:pt>
                <c:pt idx="237">
                  <c:v>-2.4583895289382856E-2</c:v>
                </c:pt>
                <c:pt idx="238">
                  <c:v>-2.4602041927987064E-2</c:v>
                </c:pt>
                <c:pt idx="239">
                  <c:v>-2.4619685673175271E-2</c:v>
                </c:pt>
                <c:pt idx="240">
                  <c:v>-2.4636832009187457E-2</c:v>
                </c:pt>
                <c:pt idx="241">
                  <c:v>-2.4653486479613813E-2</c:v>
                </c:pt>
                <c:pt idx="242">
                  <c:v>-2.4669654687544642E-2</c:v>
                </c:pt>
                <c:pt idx="243">
                  <c:v>-2.4685342295715288E-2</c:v>
                </c:pt>
                <c:pt idx="244">
                  <c:v>-2.4700555026645973E-2</c:v>
                </c:pt>
                <c:pt idx="245">
                  <c:v>-2.4715298662776778E-2</c:v>
                </c:pt>
                <c:pt idx="246">
                  <c:v>-2.4729579046597266E-2</c:v>
                </c:pt>
                <c:pt idx="247">
                  <c:v>-2.4743402080771189E-2</c:v>
                </c:pt>
                <c:pt idx="248">
                  <c:v>-2.4756773728255837E-2</c:v>
                </c:pt>
                <c:pt idx="249">
                  <c:v>-2.4769700012416161E-2</c:v>
                </c:pt>
                <c:pt idx="250">
                  <c:v>-2.4782187017133715E-2</c:v>
                </c:pt>
                <c:pt idx="251">
                  <c:v>-2.479424088691002E-2</c:v>
                </c:pt>
                <c:pt idx="252">
                  <c:v>-2.4805867826964739E-2</c:v>
                </c:pt>
                <c:pt idx="253">
                  <c:v>-2.4817074103328386E-2</c:v>
                </c:pt>
                <c:pt idx="254">
                  <c:v>-2.4827866042929372E-2</c:v>
                </c:pt>
                <c:pt idx="255">
                  <c:v>-2.483825003367569E-2</c:v>
                </c:pt>
                <c:pt idx="256">
                  <c:v>-2.4848232524530972E-2</c:v>
                </c:pt>
                <c:pt idx="257">
                  <c:v>-2.4857820025584825E-2</c:v>
                </c:pt>
                <c:pt idx="258">
                  <c:v>-2.486701910811764E-2</c:v>
                </c:pt>
                <c:pt idx="259">
                  <c:v>-2.4875836404659547E-2</c:v>
                </c:pt>
                <c:pt idx="260">
                  <c:v>-2.4884278609043648E-2</c:v>
                </c:pt>
                <c:pt idx="261">
                  <c:v>-2.4892352476453491E-2</c:v>
                </c:pt>
                <c:pt idx="262">
                  <c:v>-2.490006482346455E-2</c:v>
                </c:pt>
                <c:pt idx="263">
                  <c:v>-2.4907422528079964E-2</c:v>
                </c:pt>
                <c:pt idx="264">
                  <c:v>-2.4914432529760239E-2</c:v>
                </c:pt>
                <c:pt idx="265">
                  <c:v>-2.4921101829447029E-2</c:v>
                </c:pt>
                <c:pt idx="266">
                  <c:v>-2.4927437489580692E-2</c:v>
                </c:pt>
                <c:pt idx="267">
                  <c:v>-2.4933446634112139E-2</c:v>
                </c:pt>
                <c:pt idx="268">
                  <c:v>-2.4939136448508172E-2</c:v>
                </c:pt>
                <c:pt idx="269">
                  <c:v>-2.4944514179750986E-2</c:v>
                </c:pt>
                <c:pt idx="270">
                  <c:v>-2.4949587136331275E-2</c:v>
                </c:pt>
                <c:pt idx="271">
                  <c:v>-2.4954362688235258E-2</c:v>
                </c:pt>
                <c:pt idx="272">
                  <c:v>-2.4958848266925213E-2</c:v>
                </c:pt>
                <c:pt idx="273">
                  <c:v>-2.4963051365313984E-2</c:v>
                </c:pt>
                <c:pt idx="274">
                  <c:v>-2.4966979537732963E-2</c:v>
                </c:pt>
                <c:pt idx="275">
                  <c:v>-2.4970640399893662E-2</c:v>
                </c:pt>
                <c:pt idx="276">
                  <c:v>-2.4974041628842918E-2</c:v>
                </c:pt>
                <c:pt idx="277">
                  <c:v>-2.4977190962911757E-2</c:v>
                </c:pt>
                <c:pt idx="278">
                  <c:v>-2.4980096201657528E-2</c:v>
                </c:pt>
                <c:pt idx="279">
                  <c:v>-2.4982765205799586E-2</c:v>
                </c:pt>
                <c:pt idx="280">
                  <c:v>-2.4985205897148612E-2</c:v>
                </c:pt>
                <c:pt idx="281">
                  <c:v>-2.4987426258528966E-2</c:v>
                </c:pt>
                <c:pt idx="282">
                  <c:v>-2.4989434333694719E-2</c:v>
                </c:pt>
                <c:pt idx="283">
                  <c:v>-2.4991238227238789E-2</c:v>
                </c:pt>
                <c:pt idx="284">
                  <c:v>-2.4992846104495696E-2</c:v>
                </c:pt>
                <c:pt idx="285">
                  <c:v>-2.4994266191437159E-2</c:v>
                </c:pt>
                <c:pt idx="286">
                  <c:v>-2.4995506774561149E-2</c:v>
                </c:pt>
                <c:pt idx="287">
                  <c:v>-2.4996576200774362E-2</c:v>
                </c:pt>
                <c:pt idx="288">
                  <c:v>-2.4997482877267364E-2</c:v>
                </c:pt>
                <c:pt idx="289">
                  <c:v>-2.499823527138334E-2</c:v>
                </c:pt>
                <c:pt idx="290">
                  <c:v>-2.4998841910479751E-2</c:v>
                </c:pt>
                <c:pt idx="291">
                  <c:v>-2.4999311381783112E-2</c:v>
                </c:pt>
                <c:pt idx="292">
                  <c:v>-2.4999652332236794E-2</c:v>
                </c:pt>
                <c:pt idx="293">
                  <c:v>-2.4999873468341996E-2</c:v>
                </c:pt>
                <c:pt idx="294">
                  <c:v>-2.4999983555991496E-2</c:v>
                </c:pt>
                <c:pt idx="295">
                  <c:v>-2.4999913681798849E-2</c:v>
                </c:pt>
                <c:pt idx="296">
                  <c:v>-2.4999021638417052E-2</c:v>
                </c:pt>
                <c:pt idx="297">
                  <c:v>-2.4997158303184604E-2</c:v>
                </c:pt>
                <c:pt idx="298">
                  <c:v>-2.4994318331206026E-2</c:v>
                </c:pt>
                <c:pt idx="299">
                  <c:v>-2.4990496421047354E-2</c:v>
                </c:pt>
                <c:pt idx="300">
                  <c:v>-2.4985687315061508E-2</c:v>
                </c:pt>
                <c:pt idx="301">
                  <c:v>-2.4979885799710784E-2</c:v>
                </c:pt>
                <c:pt idx="302">
                  <c:v>-2.4973086705886278E-2</c:v>
                </c:pt>
                <c:pt idx="303">
                  <c:v>-2.4965284909224283E-2</c:v>
                </c:pt>
                <c:pt idx="304">
                  <c:v>-2.4956475330419808E-2</c:v>
                </c:pt>
                <c:pt idx="305">
                  <c:v>-2.4946652935536908E-2</c:v>
                </c:pt>
                <c:pt idx="306">
                  <c:v>-2.4935812736316027E-2</c:v>
                </c:pt>
                <c:pt idx="307">
                  <c:v>-2.4923949790478135E-2</c:v>
                </c:pt>
                <c:pt idx="308">
                  <c:v>-2.4911059202026062E-2</c:v>
                </c:pt>
                <c:pt idx="309">
                  <c:v>-2.4897136121542263E-2</c:v>
                </c:pt>
                <c:pt idx="310">
                  <c:v>-2.4882175746483878E-2</c:v>
                </c:pt>
                <c:pt idx="311">
                  <c:v>-2.4866173321474335E-2</c:v>
                </c:pt>
                <c:pt idx="312">
                  <c:v>-2.4849124138591912E-2</c:v>
                </c:pt>
                <c:pt idx="313">
                  <c:v>-2.4831023537655091E-2</c:v>
                </c:pt>
                <c:pt idx="314">
                  <c:v>-2.4811866906504641E-2</c:v>
                </c:pt>
                <c:pt idx="315">
                  <c:v>-2.4791649681282585E-2</c:v>
                </c:pt>
                <c:pt idx="316">
                  <c:v>-2.4770367346707706E-2</c:v>
                </c:pt>
                <c:pt idx="317">
                  <c:v>-2.4748015436348064E-2</c:v>
                </c:pt>
                <c:pt idx="318">
                  <c:v>-2.4724589532889984E-2</c:v>
                </c:pt>
                <c:pt idx="319">
                  <c:v>-2.4700085268403969E-2</c:v>
                </c:pt>
                <c:pt idx="320">
                  <c:v>-2.4674498324607018E-2</c:v>
                </c:pt>
                <c:pt idx="321">
                  <c:v>-2.464782443312194E-2</c:v>
                </c:pt>
                <c:pt idx="322">
                  <c:v>-2.4620059375733042E-2</c:v>
                </c:pt>
                <c:pt idx="323">
                  <c:v>-2.459119898463857E-2</c:v>
                </c:pt>
                <c:pt idx="324">
                  <c:v>-2.4561239142699864E-2</c:v>
                </c:pt>
                <c:pt idx="325">
                  <c:v>-2.4530175783686919E-2</c:v>
                </c:pt>
                <c:pt idx="326">
                  <c:v>-2.4498004892520648E-2</c:v>
                </c:pt>
                <c:pt idx="327">
                  <c:v>-2.4464722505511825E-2</c:v>
                </c:pt>
                <c:pt idx="328">
                  <c:v>-2.4430324710596311E-2</c:v>
                </c:pt>
                <c:pt idx="329">
                  <c:v>-2.4394807647567174E-2</c:v>
                </c:pt>
                <c:pt idx="330">
                  <c:v>-2.4358167508303007E-2</c:v>
                </c:pt>
                <c:pt idx="331">
                  <c:v>-2.4320400536993067E-2</c:v>
                </c:pt>
                <c:pt idx="332">
                  <c:v>-2.4281503030358684E-2</c:v>
                </c:pt>
                <c:pt idx="333">
                  <c:v>-2.4241471337871343E-2</c:v>
                </c:pt>
                <c:pt idx="334">
                  <c:v>-2.4200301861967099E-2</c:v>
                </c:pt>
                <c:pt idx="335">
                  <c:v>-2.415799105825758E-2</c:v>
                </c:pt>
                <c:pt idx="336">
                  <c:v>-2.4114535435737373E-2</c:v>
                </c:pt>
                <c:pt idx="337">
                  <c:v>-2.4069931556987962E-2</c:v>
                </c:pt>
                <c:pt idx="338">
                  <c:v>-2.4024176038377889E-2</c:v>
                </c:pt>
                <c:pt idx="339">
                  <c:v>-2.3977265550259631E-2</c:v>
                </c:pt>
                <c:pt idx="340">
                  <c:v>-2.3929196817162563E-2</c:v>
                </c:pt>
                <c:pt idx="341">
                  <c:v>-2.387996661798264E-2</c:v>
                </c:pt>
                <c:pt idx="342">
                  <c:v>-2.382957178616826E-2</c:v>
                </c:pt>
                <c:pt idx="343">
                  <c:v>-2.3778009209902522E-2</c:v>
                </c:pt>
                <c:pt idx="344">
                  <c:v>-2.3725275832282011E-2</c:v>
                </c:pt>
                <c:pt idx="345">
                  <c:v>-2.3671368651491689E-2</c:v>
                </c:pt>
                <c:pt idx="346">
                  <c:v>-2.3616284720976422E-2</c:v>
                </c:pt>
                <c:pt idx="347">
                  <c:v>-2.356002114960867E-2</c:v>
                </c:pt>
                <c:pt idx="348">
                  <c:v>-2.3502575101852483E-2</c:v>
                </c:pt>
                <c:pt idx="349">
                  <c:v>-2.3443943797923968E-2</c:v>
                </c:pt>
                <c:pt idx="350">
                  <c:v>-2.3384124513947967E-2</c:v>
                </c:pt>
                <c:pt idx="351">
                  <c:v>-2.3323114582111115E-2</c:v>
                </c:pt>
                <c:pt idx="352">
                  <c:v>-2.3260911390811077E-2</c:v>
                </c:pt>
                <c:pt idx="353">
                  <c:v>-2.3197512384802225E-2</c:v>
                </c:pt>
                <c:pt idx="354">
                  <c:v>-2.3132915065337555E-2</c:v>
                </c:pt>
                <c:pt idx="355">
                  <c:v>-2.3067116990306766E-2</c:v>
                </c:pt>
                <c:pt idx="356">
                  <c:v>-2.300011577437084E-2</c:v>
                </c:pt>
                <c:pt idx="357">
                  <c:v>-2.2931909089092695E-2</c:v>
                </c:pt>
                <c:pt idx="358">
                  <c:v>-2.286249466306417E-2</c:v>
                </c:pt>
                <c:pt idx="359">
                  <c:v>-2.2791870282029315E-2</c:v>
                </c:pt>
                <c:pt idx="360">
                  <c:v>-2.2720033789003783E-2</c:v>
                </c:pt>
                <c:pt idx="361">
                  <c:v>-2.2646983084390736E-2</c:v>
                </c:pt>
                <c:pt idx="362">
                  <c:v>-2.2572716126092605E-2</c:v>
                </c:pt>
                <c:pt idx="363">
                  <c:v>-2.2497230929619524E-2</c:v>
                </c:pt>
                <c:pt idx="364">
                  <c:v>-2.2420525568193638E-2</c:v>
                </c:pt>
                <c:pt idx="365">
                  <c:v>-2.2342598172849819E-2</c:v>
                </c:pt>
                <c:pt idx="366">
                  <c:v>-2.2263446932532585E-2</c:v>
                </c:pt>
                <c:pt idx="367">
                  <c:v>-2.2183070094189229E-2</c:v>
                </c:pt>
                <c:pt idx="368">
                  <c:v>-2.2101465962859137E-2</c:v>
                </c:pt>
                <c:pt idx="369">
                  <c:v>-2.2018632901759358E-2</c:v>
                </c:pt>
                <c:pt idx="370">
                  <c:v>-2.1934569332366417E-2</c:v>
                </c:pt>
                <c:pt idx="371">
                  <c:v>-2.1849273734494277E-2</c:v>
                </c:pt>
                <c:pt idx="372">
                  <c:v>-2.1762744646368504E-2</c:v>
                </c:pt>
                <c:pt idx="373">
                  <c:v>-2.1674980664696728E-2</c:v>
                </c:pt>
                <c:pt idx="374">
                  <c:v>-2.1585980444735232E-2</c:v>
                </c:pt>
                <c:pt idx="375">
                  <c:v>-2.1495742700351827E-2</c:v>
                </c:pt>
                <c:pt idx="376">
                  <c:v>-2.1404266204084761E-2</c:v>
                </c:pt>
                <c:pt idx="377">
                  <c:v>-2.1311549787198108E-2</c:v>
                </c:pt>
                <c:pt idx="378">
                  <c:v>-2.1217592339733086E-2</c:v>
                </c:pt>
                <c:pt idx="379">
                  <c:v>-2.1122392810555776E-2</c:v>
                </c:pt>
                <c:pt idx="380">
                  <c:v>-2.1025950207400973E-2</c:v>
                </c:pt>
                <c:pt idx="381">
                  <c:v>-2.0928263596912213E-2</c:v>
                </c:pt>
                <c:pt idx="382">
                  <c:v>-2.0829332104678074E-2</c:v>
                </c:pt>
                <c:pt idx="383">
                  <c:v>-2.0729154915264673E-2</c:v>
                </c:pt>
                <c:pt idx="384">
                  <c:v>-2.0627731272244338E-2</c:v>
                </c:pt>
                <c:pt idx="385">
                  <c:v>-2.0525060478220523E-2</c:v>
                </c:pt>
                <c:pt idx="386">
                  <c:v>-2.042114189484897E-2</c:v>
                </c:pt>
                <c:pt idx="387">
                  <c:v>-2.0315974942855041E-2</c:v>
                </c:pt>
                <c:pt idx="388">
                  <c:v>-2.020955910204723E-2</c:v>
                </c:pt>
                <c:pt idx="389">
                  <c:v>-2.0101893911327107E-2</c:v>
                </c:pt>
                <c:pt idx="390">
                  <c:v>-1.9992978968695205E-2</c:v>
                </c:pt>
                <c:pt idx="391">
                  <c:v>-1.9882813931253369E-2</c:v>
                </c:pt>
                <c:pt idx="392">
                  <c:v>-1.9771398515203216E-2</c:v>
                </c:pt>
                <c:pt idx="393">
                  <c:v>-1.9658732495840912E-2</c:v>
                </c:pt>
                <c:pt idx="394">
                  <c:v>-1.9544815707548169E-2</c:v>
                </c:pt>
                <c:pt idx="395">
                  <c:v>-1.9429648043779391E-2</c:v>
                </c:pt>
                <c:pt idx="396">
                  <c:v>-1.9313229457045375E-2</c:v>
                </c:pt>
                <c:pt idx="397">
                  <c:v>-1.919555995889289E-2</c:v>
                </c:pt>
                <c:pt idx="398">
                  <c:v>-1.9076639619880795E-2</c:v>
                </c:pt>
                <c:pt idx="399">
                  <c:v>-1.8956468569552361E-2</c:v>
                </c:pt>
                <c:pt idx="400">
                  <c:v>-1.8835046996403863E-2</c:v>
                </c:pt>
                <c:pt idx="401">
                  <c:v>-1.8712375147849434E-2</c:v>
                </c:pt>
                <c:pt idx="402">
                  <c:v>-1.858845333018231E-2</c:v>
                </c:pt>
                <c:pt idx="403">
                  <c:v>-1.8463281908532209E-2</c:v>
                </c:pt>
                <c:pt idx="404">
                  <c:v>-1.8336861306819243E-2</c:v>
                </c:pt>
                <c:pt idx="405">
                  <c:v>-1.8209192007704024E-2</c:v>
                </c:pt>
                <c:pt idx="406">
                  <c:v>-1.8080274552534005E-2</c:v>
                </c:pt>
                <c:pt idx="407">
                  <c:v>-1.7950109541286383E-2</c:v>
                </c:pt>
                <c:pt idx="408">
                  <c:v>-1.7818697632507187E-2</c:v>
                </c:pt>
                <c:pt idx="409">
                  <c:v>-1.768603954324674E-2</c:v>
                </c:pt>
                <c:pt idx="410">
                  <c:v>-1.7552136048991536E-2</c:v>
                </c:pt>
                <c:pt idx="411">
                  <c:v>-1.7416987983592456E-2</c:v>
                </c:pt>
                <c:pt idx="412">
                  <c:v>-1.7280596239189372E-2</c:v>
                </c:pt>
                <c:pt idx="413">
                  <c:v>-1.7142961766132156E-2</c:v>
                </c:pt>
                <c:pt idx="414">
                  <c:v>-1.7004085572898096E-2</c:v>
                </c:pt>
                <c:pt idx="415">
                  <c:v>-1.6863968726005658E-2</c:v>
                </c:pt>
                <c:pt idx="416">
                  <c:v>-1.6722612349924823E-2</c:v>
                </c:pt>
                <c:pt idx="417">
                  <c:v>-1.6580017626983759E-2</c:v>
                </c:pt>
                <c:pt idx="418">
                  <c:v>-1.6436185797271907E-2</c:v>
                </c:pt>
                <c:pt idx="419">
                  <c:v>-1.6291118158539591E-2</c:v>
                </c:pt>
                <c:pt idx="420">
                  <c:v>-1.6144816066094154E-2</c:v>
                </c:pt>
                <c:pt idx="421">
                  <c:v>-1.5997280932692516E-2</c:v>
                </c:pt>
                <c:pt idx="422">
                  <c:v>-1.584851422843013E-2</c:v>
                </c:pt>
                <c:pt idx="423">
                  <c:v>-1.5698517480626714E-2</c:v>
                </c:pt>
                <c:pt idx="424">
                  <c:v>-1.5547292273708213E-2</c:v>
                </c:pt>
                <c:pt idx="425">
                  <c:v>-1.5394840249085561E-2</c:v>
                </c:pt>
                <c:pt idx="426">
                  <c:v>-1.5241163105029772E-2</c:v>
                </c:pt>
                <c:pt idx="427">
                  <c:v>-1.508626259654379E-2</c:v>
                </c:pt>
                <c:pt idx="428">
                  <c:v>-1.4930140535230832E-2</c:v>
                </c:pt>
                <c:pt idx="429">
                  <c:v>-1.4772798789159252E-2</c:v>
                </c:pt>
                <c:pt idx="430">
                  <c:v>-1.4614239282724185E-2</c:v>
                </c:pt>
                <c:pt idx="431">
                  <c:v>-1.4454463996505676E-2</c:v>
                </c:pt>
                <c:pt idx="432">
                  <c:v>-1.4293474967123585E-2</c:v>
                </c:pt>
                <c:pt idx="433">
                  <c:v>-1.4131274287088966E-2</c:v>
                </c:pt>
                <c:pt idx="434">
                  <c:v>-1.3967864104652325E-2</c:v>
                </c:pt>
                <c:pt idx="435">
                  <c:v>-1.3803246623648405E-2</c:v>
                </c:pt>
                <c:pt idx="436">
                  <c:v>-1.3637424103337828E-2</c:v>
                </c:pt>
                <c:pt idx="437">
                  <c:v>-1.3470398858245232E-2</c:v>
                </c:pt>
                <c:pt idx="438">
                  <c:v>-1.3302173257994503E-2</c:v>
                </c:pt>
                <c:pt idx="439">
                  <c:v>-1.3132749727140396E-2</c:v>
                </c:pt>
                <c:pt idx="440">
                  <c:v>-1.2962130744997127E-2</c:v>
                </c:pt>
                <c:pt idx="441">
                  <c:v>-1.2790318845463796E-2</c:v>
                </c:pt>
                <c:pt idx="442">
                  <c:v>-1.2617316616846477E-2</c:v>
                </c:pt>
                <c:pt idx="443">
                  <c:v>-1.2443126701677276E-2</c:v>
                </c:pt>
                <c:pt idx="444">
                  <c:v>-1.2267751796530094E-2</c:v>
                </c:pt>
                <c:pt idx="445">
                  <c:v>-1.2091194651833469E-2</c:v>
                </c:pt>
                <c:pt idx="446">
                  <c:v>-1.1913458071679992E-2</c:v>
                </c:pt>
                <c:pt idx="447">
                  <c:v>-1.173454491363303E-2</c:v>
                </c:pt>
                <c:pt idx="448">
                  <c:v>-1.1554458088529963E-2</c:v>
                </c:pt>
                <c:pt idx="449">
                  <c:v>-1.1373200560282626E-2</c:v>
                </c:pt>
                <c:pt idx="450">
                  <c:v>-1.1190775345674739E-2</c:v>
                </c:pt>
                <c:pt idx="451">
                  <c:v>-1.1007185514156061E-2</c:v>
                </c:pt>
                <c:pt idx="452">
                  <c:v>-1.0822434187633827E-2</c:v>
                </c:pt>
                <c:pt idx="453">
                  <c:v>-1.0636524540261106E-2</c:v>
                </c:pt>
                <c:pt idx="454">
                  <c:v>-1.0449459798222153E-2</c:v>
                </c:pt>
                <c:pt idx="455">
                  <c:v>-1.0261243239514856E-2</c:v>
                </c:pt>
                <c:pt idx="456">
                  <c:v>-1.0071878193730384E-2</c:v>
                </c:pt>
                <c:pt idx="457">
                  <c:v>-9.8813680418297356E-3</c:v>
                </c:pt>
                <c:pt idx="458">
                  <c:v>-9.6897162159176563E-3</c:v>
                </c:pt>
                <c:pt idx="459">
                  <c:v>-9.496926199013463E-3</c:v>
                </c:pt>
                <c:pt idx="460">
                  <c:v>-9.3030015248192731E-3</c:v>
                </c:pt>
                <c:pt idx="461">
                  <c:v>-9.1079457774852698E-3</c:v>
                </c:pt>
                <c:pt idx="462">
                  <c:v>-8.9117625913722222E-3</c:v>
                </c:pt>
                <c:pt idx="463">
                  <c:v>-8.7144556508114059E-3</c:v>
                </c:pt>
                <c:pt idx="464">
                  <c:v>-8.5160286898614337E-3</c:v>
                </c:pt>
                <c:pt idx="465">
                  <c:v>-8.3164854920628126E-3</c:v>
                </c:pt>
                <c:pt idx="466">
                  <c:v>-8.1158298901894289E-3</c:v>
                </c:pt>
                <c:pt idx="467">
                  <c:v>-7.9140657659976712E-3</c:v>
                </c:pt>
                <c:pt idx="468">
                  <c:v>-7.7111970499726618E-3</c:v>
                </c:pt>
                <c:pt idx="469">
                  <c:v>-7.5072277210720762E-3</c:v>
                </c:pt>
                <c:pt idx="470">
                  <c:v>-7.3021618064672156E-3</c:v>
                </c:pt>
                <c:pt idx="471">
                  <c:v>-7.0960033812816296E-3</c:v>
                </c:pt>
                <c:pt idx="472">
                  <c:v>-6.8887565683271052E-3</c:v>
                </c:pt>
                <c:pt idx="473">
                  <c:v>-6.6804255378371692E-3</c:v>
                </c:pt>
                <c:pt idx="474">
                  <c:v>-6.4710145071981409E-3</c:v>
                </c:pt>
                <c:pt idx="475">
                  <c:v>-6.2605277406775914E-3</c:v>
                </c:pt>
                <c:pt idx="476">
                  <c:v>-6.0489695491505509E-3</c:v>
                </c:pt>
                <c:pt idx="477">
                  <c:v>-5.8363442898230582E-3</c:v>
                </c:pt>
                <c:pt idx="478">
                  <c:v>-5.622656365953568E-3</c:v>
                </c:pt>
                <c:pt idx="479">
                  <c:v>-5.4079102265717502E-3</c:v>
                </c:pt>
                <c:pt idx="480">
                  <c:v>-5.1921103661951712E-3</c:v>
                </c:pt>
                <c:pt idx="481">
                  <c:v>-4.9752613245434129E-3</c:v>
                </c:pt>
                <c:pt idx="482">
                  <c:v>-4.7573676862501767E-3</c:v>
                </c:pt>
                <c:pt idx="483">
                  <c:v>-4.538434080572893E-3</c:v>
                </c:pt>
                <c:pt idx="484">
                  <c:v>-4.3184651811002065E-3</c:v>
                </c:pt>
                <c:pt idx="485">
                  <c:v>-4.0974657054572523E-3</c:v>
                </c:pt>
                <c:pt idx="486">
                  <c:v>-3.8754404150086194E-3</c:v>
                </c:pt>
                <c:pt idx="487">
                  <c:v>-3.6523941145594173E-3</c:v>
                </c:pt>
                <c:pt idx="488">
                  <c:v>-3.4283316520538716E-3</c:v>
                </c:pt>
                <c:pt idx="489">
                  <c:v>-3.2032579182721737E-3</c:v>
                </c:pt>
                <c:pt idx="490">
                  <c:v>-2.9771778465249384E-3</c:v>
                </c:pt>
                <c:pt idx="491">
                  <c:v>-2.7500964123457821E-3</c:v>
                </c:pt>
                <c:pt idx="492">
                  <c:v>-2.5220186331819392E-3</c:v>
                </c:pt>
                <c:pt idx="493">
                  <c:v>-2.2929495680826016E-3</c:v>
                </c:pt>
                <c:pt idx="494">
                  <c:v>-2.0628943173857123E-3</c:v>
                </c:pt>
                <c:pt idx="495">
                  <c:v>-1.8318580224023619E-3</c:v>
                </c:pt>
                <c:pt idx="496">
                  <c:v>-1.5998458650997049E-3</c:v>
                </c:pt>
                <c:pt idx="497">
                  <c:v>-1.3668630677816237E-3</c:v>
                </c:pt>
                <c:pt idx="498">
                  <c:v>-1.1329148927678337E-3</c:v>
                </c:pt>
                <c:pt idx="499">
                  <c:v>-8.9800664207095751E-4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8C-44EC-91AE-89C4210D34B8}"/>
            </c:ext>
          </c:extLst>
        </c:ser>
        <c:ser>
          <c:idx val="3"/>
          <c:order val="3"/>
          <c:tx>
            <c:v>Leading-edge Radius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Data3!$AC$1:$AC$50</c:f>
              <c:numCache>
                <c:formatCode>0.000</c:formatCode>
                <c:ptCount val="50"/>
                <c:pt idx="0">
                  <c:v>7.9137787613627834E-3</c:v>
                </c:pt>
                <c:pt idx="1">
                  <c:v>7.8812119427814024E-3</c:v>
                </c:pt>
                <c:pt idx="2">
                  <c:v>7.784046233298007E-3</c:v>
                </c:pt>
                <c:pt idx="3">
                  <c:v>7.6238770911760236E-3</c:v>
                </c:pt>
                <c:pt idx="4">
                  <c:v>7.4033344893009809E-3</c:v>
                </c:pt>
                <c:pt idx="5">
                  <c:v>7.1260397310984377E-3</c:v>
                </c:pt>
                <c:pt idx="6">
                  <c:v>6.7965459888318517E-3</c:v>
                </c:pt>
                <c:pt idx="7">
                  <c:v>6.4202635406398938E-3</c:v>
                </c:pt>
                <c:pt idx="8">
                  <c:v>6.0033709339189865E-3</c:v>
                </c:pt>
                <c:pt idx="9">
                  <c:v>5.5527135337458695E-3</c:v>
                </c:pt>
                <c:pt idx="10">
                  <c:v>5.075691122172289E-3</c:v>
                </c:pt>
                <c:pt idx="11">
                  <c:v>4.5801363940082863E-3</c:v>
                </c:pt>
                <c:pt idx="12">
                  <c:v>4.0741863441899643E-3</c:v>
                </c:pt>
                <c:pt idx="13">
                  <c:v>3.5661486585475961E-3</c:v>
                </c:pt>
                <c:pt idx="14">
                  <c:v>3.0643653018339692E-3</c:v>
                </c:pt>
                <c:pt idx="15">
                  <c:v>2.5770755428937719E-3</c:v>
                </c:pt>
                <c:pt idx="16">
                  <c:v>2.1122806660969482E-3</c:v>
                </c:pt>
                <c:pt idx="17">
                  <c:v>1.6776125904705565E-3</c:v>
                </c:pt>
                <c:pt idx="18">
                  <c:v>1.2802085537993338E-3</c:v>
                </c:pt>
                <c:pt idx="19">
                  <c:v>9.2659391937859362E-4</c:v>
                </c:pt>
                <c:pt idx="20">
                  <c:v>6.2257502972932002E-4</c:v>
                </c:pt>
                <c:pt idx="21">
                  <c:v>3.7314386661449847E-4</c:v>
                </c:pt>
                <c:pt idx="22">
                  <c:v>1.8239608283657777E-4</c:v>
                </c:pt>
                <c:pt idx="23">
                  <c:v>5.3463751731683954E-5</c:v>
                </c:pt>
                <c:pt idx="24">
                  <c:v>-1.1536061387967158E-5</c:v>
                </c:pt>
                <c:pt idx="25">
                  <c:v>-1.1536061387968039E-5</c:v>
                </c:pt>
                <c:pt idx="26">
                  <c:v>5.3463751731681751E-5</c:v>
                </c:pt>
                <c:pt idx="27">
                  <c:v>1.8239608283657468E-4</c:v>
                </c:pt>
                <c:pt idx="28">
                  <c:v>3.7314386661449408E-4</c:v>
                </c:pt>
                <c:pt idx="29">
                  <c:v>6.2257502972931471E-4</c:v>
                </c:pt>
                <c:pt idx="30">
                  <c:v>9.2659391937858701E-4</c:v>
                </c:pt>
                <c:pt idx="31">
                  <c:v>1.2802085537993268E-3</c:v>
                </c:pt>
                <c:pt idx="32">
                  <c:v>1.67761259047055E-3</c:v>
                </c:pt>
                <c:pt idx="33">
                  <c:v>2.112280666096943E-3</c:v>
                </c:pt>
                <c:pt idx="34">
                  <c:v>2.5770755428937663E-3</c:v>
                </c:pt>
                <c:pt idx="35">
                  <c:v>3.0643653018339657E-3</c:v>
                </c:pt>
                <c:pt idx="36">
                  <c:v>3.5661486585475944E-3</c:v>
                </c:pt>
                <c:pt idx="37">
                  <c:v>4.0741863441899643E-3</c:v>
                </c:pt>
                <c:pt idx="38">
                  <c:v>4.5801363940082881E-3</c:v>
                </c:pt>
                <c:pt idx="39">
                  <c:v>5.0756911221722916E-3</c:v>
                </c:pt>
                <c:pt idx="40">
                  <c:v>5.5527135337458747E-3</c:v>
                </c:pt>
                <c:pt idx="41">
                  <c:v>6.0033709339189934E-3</c:v>
                </c:pt>
                <c:pt idx="42">
                  <c:v>6.4202635406399007E-3</c:v>
                </c:pt>
                <c:pt idx="43">
                  <c:v>6.7965459888318595E-3</c:v>
                </c:pt>
                <c:pt idx="44">
                  <c:v>7.1260397310984446E-3</c:v>
                </c:pt>
                <c:pt idx="45">
                  <c:v>7.4033344893009879E-3</c:v>
                </c:pt>
                <c:pt idx="46">
                  <c:v>7.6238770911760305E-3</c:v>
                </c:pt>
                <c:pt idx="47">
                  <c:v>7.7840462332980122E-3</c:v>
                </c:pt>
                <c:pt idx="48">
                  <c:v>7.8812119427814058E-3</c:v>
                </c:pt>
                <c:pt idx="49">
                  <c:v>7.9137787613627834E-3</c:v>
                </c:pt>
              </c:numCache>
            </c:numRef>
          </c:xVal>
          <c:yVal>
            <c:numRef>
              <c:f>Data3!$AD$1:$AD$50</c:f>
              <c:numCache>
                <c:formatCode>0.000</c:formatCode>
                <c:ptCount val="5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64-4846-852F-FDF777AE02D6}"/>
            </c:ext>
          </c:extLst>
        </c:ser>
        <c:ser>
          <c:idx val="4"/>
          <c:order val="4"/>
          <c:tx>
            <c:v>Chord line</c:v>
          </c:tx>
          <c:spPr>
            <a:ln w="63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Data3!$B$1:$B$500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Data3!$X$1:$X$500</c:f>
              <c:numCache>
                <c:formatCode>General</c:formatCode>
                <c:ptCount val="5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64-4846-852F-FDF777AE0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132527"/>
        <c:axId val="1952133007"/>
      </c:scatterChart>
      <c:valAx>
        <c:axId val="1952132527"/>
        <c:scaling>
          <c:orientation val="minMax"/>
          <c:max val="1.05"/>
          <c:min val="-5.000000000000001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1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All dimensions are nomalized by the chord length c</a:t>
                </a:r>
              </a:p>
            </c:rich>
          </c:tx>
          <c:layout>
            <c:manualLayout>
              <c:xMode val="edge"/>
              <c:yMode val="edge"/>
              <c:x val="0.75931634288047645"/>
              <c:y val="0.93638793154552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out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3007"/>
        <c:crosses val="autoZero"/>
        <c:crossBetween val="midCat"/>
        <c:minorUnit val="5.000000000000001E-2"/>
      </c:valAx>
      <c:valAx>
        <c:axId val="1952133007"/>
        <c:scaling>
          <c:orientation val="minMax"/>
          <c:max val="0.2"/>
          <c:min val="-0.1500000000000000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0"/>
        <c:majorTickMark val="none"/>
        <c:minorTickMark val="out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2527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NACA 5-Digit </a:t>
            </a:r>
            <a:r>
              <a:rPr lang="en-GB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Modified Series</a:t>
            </a:r>
          </a:p>
        </c:rich>
      </c:tx>
      <c:layout>
        <c:manualLayout>
          <c:xMode val="edge"/>
          <c:yMode val="edge"/>
          <c:x val="0.37959112299853398"/>
          <c:y val="1.095468751132993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680261541160103E-3"/>
          <c:y val="8.299006006144552E-2"/>
          <c:w val="0.98787648653072158"/>
          <c:h val="0.87871900301201689"/>
        </c:manualLayout>
      </c:layout>
      <c:scatterChart>
        <c:scatterStyle val="smoothMarker"/>
        <c:varyColors val="0"/>
        <c:ser>
          <c:idx val="0"/>
          <c:order val="0"/>
          <c:tx>
            <c:v>Upper Camber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Data4!$G$1:$G$500</c:f>
              <c:numCache>
                <c:formatCode>0.00000</c:formatCode>
                <c:ptCount val="500"/>
                <c:pt idx="0">
                  <c:v>0</c:v>
                </c:pt>
                <c:pt idx="1">
                  <c:v>-6.7842298977678706E-5</c:v>
                </c:pt>
                <c:pt idx="2">
                  <c:v>-1.2576853176540952E-4</c:v>
                </c:pt>
                <c:pt idx="3">
                  <c:v>-1.7376631852399413E-4</c:v>
                </c:pt>
                <c:pt idx="4">
                  <c:v>-2.1182325415513664E-4</c:v>
                </c:pt>
                <c:pt idx="5">
                  <c:v>-2.399269100343845E-4</c:v>
                </c:pt>
                <c:pt idx="6">
                  <c:v>-2.5806483589168271E-4</c:v>
                </c:pt>
                <c:pt idx="7">
                  <c:v>-2.662245618351071E-4</c:v>
                </c:pt>
                <c:pt idx="8">
                  <c:v>-2.6439360051949852E-4</c:v>
                </c:pt>
                <c:pt idx="9">
                  <c:v>-2.5255944945936346E-4</c:v>
                </c:pt>
                <c:pt idx="10">
                  <c:v>-2.3070959348561856E-4</c:v>
                </c:pt>
                <c:pt idx="11">
                  <c:v>-1.9883150734572436E-4</c:v>
                </c:pt>
                <c:pt idx="12">
                  <c:v>-1.5691265844676352E-4</c:v>
                </c:pt>
                <c:pt idx="13">
                  <c:v>-1.049405097407883E-4</c:v>
                </c:pt>
                <c:pt idx="14">
                  <c:v>-4.2902522751496214E-5</c:v>
                </c:pt>
                <c:pt idx="15">
                  <c:v>2.9213839258433304E-5</c:v>
                </c:pt>
                <c:pt idx="16">
                  <c:v>1.1142110797998455E-4</c:v>
                </c:pt>
                <c:pt idx="17">
                  <c:v>2.0373180661258116E-4</c:v>
                </c:pt>
                <c:pt idx="18">
                  <c:v>3.0615844628049623E-4</c:v>
                </c:pt>
                <c:pt idx="19">
                  <c:v>4.1871352231398831E-4</c:v>
                </c:pt>
                <c:pt idx="20">
                  <c:v>5.4140951039464025E-4</c:v>
                </c:pt>
                <c:pt idx="21">
                  <c:v>6.7425886256810793E-4</c:v>
                </c:pt>
                <c:pt idx="22">
                  <c:v>8.1727400312458522E-4</c:v>
                </c:pt>
                <c:pt idx="23">
                  <c:v>9.7046732434931263E-4</c:v>
                </c:pt>
                <c:pt idx="24">
                  <c:v>1.1338511821442896E-3</c:v>
                </c:pt>
                <c:pt idx="25">
                  <c:v>1.3074378915240497E-3</c:v>
                </c:pt>
                <c:pt idx="26">
                  <c:v>1.4912397219858722E-3</c:v>
                </c:pt>
                <c:pt idx="27">
                  <c:v>1.6852688927585556E-3</c:v>
                </c:pt>
                <c:pt idx="28">
                  <c:v>1.8895375679297255E-3</c:v>
                </c:pt>
                <c:pt idx="29">
                  <c:v>2.1040578514554486E-3</c:v>
                </c:pt>
                <c:pt idx="30">
                  <c:v>2.3288417820542793E-3</c:v>
                </c:pt>
                <c:pt idx="31">
                  <c:v>2.5639013279867046E-3</c:v>
                </c:pt>
                <c:pt idx="32">
                  <c:v>2.8092483817253474E-3</c:v>
                </c:pt>
                <c:pt idx="33">
                  <c:v>3.0648947545157284E-3</c:v>
                </c:pt>
                <c:pt idx="34">
                  <c:v>3.3308521708316609E-3</c:v>
                </c:pt>
                <c:pt idx="35">
                  <c:v>3.6071322627281108E-3</c:v>
                </c:pt>
                <c:pt idx="36">
                  <c:v>3.8937465640944196E-3</c:v>
                </c:pt>
                <c:pt idx="37">
                  <c:v>4.1907065048101908E-3</c:v>
                </c:pt>
                <c:pt idx="38">
                  <c:v>4.4980234048076079E-3</c:v>
                </c:pt>
                <c:pt idx="39">
                  <c:v>4.8157084680433924E-3</c:v>
                </c:pt>
                <c:pt idx="40">
                  <c:v>5.1437727763832038E-3</c:v>
                </c:pt>
                <c:pt idx="41">
                  <c:v>5.4822272834022896E-3</c:v>
                </c:pt>
                <c:pt idx="42">
                  <c:v>5.8310828081052559E-3</c:v>
                </c:pt>
                <c:pt idx="43">
                  <c:v>6.1903500285690784E-3</c:v>
                </c:pt>
                <c:pt idx="44">
                  <c:v>6.5600394755129226E-3</c:v>
                </c:pt>
                <c:pt idx="45">
                  <c:v>6.9401615257979315E-3</c:v>
                </c:pt>
                <c:pt idx="46">
                  <c:v>7.3307263958613065E-3</c:v>
                </c:pt>
                <c:pt idx="47">
                  <c:v>7.7317441350878823E-3</c:v>
                </c:pt>
                <c:pt idx="48">
                  <c:v>8.1432246191245443E-3</c:v>
                </c:pt>
                <c:pt idx="49">
                  <c:v>8.5651775431392213E-3</c:v>
                </c:pt>
                <c:pt idx="50">
                  <c:v>8.9976124150310411E-3</c:v>
                </c:pt>
                <c:pt idx="51">
                  <c:v>9.4405385485937399E-3</c:v>
                </c:pt>
                <c:pt idx="52">
                  <c:v>9.8939650566381068E-3</c:v>
                </c:pt>
                <c:pt idx="53">
                  <c:v>1.0357900844076697E-2</c:v>
                </c:pt>
                <c:pt idx="54">
                  <c:v>1.0832354600975244E-2</c:v>
                </c:pt>
                <c:pt idx="55">
                  <c:v>1.1317334795576794E-2</c:v>
                </c:pt>
                <c:pt idx="56">
                  <c:v>1.1812849667300262E-2</c:v>
                </c:pt>
                <c:pt idx="57">
                  <c:v>1.2318907219720916E-2</c:v>
                </c:pt>
                <c:pt idx="58">
                  <c:v>1.2835515213535076E-2</c:v>
                </c:pt>
                <c:pt idx="59">
                  <c:v>1.336268115951527E-2</c:v>
                </c:pt>
                <c:pt idx="60">
                  <c:v>1.3900412311460076E-2</c:v>
                </c:pt>
                <c:pt idx="61">
                  <c:v>1.4448715659142835E-2</c:v>
                </c:pt>
                <c:pt idx="62">
                  <c:v>1.5007597921265449E-2</c:v>
                </c:pt>
                <c:pt idx="63">
                  <c:v>1.5577065538420925E-2</c:v>
                </c:pt>
                <c:pt idx="64">
                  <c:v>1.6157124666069833E-2</c:v>
                </c:pt>
                <c:pt idx="65">
                  <c:v>1.6747781167537126E-2</c:v>
                </c:pt>
                <c:pt idx="66">
                  <c:v>1.7349040607031574E-2</c:v>
                </c:pt>
                <c:pt idx="67">
                  <c:v>1.7960908242695712E-2</c:v>
                </c:pt>
                <c:pt idx="68">
                  <c:v>1.858338901968995E-2</c:v>
                </c:pt>
                <c:pt idx="69">
                  <c:v>1.9216487563315794E-2</c:v>
                </c:pt>
                <c:pt idx="70">
                  <c:v>1.9860208172184875E-2</c:v>
                </c:pt>
                <c:pt idx="71">
                  <c:v>2.0514554811436429E-2</c:v>
                </c:pt>
                <c:pt idx="72">
                  <c:v>2.1179531106011975E-2</c:v>
                </c:pt>
                <c:pt idx="73">
                  <c:v>2.1855140333988572E-2</c:v>
                </c:pt>
                <c:pt idx="74">
                  <c:v>2.2541385419979604E-2</c:v>
                </c:pt>
                <c:pt idx="75">
                  <c:v>2.3238268928605355E-2</c:v>
                </c:pt>
                <c:pt idx="76">
                  <c:v>2.3945793058040399E-2</c:v>
                </c:pt>
                <c:pt idx="77">
                  <c:v>2.4663959633643692E-2</c:v>
                </c:pt>
                <c:pt idx="78">
                  <c:v>2.5392770101673855E-2</c:v>
                </c:pt>
                <c:pt idx="79">
                  <c:v>2.61322255230989E-2</c:v>
                </c:pt>
                <c:pt idx="80">
                  <c:v>2.6882326567502068E-2</c:v>
                </c:pt>
                <c:pt idx="81">
                  <c:v>2.7643073507091886E-2</c:v>
                </c:pt>
                <c:pt idx="82">
                  <c:v>2.8414466210820034E-2</c:v>
                </c:pt>
                <c:pt idx="83">
                  <c:v>2.9196504138613077E-2</c:v>
                </c:pt>
                <c:pt idx="84">
                  <c:v>2.9989186335723294E-2</c:v>
                </c:pt>
                <c:pt idx="85">
                  <c:v>3.0792511427203486E-2</c:v>
                </c:pt>
                <c:pt idx="86">
                  <c:v>3.1606477612511952E-2</c:v>
                </c:pt>
                <c:pt idx="87">
                  <c:v>3.2431082660251381E-2</c:v>
                </c:pt>
                <c:pt idx="88">
                  <c:v>3.3266323903048442E-2</c:v>
                </c:pt>
                <c:pt idx="89">
                  <c:v>3.4112198232578168E-2</c:v>
                </c:pt>
                <c:pt idx="90">
                  <c:v>3.4968702094738104E-2</c:v>
                </c:pt>
                <c:pt idx="91">
                  <c:v>3.5835831484978702E-2</c:v>
                </c:pt>
                <c:pt idx="92">
                  <c:v>3.6713581943793587E-2</c:v>
                </c:pt>
                <c:pt idx="93">
                  <c:v>3.760194855237451E-2</c:v>
                </c:pt>
                <c:pt idx="94">
                  <c:v>3.8500925928437429E-2</c:v>
                </c:pt>
                <c:pt idx="95">
                  <c:v>3.941050822222341E-2</c:v>
                </c:pt>
                <c:pt idx="96">
                  <c:v>4.0330689112678723E-2</c:v>
                </c:pt>
                <c:pt idx="97">
                  <c:v>4.1261461803820169E-2</c:v>
                </c:pt>
                <c:pt idx="98">
                  <c:v>4.2202819021289854E-2</c:v>
                </c:pt>
                <c:pt idx="99">
                  <c:v>4.3154753009102702E-2</c:v>
                </c:pt>
                <c:pt idx="100">
                  <c:v>4.4117255526592944E-2</c:v>
                </c:pt>
                <c:pt idx="101">
                  <c:v>4.509031784556318E-2</c:v>
                </c:pt>
                <c:pt idx="102">
                  <c:v>4.6073930747640247E-2</c:v>
                </c:pt>
                <c:pt idx="103">
                  <c:v>4.7068084521842378E-2</c:v>
                </c:pt>
                <c:pt idx="104">
                  <c:v>4.8072768962361123E-2</c:v>
                </c:pt>
                <c:pt idx="105">
                  <c:v>4.9087973366562995E-2</c:v>
                </c:pt>
                <c:pt idx="106">
                  <c:v>5.0113686533214082E-2</c:v>
                </c:pt>
                <c:pt idx="107">
                  <c:v>5.1149896760931263E-2</c:v>
                </c:pt>
                <c:pt idx="108">
                  <c:v>5.2196591846864718E-2</c:v>
                </c:pt>
                <c:pt idx="109">
                  <c:v>5.3253759085613007E-2</c:v>
                </c:pt>
                <c:pt idx="110">
                  <c:v>5.4321385268377501E-2</c:v>
                </c:pt>
                <c:pt idx="111">
                  <c:v>5.5399456682355332E-2</c:v>
                </c:pt>
                <c:pt idx="112">
                  <c:v>5.6487959110378502E-2</c:v>
                </c:pt>
                <c:pt idx="113">
                  <c:v>5.7586877830797592E-2</c:v>
                </c:pt>
                <c:pt idx="114">
                  <c:v>5.8696197617616533E-2</c:v>
                </c:pt>
                <c:pt idx="115">
                  <c:v>5.9815902740878925E-2</c:v>
                </c:pt>
                <c:pt idx="116">
                  <c:v>6.0945976967309759E-2</c:v>
                </c:pt>
                <c:pt idx="117">
                  <c:v>6.2086403561213574E-2</c:v>
                </c:pt>
                <c:pt idx="118">
                  <c:v>6.3237165285632405E-2</c:v>
                </c:pt>
                <c:pt idx="119">
                  <c:v>6.4398244403765501E-2</c:v>
                </c:pt>
                <c:pt idx="120">
                  <c:v>6.5569622680651612E-2</c:v>
                </c:pt>
                <c:pt idx="121">
                  <c:v>6.675128138511649E-2</c:v>
                </c:pt>
                <c:pt idx="122">
                  <c:v>6.794320129198661E-2</c:v>
                </c:pt>
                <c:pt idx="123">
                  <c:v>6.9145362684571318E-2</c:v>
                </c:pt>
                <c:pt idx="124">
                  <c:v>7.0357745357413223E-2</c:v>
                </c:pt>
                <c:pt idx="125">
                  <c:v>7.1580328619308381E-2</c:v>
                </c:pt>
                <c:pt idx="126">
                  <c:v>7.2813091296597229E-2</c:v>
                </c:pt>
                <c:pt idx="127">
                  <c:v>7.4056011736726768E-2</c:v>
                </c:pt>
                <c:pt idx="128">
                  <c:v>7.5309067812083574E-2</c:v>
                </c:pt>
                <c:pt idx="129">
                  <c:v>7.6572236924099146E-2</c:v>
                </c:pt>
                <c:pt idx="130">
                  <c:v>7.7845496007625969E-2</c:v>
                </c:pt>
                <c:pt idx="131">
                  <c:v>7.9128821535585203E-2</c:v>
                </c:pt>
                <c:pt idx="132">
                  <c:v>8.0422189523884441E-2</c:v>
                </c:pt>
                <c:pt idx="133">
                  <c:v>8.172557553660649E-2</c:v>
                </c:pt>
                <c:pt idx="134">
                  <c:v>8.3038954691465827E-2</c:v>
                </c:pt>
                <c:pt idx="135">
                  <c:v>8.4362301665533726E-2</c:v>
                </c:pt>
                <c:pt idx="136">
                  <c:v>8.5695590701229368E-2</c:v>
                </c:pt>
                <c:pt idx="137">
                  <c:v>8.703879561257559E-2</c:v>
                </c:pt>
                <c:pt idx="138">
                  <c:v>8.8391889791718331E-2</c:v>
                </c:pt>
                <c:pt idx="139">
                  <c:v>8.975484621570548E-2</c:v>
                </c:pt>
                <c:pt idx="140">
                  <c:v>9.1127637453525603E-2</c:v>
                </c:pt>
                <c:pt idx="141">
                  <c:v>9.2510235673401539E-2</c:v>
                </c:pt>
                <c:pt idx="142">
                  <c:v>9.3902612650337544E-2</c:v>
                </c:pt>
                <c:pt idx="143">
                  <c:v>9.5304739773916028E-2</c:v>
                </c:pt>
                <c:pt idx="144">
                  <c:v>9.6716588056341909E-2</c:v>
                </c:pt>
                <c:pt idx="145">
                  <c:v>9.8138128140729128E-2</c:v>
                </c:pt>
                <c:pt idx="146">
                  <c:v>9.9569330309626849E-2</c:v>
                </c:pt>
                <c:pt idx="147">
                  <c:v>0.10101016449378183</c:v>
                </c:pt>
                <c:pt idx="148">
                  <c:v>0.1024606002811304</c:v>
                </c:pt>
                <c:pt idx="149">
                  <c:v>0.10392060692601851</c:v>
                </c:pt>
                <c:pt idx="150">
                  <c:v>0.10539015335864273</c:v>
                </c:pt>
                <c:pt idx="151">
                  <c:v>0.10686920819470828</c:v>
                </c:pt>
                <c:pt idx="152">
                  <c:v>0.10835773974529846</c:v>
                </c:pt>
                <c:pt idx="153">
                  <c:v>0.10985571602695052</c:v>
                </c:pt>
                <c:pt idx="154">
                  <c:v>0.11136310477193141</c:v>
                </c:pt>
                <c:pt idx="155">
                  <c:v>0.11287987343870806</c:v>
                </c:pt>
                <c:pt idx="156">
                  <c:v>0.11440598922260539</c:v>
                </c:pt>
                <c:pt idx="157">
                  <c:v>0.11594141906664632</c:v>
                </c:pt>
                <c:pt idx="158">
                  <c:v>0.11748612967256593</c:v>
                </c:pt>
                <c:pt idx="159">
                  <c:v>0.11904008751199463</c:v>
                </c:pt>
                <c:pt idx="160">
                  <c:v>0.12060325883780021</c:v>
                </c:pt>
                <c:pt idx="161">
                  <c:v>0.12217560969558479</c:v>
                </c:pt>
                <c:pt idx="162">
                  <c:v>0.12375710593532639</c:v>
                </c:pt>
                <c:pt idx="163">
                  <c:v>0.12534771322315738</c:v>
                </c:pt>
                <c:pt idx="164">
                  <c:v>0.12694739705327443</c:v>
                </c:pt>
                <c:pt idx="165">
                  <c:v>0.12855612275996631</c:v>
                </c:pt>
                <c:pt idx="166">
                  <c:v>0.13017385552975738</c:v>
                </c:pt>
                <c:pt idx="167">
                  <c:v>0.13180056041365196</c:v>
                </c:pt>
                <c:pt idx="168">
                  <c:v>0.13343620233947459</c:v>
                </c:pt>
                <c:pt idx="169">
                  <c:v>0.13508074612429469</c:v>
                </c:pt>
                <c:pt idx="170">
                  <c:v>0.13673415648692694</c:v>
                </c:pt>
                <c:pt idx="171">
                  <c:v>0.13839639806049803</c:v>
                </c:pt>
                <c:pt idx="172">
                  <c:v>0.14006743540506889</c:v>
                </c:pt>
                <c:pt idx="173">
                  <c:v>0.14174723302030237</c:v>
                </c:pt>
                <c:pt idx="174">
                  <c:v>0.14343575535816674</c:v>
                </c:pt>
                <c:pt idx="175">
                  <c:v>0.14513296683566446</c:v>
                </c:pt>
                <c:pt idx="176">
                  <c:v>0.1468388318475739</c:v>
                </c:pt>
                <c:pt idx="177">
                  <c:v>0.14855331477919528</c:v>
                </c:pt>
                <c:pt idx="178">
                  <c:v>0.15027638001908772</c:v>
                </c:pt>
                <c:pt idx="179">
                  <c:v>0.15200799197178769</c:v>
                </c:pt>
                <c:pt idx="180">
                  <c:v>0.15374811507049602</c:v>
                </c:pt>
                <c:pt idx="181">
                  <c:v>0.15549671378972268</c:v>
                </c:pt>
                <c:pt idx="182">
                  <c:v>0.15725375265787725</c:v>
                </c:pt>
                <c:pt idx="183">
                  <c:v>0.15901919626979247</c:v>
                </c:pt>
                <c:pt idx="184">
                  <c:v>0.16079300929916915</c:v>
                </c:pt>
                <c:pt idx="185">
                  <c:v>0.16257515651093124</c:v>
                </c:pt>
                <c:pt idx="186">
                  <c:v>0.16436560277347556</c:v>
                </c:pt>
                <c:pt idx="187">
                  <c:v>0.16616431307080695</c:v>
                </c:pt>
                <c:pt idx="188">
                  <c:v>0.16797125251454356</c:v>
                </c:pt>
                <c:pt idx="189">
                  <c:v>0.16978638635578058</c:v>
                </c:pt>
                <c:pt idx="190">
                  <c:v>0.17160967999679896</c:v>
                </c:pt>
                <c:pt idx="191">
                  <c:v>0.17344109900260588</c:v>
                </c:pt>
                <c:pt idx="192">
                  <c:v>0.17528060911229335</c:v>
                </c:pt>
                <c:pt idx="193">
                  <c:v>0.17712817625020302</c:v>
                </c:pt>
                <c:pt idx="194">
                  <c:v>0.17898376653688067</c:v>
                </c:pt>
                <c:pt idx="195">
                  <c:v>0.18084734629981003</c:v>
                </c:pt>
                <c:pt idx="196">
                  <c:v>0.18271888208390979</c:v>
                </c:pt>
                <c:pt idx="197">
                  <c:v>0.18459834066178105</c:v>
                </c:pt>
                <c:pt idx="198">
                  <c:v>0.18648568904369076</c:v>
                </c:pt>
                <c:pt idx="199">
                  <c:v>0.18838089448727705</c:v>
                </c:pt>
                <c:pt idx="200">
                  <c:v>0.19028392450696346</c:v>
                </c:pt>
                <c:pt idx="201">
                  <c:v>0.19219474688306509</c:v>
                </c:pt>
                <c:pt idx="202">
                  <c:v>0.19411332967057629</c:v>
                </c:pt>
                <c:pt idx="203">
                  <c:v>0.19603964120762196</c:v>
                </c:pt>
                <c:pt idx="204">
                  <c:v>0.1979736501235595</c:v>
                </c:pt>
                <c:pt idx="205">
                  <c:v>0.19991532542803625</c:v>
                </c:pt>
                <c:pt idx="206">
                  <c:v>0.20186463770683677</c:v>
                </c:pt>
                <c:pt idx="207">
                  <c:v>0.20382155863980453</c:v>
                </c:pt>
                <c:pt idx="208">
                  <c:v>0.20578605985349074</c:v>
                </c:pt>
                <c:pt idx="209">
                  <c:v>0.2077581128902713</c:v>
                </c:pt>
                <c:pt idx="210">
                  <c:v>0.20973768921082353</c:v>
                </c:pt>
                <c:pt idx="211">
                  <c:v>0.2117247601966192</c:v>
                </c:pt>
                <c:pt idx="212">
                  <c:v>0.21371929715243668</c:v>
                </c:pt>
                <c:pt idx="213">
                  <c:v>0.21572127130888802</c:v>
                </c:pt>
                <c:pt idx="214">
                  <c:v>0.21773065382496293</c:v>
                </c:pt>
                <c:pt idx="215">
                  <c:v>0.21974741579058782</c:v>
                </c:pt>
                <c:pt idx="216">
                  <c:v>0.22177152822919954</c:v>
                </c:pt>
                <c:pt idx="217">
                  <c:v>0.22380296210033301</c:v>
                </c:pt>
                <c:pt idx="218">
                  <c:v>0.22584168830222287</c:v>
                </c:pt>
                <c:pt idx="219">
                  <c:v>0.22788767767441737</c:v>
                </c:pt>
                <c:pt idx="220">
                  <c:v>0.22994090100040454</c:v>
                </c:pt>
                <c:pt idx="221">
                  <c:v>0.23200132901025031</c:v>
                </c:pt>
                <c:pt idx="222">
                  <c:v>0.23406893238324755</c:v>
                </c:pt>
                <c:pt idx="223">
                  <c:v>0.23614368175057582</c:v>
                </c:pt>
                <c:pt idx="224">
                  <c:v>0.23822554769796983</c:v>
                </c:pt>
                <c:pt idx="225">
                  <c:v>0.24031450076839916</c:v>
                </c:pt>
                <c:pt idx="226">
                  <c:v>0.24241051146475462</c:v>
                </c:pt>
                <c:pt idx="227">
                  <c:v>0.24451355025254445</c:v>
                </c:pt>
                <c:pt idx="228">
                  <c:v>0.24662358756259689</c:v>
                </c:pt>
                <c:pt idx="229">
                  <c:v>0.24874059379377106</c:v>
                </c:pt>
                <c:pt idx="230">
                  <c:v>0.25086453931567337</c:v>
                </c:pt>
                <c:pt idx="231">
                  <c:v>0.2529953944713802</c:v>
                </c:pt>
                <c:pt idx="232">
                  <c:v>0.25513312958016687</c:v>
                </c:pt>
                <c:pt idx="233">
                  <c:v>0.25727771494024027</c:v>
                </c:pt>
                <c:pt idx="234">
                  <c:v>0.25942912083147779</c:v>
                </c:pt>
                <c:pt idx="235">
                  <c:v>0.26158731751816877</c:v>
                </c:pt>
                <c:pt idx="236">
                  <c:v>0.26375227525176037</c:v>
                </c:pt>
                <c:pt idx="237">
                  <c:v>0.26592396427360659</c:v>
                </c:pt>
                <c:pt idx="238">
                  <c:v>0.26810235481771977</c:v>
                </c:pt>
                <c:pt idx="239">
                  <c:v>0.27028741711352516</c:v>
                </c:pt>
                <c:pt idx="240">
                  <c:v>0.27247912138861596</c:v>
                </c:pt>
                <c:pt idx="241">
                  <c:v>0.27467743787151161</c:v>
                </c:pt>
                <c:pt idx="242">
                  <c:v>0.27688233679441571</c:v>
                </c:pt>
                <c:pt idx="243">
                  <c:v>0.27909378839597609</c:v>
                </c:pt>
                <c:pt idx="244">
                  <c:v>0.28131176292404403</c:v>
                </c:pt>
                <c:pt idx="245">
                  <c:v>0.28353623063843464</c:v>
                </c:pt>
                <c:pt idx="246">
                  <c:v>0.28576716181368589</c:v>
                </c:pt>
                <c:pt idx="247">
                  <c:v>0.28800452674181848</c:v>
                </c:pt>
                <c:pt idx="248">
                  <c:v>0.2902482957350932</c:v>
                </c:pt>
                <c:pt idx="249">
                  <c:v>0.29249843912876883</c:v>
                </c:pt>
                <c:pt idx="250">
                  <c:v>0.2947549272838571</c:v>
                </c:pt>
                <c:pt idx="251">
                  <c:v>0.29701773058987696</c:v>
                </c:pt>
                <c:pt idx="252">
                  <c:v>0.29928681946760666</c:v>
                </c:pt>
                <c:pt idx="253">
                  <c:v>0.30156216437183331</c:v>
                </c:pt>
                <c:pt idx="254">
                  <c:v>0.30384373579410096</c:v>
                </c:pt>
                <c:pt idx="255">
                  <c:v>0.30613150426545488</c:v>
                </c:pt>
                <c:pt idx="256">
                  <c:v>0.30842544035918412</c:v>
                </c:pt>
                <c:pt idx="257">
                  <c:v>0.31072551469356069</c:v>
                </c:pt>
                <c:pt idx="258">
                  <c:v>0.31303169793457514</c:v>
                </c:pt>
                <c:pt idx="259">
                  <c:v>0.31534396079866994</c:v>
                </c:pt>
                <c:pt idx="260">
                  <c:v>0.31766227405546898</c:v>
                </c:pt>
                <c:pt idx="261">
                  <c:v>0.3199866085305027</c:v>
                </c:pt>
                <c:pt idx="262">
                  <c:v>0.32231693510793136</c:v>
                </c:pt>
                <c:pt idx="263">
                  <c:v>0.32465322473326175</c:v>
                </c:pt>
                <c:pt idx="264">
                  <c:v>0.32699544841606432</c:v>
                </c:pt>
                <c:pt idx="265">
                  <c:v>0.32934357723268159</c:v>
                </c:pt>
                <c:pt idx="266">
                  <c:v>0.3316975823289362</c:v>
                </c:pt>
                <c:pt idx="267">
                  <c:v>0.33405743492283291</c:v>
                </c:pt>
                <c:pt idx="268">
                  <c:v>0.33642310630725741</c:v>
                </c:pt>
                <c:pt idx="269">
                  <c:v>0.33879456785267026</c:v>
                </c:pt>
                <c:pt idx="270">
                  <c:v>0.34117179100979783</c:v>
                </c:pt>
                <c:pt idx="271">
                  <c:v>0.34355474731231772</c:v>
                </c:pt>
                <c:pt idx="272">
                  <c:v>0.34594340837954063</c:v>
                </c:pt>
                <c:pt idx="273">
                  <c:v>0.34833774591908762</c:v>
                </c:pt>
                <c:pt idx="274">
                  <c:v>0.35073773172956402</c:v>
                </c:pt>
                <c:pt idx="275">
                  <c:v>0.35314333770322792</c:v>
                </c:pt>
                <c:pt idx="276">
                  <c:v>0.35555453582865559</c:v>
                </c:pt>
                <c:pt idx="277">
                  <c:v>0.35797129819340134</c:v>
                </c:pt>
                <c:pt idx="278">
                  <c:v>0.36039359698665507</c:v>
                </c:pt>
                <c:pt idx="279">
                  <c:v>0.36282140450189321</c:v>
                </c:pt>
                <c:pt idx="280">
                  <c:v>0.36525469313952807</c:v>
                </c:pt>
                <c:pt idx="281">
                  <c:v>0.36769343540955168</c:v>
                </c:pt>
                <c:pt idx="282">
                  <c:v>0.37013760393417527</c:v>
                </c:pt>
                <c:pt idx="283">
                  <c:v>0.37258717145046588</c:v>
                </c:pt>
                <c:pt idx="284">
                  <c:v>0.37504211081297778</c:v>
                </c:pt>
                <c:pt idx="285">
                  <c:v>0.37750239499638089</c:v>
                </c:pt>
                <c:pt idx="286">
                  <c:v>0.37996799709808488</c:v>
                </c:pt>
                <c:pt idx="287">
                  <c:v>0.38243889034085898</c:v>
                </c:pt>
                <c:pt idx="288">
                  <c:v>0.38491504807544852</c:v>
                </c:pt>
                <c:pt idx="289">
                  <c:v>0.38739644378318699</c:v>
                </c:pt>
                <c:pt idx="290">
                  <c:v>0.38988305107860483</c:v>
                </c:pt>
                <c:pt idx="291">
                  <c:v>0.39237484371203402</c:v>
                </c:pt>
                <c:pt idx="292">
                  <c:v>0.39487211627992896</c:v>
                </c:pt>
                <c:pt idx="293">
                  <c:v>0.39737535492339415</c:v>
                </c:pt>
                <c:pt idx="294">
                  <c:v>0.3998845413219887</c:v>
                </c:pt>
                <c:pt idx="295">
                  <c:v>0.40239965048987447</c:v>
                </c:pt>
                <c:pt idx="296">
                  <c:v>0.4049206573843005</c:v>
                </c:pt>
                <c:pt idx="297">
                  <c:v>0.40744753690585878</c:v>
                </c:pt>
                <c:pt idx="298">
                  <c:v>0.40998026389874048</c:v>
                </c:pt>
                <c:pt idx="299">
                  <c:v>0.41251881315099398</c:v>
                </c:pt>
                <c:pt idx="300">
                  <c:v>0.41506315939478095</c:v>
                </c:pt>
                <c:pt idx="301">
                  <c:v>0.41761327730663567</c:v>
                </c:pt>
                <c:pt idx="302">
                  <c:v>0.42016914150772222</c:v>
                </c:pt>
                <c:pt idx="303">
                  <c:v>0.42273072656409355</c:v>
                </c:pt>
                <c:pt idx="304">
                  <c:v>0.42529800698695064</c:v>
                </c:pt>
                <c:pt idx="305">
                  <c:v>0.42787095723290142</c:v>
                </c:pt>
                <c:pt idx="306">
                  <c:v>0.43044955170422078</c:v>
                </c:pt>
                <c:pt idx="307">
                  <c:v>0.43303376474911132</c:v>
                </c:pt>
                <c:pt idx="308">
                  <c:v>0.43562357066196267</c:v>
                </c:pt>
                <c:pt idx="309">
                  <c:v>0.43821894368361403</c:v>
                </c:pt>
                <c:pt idx="310">
                  <c:v>0.44081985800161366</c:v>
                </c:pt>
                <c:pt idx="311">
                  <c:v>0.44342628775048193</c:v>
                </c:pt>
                <c:pt idx="312">
                  <c:v>0.44603820701197289</c:v>
                </c:pt>
                <c:pt idx="313">
                  <c:v>0.44865558981533632</c:v>
                </c:pt>
                <c:pt idx="314">
                  <c:v>0.45127841013758124</c:v>
                </c:pt>
                <c:pt idx="315">
                  <c:v>0.45390664190373786</c:v>
                </c:pt>
                <c:pt idx="316">
                  <c:v>0.4565402589871223</c:v>
                </c:pt>
                <c:pt idx="317">
                  <c:v>0.45917923520959936</c:v>
                </c:pt>
                <c:pt idx="318">
                  <c:v>0.46182354434184753</c:v>
                </c:pt>
                <c:pt idx="319">
                  <c:v>0.46447316010362244</c:v>
                </c:pt>
                <c:pt idx="320">
                  <c:v>0.46712805616402309</c:v>
                </c:pt>
                <c:pt idx="321">
                  <c:v>0.46978820614175537</c:v>
                </c:pt>
                <c:pt idx="322">
                  <c:v>0.47245358360539907</c:v>
                </c:pt>
                <c:pt idx="323">
                  <c:v>0.47512416207367258</c:v>
                </c:pt>
                <c:pt idx="324">
                  <c:v>0.47779991501569957</c:v>
                </c:pt>
                <c:pt idx="325">
                  <c:v>0.48048081585127578</c:v>
                </c:pt>
                <c:pt idx="326">
                  <c:v>0.4831668379511348</c:v>
                </c:pt>
                <c:pt idx="327">
                  <c:v>0.4858579546372167</c:v>
                </c:pt>
                <c:pt idx="328">
                  <c:v>0.48855413918293361</c:v>
                </c:pt>
                <c:pt idx="329">
                  <c:v>0.4912553648134394</c:v>
                </c:pt>
                <c:pt idx="330">
                  <c:v>0.49396160470589617</c:v>
                </c:pt>
                <c:pt idx="331">
                  <c:v>0.49667283198974405</c:v>
                </c:pt>
                <c:pt idx="332">
                  <c:v>0.49938901974696831</c:v>
                </c:pt>
                <c:pt idx="333">
                  <c:v>0.5021101410123695</c:v>
                </c:pt>
                <c:pt idx="334">
                  <c:v>0.50483616877383275</c:v>
                </c:pt>
                <c:pt idx="335">
                  <c:v>0.50756707597259654</c:v>
                </c:pt>
                <c:pt idx="336">
                  <c:v>0.51030283550352329</c:v>
                </c:pt>
                <c:pt idx="337">
                  <c:v>0.51304342021536919</c:v>
                </c:pt>
                <c:pt idx="338">
                  <c:v>0.51578880291105511</c:v>
                </c:pt>
                <c:pt idx="339">
                  <c:v>0.51853895634793623</c:v>
                </c:pt>
                <c:pt idx="340">
                  <c:v>0.52129385323807464</c:v>
                </c:pt>
                <c:pt idx="341">
                  <c:v>0.52405346624850946</c:v>
                </c:pt>
                <c:pt idx="342">
                  <c:v>0.52681776800152924</c:v>
                </c:pt>
                <c:pt idx="343">
                  <c:v>0.52958673107494292</c:v>
                </c:pt>
                <c:pt idx="344">
                  <c:v>0.53236032800235256</c:v>
                </c:pt>
                <c:pt idx="345">
                  <c:v>0.53513853127342614</c:v>
                </c:pt>
                <c:pt idx="346">
                  <c:v>0.53792131333416915</c:v>
                </c:pt>
                <c:pt idx="347">
                  <c:v>0.54070864658719886</c:v>
                </c:pt>
                <c:pt idx="348">
                  <c:v>0.54350050339201605</c:v>
                </c:pt>
                <c:pt idx="349">
                  <c:v>0.54629685606528</c:v>
                </c:pt>
                <c:pt idx="350">
                  <c:v>0.54909767688108035</c:v>
                </c:pt>
                <c:pt idx="351">
                  <c:v>0.55190293807121382</c:v>
                </c:pt>
                <c:pt idx="352">
                  <c:v>0.5547126118254555</c:v>
                </c:pt>
                <c:pt idx="353">
                  <c:v>0.55752667029183534</c:v>
                </c:pt>
                <c:pt idx="354">
                  <c:v>0.56034508557691187</c:v>
                </c:pt>
                <c:pt idx="355">
                  <c:v>0.56316782974604751</c:v>
                </c:pt>
                <c:pt idx="356">
                  <c:v>0.56599487482368427</c:v>
                </c:pt>
                <c:pt idx="357">
                  <c:v>0.5688261927936179</c:v>
                </c:pt>
                <c:pt idx="358">
                  <c:v>0.57166175559927557</c:v>
                </c:pt>
                <c:pt idx="359">
                  <c:v>0.57450153514398927</c:v>
                </c:pt>
                <c:pt idx="360">
                  <c:v>0.57734550329127432</c:v>
                </c:pt>
                <c:pt idx="361">
                  <c:v>0.58019363186510442</c:v>
                </c:pt>
                <c:pt idx="362">
                  <c:v>0.5830458926501888</c:v>
                </c:pt>
                <c:pt idx="363">
                  <c:v>0.5859022573922491</c:v>
                </c:pt>
                <c:pt idx="364">
                  <c:v>0.58876269779829526</c:v>
                </c:pt>
                <c:pt idx="365">
                  <c:v>0.59162718553690519</c:v>
                </c:pt>
                <c:pt idx="366">
                  <c:v>0.59449569223849996</c:v>
                </c:pt>
                <c:pt idx="367">
                  <c:v>0.59736818949562276</c:v>
                </c:pt>
                <c:pt idx="368">
                  <c:v>0.60024464886321638</c:v>
                </c:pt>
                <c:pt idx="369">
                  <c:v>0.60312504185890181</c:v>
                </c:pt>
                <c:pt idx="370">
                  <c:v>0.60600933996325546</c:v>
                </c:pt>
                <c:pt idx="371">
                  <c:v>0.60889751462008956</c:v>
                </c:pt>
                <c:pt idx="372">
                  <c:v>0.61178953723672946</c:v>
                </c:pt>
                <c:pt idx="373">
                  <c:v>0.614685379184293</c:v>
                </c:pt>
                <c:pt idx="374">
                  <c:v>0.61758501179796987</c:v>
                </c:pt>
                <c:pt idx="375">
                  <c:v>0.62048840637730029</c:v>
                </c:pt>
                <c:pt idx="376">
                  <c:v>0.6233955341864561</c:v>
                </c:pt>
                <c:pt idx="377">
                  <c:v>0.62630636645451843</c:v>
                </c:pt>
                <c:pt idx="378">
                  <c:v>0.62922087437575969</c:v>
                </c:pt>
                <c:pt idx="379">
                  <c:v>0.63213902910992203</c:v>
                </c:pt>
                <c:pt idx="380">
                  <c:v>0.63506080178249857</c:v>
                </c:pt>
                <c:pt idx="381">
                  <c:v>0.63798616348501347</c:v>
                </c:pt>
                <c:pt idx="382">
                  <c:v>0.64091508527530339</c:v>
                </c:pt>
                <c:pt idx="383">
                  <c:v>0.64384753817779727</c:v>
                </c:pt>
                <c:pt idx="384">
                  <c:v>0.64678349318379802</c:v>
                </c:pt>
                <c:pt idx="385">
                  <c:v>0.64972292125176345</c:v>
                </c:pt>
                <c:pt idx="386">
                  <c:v>0.65266579330758789</c:v>
                </c:pt>
                <c:pt idx="387">
                  <c:v>0.6556120802448836</c:v>
                </c:pt>
                <c:pt idx="388">
                  <c:v>0.65856175292526264</c:v>
                </c:pt>
                <c:pt idx="389">
                  <c:v>0.66151478217861848</c:v>
                </c:pt>
                <c:pt idx="390">
                  <c:v>0.66447113880340791</c:v>
                </c:pt>
                <c:pt idx="391">
                  <c:v>0.66743079356693424</c:v>
                </c:pt>
                <c:pt idx="392">
                  <c:v>0.67039371720562835</c:v>
                </c:pt>
                <c:pt idx="393">
                  <c:v>0.67335988042533235</c:v>
                </c:pt>
                <c:pt idx="394">
                  <c:v>0.67632925390158094</c:v>
                </c:pt>
                <c:pt idx="395">
                  <c:v>0.6793018082798864</c:v>
                </c:pt>
                <c:pt idx="396">
                  <c:v>0.6822775141760189</c:v>
                </c:pt>
                <c:pt idx="397">
                  <c:v>0.6852563421762915</c:v>
                </c:pt>
                <c:pt idx="398">
                  <c:v>0.6882382628378434</c:v>
                </c:pt>
                <c:pt idx="399">
                  <c:v>0.69122324668892199</c:v>
                </c:pt>
                <c:pt idx="400">
                  <c:v>0.69421126422916846</c:v>
                </c:pt>
                <c:pt idx="401">
                  <c:v>0.69720228592989897</c:v>
                </c:pt>
                <c:pt idx="402">
                  <c:v>0.70019628223439112</c:v>
                </c:pt>
                <c:pt idx="403">
                  <c:v>0.70319322355816616</c:v>
                </c:pt>
                <c:pt idx="404">
                  <c:v>0.70619308028927441</c:v>
                </c:pt>
                <c:pt idx="405">
                  <c:v>0.70919582278857751</c:v>
                </c:pt>
                <c:pt idx="406">
                  <c:v>0.71220142139003562</c:v>
                </c:pt>
                <c:pt idx="407">
                  <c:v>0.71520984640098961</c:v>
                </c:pt>
                <c:pt idx="408">
                  <c:v>0.71822106810244635</c:v>
                </c:pt>
                <c:pt idx="409">
                  <c:v>0.72123505674936461</c:v>
                </c:pt>
                <c:pt idx="410">
                  <c:v>0.72425178257093836</c:v>
                </c:pt>
                <c:pt idx="411">
                  <c:v>0.72727121577088272</c:v>
                </c:pt>
                <c:pt idx="412">
                  <c:v>0.73029332652771872</c:v>
                </c:pt>
                <c:pt idx="413">
                  <c:v>0.73331808499505913</c:v>
                </c:pt>
                <c:pt idx="414">
                  <c:v>0.7363454613018926</c:v>
                </c:pt>
                <c:pt idx="415">
                  <c:v>0.73937542555287139</c:v>
                </c:pt>
                <c:pt idx="416">
                  <c:v>0.74240794782859443</c:v>
                </c:pt>
                <c:pt idx="417">
                  <c:v>0.74544299818589421</c:v>
                </c:pt>
                <c:pt idx="418">
                  <c:v>0.74848054665812336</c:v>
                </c:pt>
                <c:pt idx="419">
                  <c:v>0.75152056325543903</c:v>
                </c:pt>
                <c:pt idx="420">
                  <c:v>0.75456301796509084</c:v>
                </c:pt>
                <c:pt idx="421">
                  <c:v>0.75760788075170415</c:v>
                </c:pt>
                <c:pt idx="422">
                  <c:v>0.76065512155756987</c:v>
                </c:pt>
                <c:pt idx="423">
                  <c:v>0.76370471030292764</c:v>
                </c:pt>
                <c:pt idx="424">
                  <c:v>0.76675661688625485</c:v>
                </c:pt>
                <c:pt idx="425">
                  <c:v>0.76981081118455086</c:v>
                </c:pt>
                <c:pt idx="426">
                  <c:v>0.77286726305362574</c:v>
                </c:pt>
                <c:pt idx="427">
                  <c:v>0.77592594232838552</c:v>
                </c:pt>
                <c:pt idx="428">
                  <c:v>0.77898681882311915</c:v>
                </c:pt>
                <c:pt idx="429">
                  <c:v>0.78204986233178686</c:v>
                </c:pt>
                <c:pt idx="430">
                  <c:v>0.78511504262830489</c:v>
                </c:pt>
                <c:pt idx="431">
                  <c:v>0.78818232946683509</c:v>
                </c:pt>
                <c:pt idx="432">
                  <c:v>0.79125169258206907</c:v>
                </c:pt>
                <c:pt idx="433">
                  <c:v>0.79432310168951903</c:v>
                </c:pt>
                <c:pt idx="434">
                  <c:v>0.79739652648580173</c:v>
                </c:pt>
                <c:pt idx="435">
                  <c:v>0.80047193664892857</c:v>
                </c:pt>
                <c:pt idx="436">
                  <c:v>0.80354930183859108</c:v>
                </c:pt>
                <c:pt idx="437">
                  <c:v>0.80662859169645007</c:v>
                </c:pt>
                <c:pt idx="438">
                  <c:v>0.80970977584642201</c:v>
                </c:pt>
                <c:pt idx="439">
                  <c:v>0.81279282389496732</c:v>
                </c:pt>
                <c:pt idx="440">
                  <c:v>0.8158777054313785</c:v>
                </c:pt>
                <c:pt idx="441">
                  <c:v>0.81896439002806753</c:v>
                </c:pt>
                <c:pt idx="442">
                  <c:v>0.8220528472408537</c:v>
                </c:pt>
                <c:pt idx="443">
                  <c:v>0.82514304660925186</c:v>
                </c:pt>
                <c:pt idx="444">
                  <c:v>0.82823495765676103</c:v>
                </c:pt>
                <c:pt idx="445">
                  <c:v>0.83132854989115057</c:v>
                </c:pt>
                <c:pt idx="446">
                  <c:v>0.83442379280475165</c:v>
                </c:pt>
                <c:pt idx="447">
                  <c:v>0.83752065587474167</c:v>
                </c:pt>
                <c:pt idx="448">
                  <c:v>0.8406191085634358</c:v>
                </c:pt>
                <c:pt idx="449">
                  <c:v>0.84371912031857366</c:v>
                </c:pt>
                <c:pt idx="450">
                  <c:v>0.84682066057360761</c:v>
                </c:pt>
                <c:pt idx="451">
                  <c:v>0.84992369874799278</c:v>
                </c:pt>
                <c:pt idx="452">
                  <c:v>0.85302820424747361</c:v>
                </c:pt>
                <c:pt idx="453">
                  <c:v>0.85613414646437358</c:v>
                </c:pt>
                <c:pt idx="454">
                  <c:v>0.85924149477788359</c:v>
                </c:pt>
                <c:pt idx="455">
                  <c:v>0.86235021855435134</c:v>
                </c:pt>
                <c:pt idx="456">
                  <c:v>0.8654602871475684</c:v>
                </c:pt>
                <c:pt idx="457">
                  <c:v>0.86857166989906065</c:v>
                </c:pt>
                <c:pt idx="458">
                  <c:v>0.87168433613837604</c:v>
                </c:pt>
                <c:pt idx="459">
                  <c:v>0.87479825518337395</c:v>
                </c:pt>
                <c:pt idx="460">
                  <c:v>0.87791339634051413</c:v>
                </c:pt>
                <c:pt idx="461">
                  <c:v>0.88102972890514486</c:v>
                </c:pt>
                <c:pt idx="462">
                  <c:v>0.88414722216179353</c:v>
                </c:pt>
                <c:pt idx="463">
                  <c:v>0.88726584538445308</c:v>
                </c:pt>
                <c:pt idx="464">
                  <c:v>0.89038556783687428</c:v>
                </c:pt>
                <c:pt idx="465">
                  <c:v>0.89350635877285189</c:v>
                </c:pt>
                <c:pt idx="466">
                  <c:v>0.89662818743651584</c:v>
                </c:pt>
                <c:pt idx="467">
                  <c:v>0.89975102306261856</c:v>
                </c:pt>
                <c:pt idx="468">
                  <c:v>0.9028748348768264</c:v>
                </c:pt>
                <c:pt idx="469">
                  <c:v>0.90599959209600611</c:v>
                </c:pt>
                <c:pt idx="470">
                  <c:v>0.90912526392851656</c:v>
                </c:pt>
                <c:pt idx="471">
                  <c:v>0.91225181957449641</c:v>
                </c:pt>
                <c:pt idx="472">
                  <c:v>0.91537922822615403</c:v>
                </c:pt>
                <c:pt idx="473">
                  <c:v>0.91850745906805642</c:v>
                </c:pt>
                <c:pt idx="474">
                  <c:v>0.92163648127741882</c:v>
                </c:pt>
                <c:pt idx="475">
                  <c:v>0.92476626402439421</c:v>
                </c:pt>
                <c:pt idx="476">
                  <c:v>0.92789677647236191</c:v>
                </c:pt>
                <c:pt idx="477">
                  <c:v>0.93102798777821816</c:v>
                </c:pt>
                <c:pt idx="478">
                  <c:v>0.93415986709266385</c:v>
                </c:pt>
                <c:pt idx="479">
                  <c:v>0.9372923835604956</c:v>
                </c:pt>
                <c:pt idx="480">
                  <c:v>0.94042550632089372</c:v>
                </c:pt>
                <c:pt idx="481">
                  <c:v>0.94355920450771302</c:v>
                </c:pt>
                <c:pt idx="482">
                  <c:v>0.94669344724977089</c:v>
                </c:pt>
                <c:pt idx="483">
                  <c:v>0.94982820367113763</c:v>
                </c:pt>
                <c:pt idx="484">
                  <c:v>0.95296344289142532</c:v>
                </c:pt>
                <c:pt idx="485">
                  <c:v>0.95609913402607749</c:v>
                </c:pt>
                <c:pt idx="486">
                  <c:v>0.95923524618665934</c:v>
                </c:pt>
                <c:pt idx="487">
                  <c:v>0.96237174848114548</c:v>
                </c:pt>
                <c:pt idx="488">
                  <c:v>0.96550861001421118</c:v>
                </c:pt>
                <c:pt idx="489">
                  <c:v>0.96864579988752009</c:v>
                </c:pt>
                <c:pt idx="490">
                  <c:v>0.9717832872000155</c:v>
                </c:pt>
                <c:pt idx="491">
                  <c:v>0.9749210410482082</c:v>
                </c:pt>
                <c:pt idx="492">
                  <c:v>0.97805903052646648</c:v>
                </c:pt>
                <c:pt idx="493">
                  <c:v>0.98119722472730664</c:v>
                </c:pt>
                <c:pt idx="494">
                  <c:v>0.98433559274167981</c:v>
                </c:pt>
                <c:pt idx="495">
                  <c:v>0.98747410365926447</c:v>
                </c:pt>
                <c:pt idx="496">
                  <c:v>0.99061272656875332</c:v>
                </c:pt>
                <c:pt idx="497">
                  <c:v>0.99375143055814441</c:v>
                </c:pt>
                <c:pt idx="498">
                  <c:v>0.99689018471502933</c:v>
                </c:pt>
                <c:pt idx="499">
                  <c:v>1.0000289581268833</c:v>
                </c:pt>
              </c:numCache>
            </c:numRef>
          </c:xVal>
          <c:yVal>
            <c:numRef>
              <c:f>Data4!$H$1:$H$500</c:f>
              <c:numCache>
                <c:formatCode>0.00000</c:formatCode>
                <c:ptCount val="500"/>
                <c:pt idx="0">
                  <c:v>0</c:v>
                </c:pt>
                <c:pt idx="1">
                  <c:v>3.4030901522697816E-4</c:v>
                </c:pt>
                <c:pt idx="2">
                  <c:v>6.8277124129250051E-4</c:v>
                </c:pt>
                <c:pt idx="3">
                  <c:v>1.0273869860401065E-3</c:v>
                </c:pt>
                <c:pt idx="4">
                  <c:v>1.3741555825173518E-3</c:v>
                </c:pt>
                <c:pt idx="5">
                  <c:v>1.7230753884956203E-3</c:v>
                </c:pt>
                <c:pt idx="6">
                  <c:v>2.0741437862445565E-3</c:v>
                </c:pt>
                <c:pt idx="7">
                  <c:v>2.4273571825307399E-3</c:v>
                </c:pt>
                <c:pt idx="8">
                  <c:v>2.7827110088534828E-3</c:v>
                </c:pt>
                <c:pt idx="9">
                  <c:v>3.1401997219174245E-3</c:v>
                </c:pt>
                <c:pt idx="10">
                  <c:v>3.4998168043397747E-3</c:v>
                </c:pt>
                <c:pt idx="11">
                  <c:v>3.8615547655947687E-3</c:v>
                </c:pt>
                <c:pt idx="12">
                  <c:v>4.225405143193489E-3</c:v>
                </c:pt>
                <c:pt idx="13">
                  <c:v>4.5913585041009782E-3</c:v>
                </c:pt>
                <c:pt idx="14">
                  <c:v>4.9594044463918E-3</c:v>
                </c:pt>
                <c:pt idx="15">
                  <c:v>5.3295316011426159E-3</c:v>
                </c:pt>
                <c:pt idx="16">
                  <c:v>5.7017276345614192E-3</c:v>
                </c:pt>
                <c:pt idx="17">
                  <c:v>6.0759792503591644E-3</c:v>
                </c:pt>
                <c:pt idx="18">
                  <c:v>6.4522721923560384E-3</c:v>
                </c:pt>
                <c:pt idx="19">
                  <c:v>6.8305912473311803E-3</c:v>
                </c:pt>
                <c:pt idx="20">
                  <c:v>7.2109202481086525E-3</c:v>
                </c:pt>
                <c:pt idx="21">
                  <c:v>7.5932420768866603E-3</c:v>
                </c:pt>
                <c:pt idx="22">
                  <c:v>7.9775386688059214E-3</c:v>
                </c:pt>
                <c:pt idx="23">
                  <c:v>8.3637910157599027E-3</c:v>
                </c:pt>
                <c:pt idx="24">
                  <c:v>8.7519791704457842E-3</c:v>
                </c:pt>
                <c:pt idx="25">
                  <c:v>9.1420822506589981E-3</c:v>
                </c:pt>
                <c:pt idx="26">
                  <c:v>9.5340784438281371E-3</c:v>
                </c:pt>
                <c:pt idx="27">
                  <c:v>9.927945011795291E-3</c:v>
                </c:pt>
                <c:pt idx="28">
                  <c:v>1.0323658295837502E-2</c:v>
                </c:pt>
                <c:pt idx="29">
                  <c:v>1.0721193721933081E-2</c:v>
                </c:pt>
                <c:pt idx="30">
                  <c:v>1.1120525806272603E-2</c:v>
                </c:pt>
                <c:pt idx="31">
                  <c:v>1.1521628161012404E-2</c:v>
                </c:pt>
                <c:pt idx="32">
                  <c:v>1.1924473500275997E-2</c:v>
                </c:pt>
                <c:pt idx="33">
                  <c:v>1.2329033646398873E-2</c:v>
                </c:pt>
                <c:pt idx="34">
                  <c:v>1.2735279536419435E-2</c:v>
                </c:pt>
                <c:pt idx="35">
                  <c:v>1.314318122881648E-2</c:v>
                </c:pt>
                <c:pt idx="36">
                  <c:v>1.3552707910493553E-2</c:v>
                </c:pt>
                <c:pt idx="37">
                  <c:v>1.3963827904009418E-2</c:v>
                </c:pt>
                <c:pt idx="38">
                  <c:v>1.4376508675056172E-2</c:v>
                </c:pt>
                <c:pt idx="39">
                  <c:v>1.4790716840185224E-2</c:v>
                </c:pt>
                <c:pt idx="40">
                  <c:v>1.5206418174780866E-2</c:v>
                </c:pt>
                <c:pt idx="41">
                  <c:v>1.5623577621282326E-2</c:v>
                </c:pt>
                <c:pt idx="42">
                  <c:v>1.6042159297653937E-2</c:v>
                </c:pt>
                <c:pt idx="43">
                  <c:v>1.6462126506104301E-2</c:v>
                </c:pt>
                <c:pt idx="44">
                  <c:v>1.6883441742054753E-2</c:v>
                </c:pt>
                <c:pt idx="45">
                  <c:v>1.7306066703356614E-2</c:v>
                </c:pt>
                <c:pt idx="46">
                  <c:v>1.7729962299758109E-2</c:v>
                </c:pt>
                <c:pt idx="47">
                  <c:v>1.8155088662620389E-2</c:v>
                </c:pt>
                <c:pt idx="48">
                  <c:v>1.8581405154884375E-2</c:v>
                </c:pt>
                <c:pt idx="49">
                  <c:v>1.9008870381285979E-2</c:v>
                </c:pt>
                <c:pt idx="50">
                  <c:v>1.9437442198822534E-2</c:v>
                </c:pt>
                <c:pt idx="51">
                  <c:v>1.9867077727468357E-2</c:v>
                </c:pt>
                <c:pt idx="52">
                  <c:v>2.029773336114082E-2</c:v>
                </c:pt>
                <c:pt idx="53">
                  <c:v>2.072936477891613E-2</c:v>
                </c:pt>
                <c:pt idx="54">
                  <c:v>2.1161926956494645E-2</c:v>
                </c:pt>
                <c:pt idx="55">
                  <c:v>2.1595374177917123E-2</c:v>
                </c:pt>
                <c:pt idx="56">
                  <c:v>2.202966004752932E-2</c:v>
                </c:pt>
                <c:pt idx="57">
                  <c:v>2.2464737502197182E-2</c:v>
                </c:pt>
                <c:pt idx="58">
                  <c:v>2.2900558823770595E-2</c:v>
                </c:pt>
                <c:pt idx="59">
                  <c:v>2.3337075651796567E-2</c:v>
                </c:pt>
                <c:pt idx="60">
                  <c:v>2.3774238996481206E-2</c:v>
                </c:pt>
                <c:pt idx="61">
                  <c:v>2.4211999251899603E-2</c:v>
                </c:pt>
                <c:pt idx="62">
                  <c:v>2.4650306209454277E-2</c:v>
                </c:pt>
                <c:pt idx="63">
                  <c:v>2.5089109071580795E-2</c:v>
                </c:pt>
                <c:pt idx="64">
                  <c:v>2.5528356465700147E-2</c:v>
                </c:pt>
                <c:pt idx="65">
                  <c:v>2.5967996458418564E-2</c:v>
                </c:pt>
                <c:pt idx="66">
                  <c:v>2.6407976569971809E-2</c:v>
                </c:pt>
                <c:pt idx="67">
                  <c:v>2.6848243788915677E-2</c:v>
                </c:pt>
                <c:pt idx="68">
                  <c:v>2.728874458706057E-2</c:v>
                </c:pt>
                <c:pt idx="69">
                  <c:v>2.7729424934649465E-2</c:v>
                </c:pt>
                <c:pt idx="70">
                  <c:v>2.8170230315779296E-2</c:v>
                </c:pt>
                <c:pt idx="71">
                  <c:v>2.8611105744063205E-2</c:v>
                </c:pt>
                <c:pt idx="72">
                  <c:v>2.9051995778534848E-2</c:v>
                </c:pt>
                <c:pt idx="73">
                  <c:v>2.94928445397914E-2</c:v>
                </c:pt>
                <c:pt idx="74">
                  <c:v>2.9933595726376258E-2</c:v>
                </c:pt>
                <c:pt idx="75">
                  <c:v>3.0374192631398459E-2</c:v>
                </c:pt>
                <c:pt idx="76">
                  <c:v>3.0814578159388571E-2</c:v>
                </c:pt>
                <c:pt idx="77">
                  <c:v>3.1254694843390211E-2</c:v>
                </c:pt>
                <c:pt idx="78">
                  <c:v>3.1694484862283753E-2</c:v>
                </c:pt>
                <c:pt idx="79">
                  <c:v>3.2133890058343433E-2</c:v>
                </c:pt>
                <c:pt idx="80">
                  <c:v>3.2572851955023865E-2</c:v>
                </c:pt>
                <c:pt idx="81">
                  <c:v>3.301131177497621E-2</c:v>
                </c:pt>
                <c:pt idx="82">
                  <c:v>3.3449210458291037E-2</c:v>
                </c:pt>
                <c:pt idx="83">
                  <c:v>3.3886488680966609E-2</c:v>
                </c:pt>
                <c:pt idx="84">
                  <c:v>3.4323086873600861E-2</c:v>
                </c:pt>
                <c:pt idx="85">
                  <c:v>3.475894524030456E-2</c:v>
                </c:pt>
                <c:pt idx="86">
                  <c:v>3.5194003777834451E-2</c:v>
                </c:pt>
                <c:pt idx="87">
                  <c:v>3.5628202294943269E-2</c:v>
                </c:pt>
                <c:pt idx="88">
                  <c:v>3.6061480431945389E-2</c:v>
                </c:pt>
                <c:pt idx="89">
                  <c:v>3.6493777680495137E-2</c:v>
                </c:pt>
                <c:pt idx="90">
                  <c:v>3.6925033403575551E-2</c:v>
                </c:pt>
                <c:pt idx="91">
                  <c:v>3.7355186855695534E-2</c:v>
                </c:pt>
                <c:pt idx="92">
                  <c:v>3.7784177203292427E-2</c:v>
                </c:pt>
                <c:pt idx="93">
                  <c:v>3.8211943545337239E-2</c:v>
                </c:pt>
                <c:pt idx="94">
                  <c:v>3.8638424934140367E-2</c:v>
                </c:pt>
                <c:pt idx="95">
                  <c:v>3.9063560396354738E-2</c:v>
                </c:pt>
                <c:pt idx="96">
                  <c:v>3.9487288954173153E-2</c:v>
                </c:pt>
                <c:pt idx="97">
                  <c:v>3.9909549646717321E-2</c:v>
                </c:pt>
                <c:pt idx="98">
                  <c:v>4.0330281551615645E-2</c:v>
                </c:pt>
                <c:pt idx="99">
                  <c:v>4.074942380676571E-2</c:v>
                </c:pt>
                <c:pt idx="100">
                  <c:v>4.1166915632279234E-2</c:v>
                </c:pt>
                <c:pt idx="101">
                  <c:v>4.1582696352605655E-2</c:v>
                </c:pt>
                <c:pt idx="102">
                  <c:v>4.1996705418831104E-2</c:v>
                </c:pt>
                <c:pt idx="103">
                  <c:v>4.240888243114907E-2</c:v>
                </c:pt>
                <c:pt idx="104">
                  <c:v>4.2819167161499215E-2</c:v>
                </c:pt>
                <c:pt idx="105">
                  <c:v>4.322749957637087E-2</c:v>
                </c:pt>
                <c:pt idx="106">
                  <c:v>4.3633819859767352E-2</c:v>
                </c:pt>
                <c:pt idx="107">
                  <c:v>4.403806843632687E-2</c:v>
                </c:pt>
                <c:pt idx="108">
                  <c:v>4.4440185994597051E-2</c:v>
                </c:pt>
                <c:pt idx="109">
                  <c:v>4.4840113510457594E-2</c:v>
                </c:pt>
                <c:pt idx="110">
                  <c:v>4.52377922706887E-2</c:v>
                </c:pt>
                <c:pt idx="111">
                  <c:v>4.5633163896679381E-2</c:v>
                </c:pt>
                <c:pt idx="112">
                  <c:v>4.6026170368273049E-2</c:v>
                </c:pt>
                <c:pt idx="113">
                  <c:v>4.641675404774448E-2</c:v>
                </c:pt>
                <c:pt idx="114">
                  <c:v>4.680485770390494E-2</c:v>
                </c:pt>
                <c:pt idx="115">
                  <c:v>4.7190424536330398E-2</c:v>
                </c:pt>
                <c:pt idx="116">
                  <c:v>4.7573398199708461E-2</c:v>
                </c:pt>
                <c:pt idx="117">
                  <c:v>4.7953722828299211E-2</c:v>
                </c:pt>
                <c:pt idx="118">
                  <c:v>4.833134306050553E-2</c:v>
                </c:pt>
                <c:pt idx="119">
                  <c:v>4.8706204063548003E-2</c:v>
                </c:pt>
                <c:pt idx="120">
                  <c:v>4.9078251558239444E-2</c:v>
                </c:pt>
                <c:pt idx="121">
                  <c:v>4.9447431843854278E-2</c:v>
                </c:pt>
                <c:pt idx="122">
                  <c:v>4.9813691823087924E-2</c:v>
                </c:pt>
                <c:pt idx="123">
                  <c:v>5.0176979027100971E-2</c:v>
                </c:pt>
                <c:pt idx="124">
                  <c:v>5.0537241640643146E-2</c:v>
                </c:pt>
                <c:pt idx="125">
                  <c:v>5.0894428527251963E-2</c:v>
                </c:pt>
                <c:pt idx="126">
                  <c:v>5.1248489254520781E-2</c:v>
                </c:pt>
                <c:pt idx="127">
                  <c:v>5.1599374119431385E-2</c:v>
                </c:pt>
                <c:pt idx="128">
                  <c:v>5.1947034173745146E-2</c:v>
                </c:pt>
                <c:pt idx="129">
                  <c:v>5.2291421249448328E-2</c:v>
                </c:pt>
                <c:pt idx="130">
                  <c:v>5.2632487984245233E-2</c:v>
                </c:pt>
                <c:pt idx="131">
                  <c:v>5.2970187847094674E-2</c:v>
                </c:pt>
                <c:pt idx="132">
                  <c:v>5.3304475163783588E-2</c:v>
                </c:pt>
                <c:pt idx="133">
                  <c:v>5.3635305142533077E-2</c:v>
                </c:pt>
                <c:pt idx="134">
                  <c:v>5.396263389963063E-2</c:v>
                </c:pt>
                <c:pt idx="135">
                  <c:v>5.4286418485083622E-2</c:v>
                </c:pt>
                <c:pt idx="136">
                  <c:v>5.4606616908288191E-2</c:v>
                </c:pt>
                <c:pt idx="137">
                  <c:v>5.4923188163708177E-2</c:v>
                </c:pt>
                <c:pt idx="138">
                  <c:v>5.5236092256558407E-2</c:v>
                </c:pt>
                <c:pt idx="139">
                  <c:v>5.5545290228486768E-2</c:v>
                </c:pt>
                <c:pt idx="140">
                  <c:v>5.5850744183249645E-2</c:v>
                </c:pt>
                <c:pt idx="141">
                  <c:v>5.6152417312374955E-2</c:v>
                </c:pt>
                <c:pt idx="142">
                  <c:v>5.6450273920807176E-2</c:v>
                </c:pt>
                <c:pt idx="143">
                  <c:v>5.6744279452529009E-2</c:v>
                </c:pt>
                <c:pt idx="144">
                  <c:v>5.7034400516154035E-2</c:v>
                </c:pt>
                <c:pt idx="145">
                  <c:v>5.7320604910484602E-2</c:v>
                </c:pt>
                <c:pt idx="146">
                  <c:v>5.7602861650029528E-2</c:v>
                </c:pt>
                <c:pt idx="147">
                  <c:v>5.7881140990476407E-2</c:v>
                </c:pt>
                <c:pt idx="148">
                  <c:v>5.8155414454112327E-2</c:v>
                </c:pt>
                <c:pt idx="149">
                  <c:v>5.8425654855188316E-2</c:v>
                </c:pt>
                <c:pt idx="150">
                  <c:v>5.8691836325221458E-2</c:v>
                </c:pt>
                <c:pt idx="151">
                  <c:v>5.8953934338229569E-2</c:v>
                </c:pt>
                <c:pt idx="152">
                  <c:v>5.9211925735893109E-2</c:v>
                </c:pt>
                <c:pt idx="153">
                  <c:v>5.9465788752638818E-2</c:v>
                </c:pt>
                <c:pt idx="154">
                  <c:v>5.9715503040639842E-2</c:v>
                </c:pt>
                <c:pt idx="155">
                  <c:v>5.9961049694727292E-2</c:v>
                </c:pt>
                <c:pt idx="156">
                  <c:v>6.0202411277207907E-2</c:v>
                </c:pt>
                <c:pt idx="157">
                  <c:v>6.0439571842582709E-2</c:v>
                </c:pt>
                <c:pt idx="158">
                  <c:v>6.0672516962161624E-2</c:v>
                </c:pt>
                <c:pt idx="159">
                  <c:v>6.0901233748569074E-2</c:v>
                </c:pt>
                <c:pt idx="160">
                  <c:v>6.1125710880135749E-2</c:v>
                </c:pt>
                <c:pt idx="161">
                  <c:v>6.1345938625171376E-2</c:v>
                </c:pt>
                <c:pt idx="162">
                  <c:v>6.1561908866114179E-2</c:v>
                </c:pt>
                <c:pt idx="163">
                  <c:v>6.1773615123551791E-2</c:v>
                </c:pt>
                <c:pt idx="164">
                  <c:v>6.1981052580109657E-2</c:v>
                </c:pt>
                <c:pt idx="165">
                  <c:v>6.2184218104201563E-2</c:v>
                </c:pt>
                <c:pt idx="166">
                  <c:v>6.238311027363886E-2</c:v>
                </c:pt>
                <c:pt idx="167">
                  <c:v>6.2577729399093104E-2</c:v>
                </c:pt>
                <c:pt idx="168">
                  <c:v>6.2768077547408485E-2</c:v>
                </c:pt>
                <c:pt idx="169">
                  <c:v>6.2954158564759458E-2</c:v>
                </c:pt>
                <c:pt idx="170">
                  <c:v>6.3135978099649923E-2</c:v>
                </c:pt>
                <c:pt idx="171">
                  <c:v>6.331354362574973E-2</c:v>
                </c:pt>
                <c:pt idx="172">
                  <c:v>6.3486864464564724E-2</c:v>
                </c:pt>
                <c:pt idx="173">
                  <c:v>6.3655951807936553E-2</c:v>
                </c:pt>
                <c:pt idx="174">
                  <c:v>6.3820818740368712E-2</c:v>
                </c:pt>
                <c:pt idx="175">
                  <c:v>6.3981480261175241E-2</c:v>
                </c:pt>
                <c:pt idx="176">
                  <c:v>6.4137953306448642E-2</c:v>
                </c:pt>
                <c:pt idx="177">
                  <c:v>6.4290256770843726E-2</c:v>
                </c:pt>
                <c:pt idx="178">
                  <c:v>6.4438411529174358E-2</c:v>
                </c:pt>
                <c:pt idx="179">
                  <c:v>6.4582440457819745E-2</c:v>
                </c:pt>
                <c:pt idx="180">
                  <c:v>6.472236845593772E-2</c:v>
                </c:pt>
                <c:pt idx="181">
                  <c:v>6.4858222466481805E-2</c:v>
                </c:pt>
                <c:pt idx="182">
                  <c:v>6.4990031497019707E-2</c:v>
                </c:pt>
                <c:pt idx="183">
                  <c:v>6.5117826640350415E-2</c:v>
                </c:pt>
                <c:pt idx="184">
                  <c:v>6.5241641094917729E-2</c:v>
                </c:pt>
                <c:pt idx="185">
                  <c:v>6.5361510185017457E-2</c:v>
                </c:pt>
                <c:pt idx="186">
                  <c:v>6.5477471380796654E-2</c:v>
                </c:pt>
                <c:pt idx="187">
                  <c:v>6.5589564318042387E-2</c:v>
                </c:pt>
                <c:pt idx="188">
                  <c:v>6.5697830817758207E-2</c:v>
                </c:pt>
                <c:pt idx="189">
                  <c:v>6.5802314905526613E-2</c:v>
                </c:pt>
                <c:pt idx="190">
                  <c:v>6.5903062830655681E-2</c:v>
                </c:pt>
                <c:pt idx="191">
                  <c:v>6.6000123085108331E-2</c:v>
                </c:pt>
                <c:pt idx="192">
                  <c:v>6.6093546422212712E-2</c:v>
                </c:pt>
                <c:pt idx="193">
                  <c:v>6.6183385875152601E-2</c:v>
                </c:pt>
                <c:pt idx="194">
                  <c:v>6.6269696775236198E-2</c:v>
                </c:pt>
                <c:pt idx="195">
                  <c:v>6.6352536769942683E-2</c:v>
                </c:pt>
                <c:pt idx="196">
                  <c:v>6.6431965840745302E-2</c:v>
                </c:pt>
                <c:pt idx="197">
                  <c:v>6.6508046320710057E-2</c:v>
                </c:pt>
                <c:pt idx="198">
                  <c:v>6.6580842911869512E-2</c:v>
                </c:pt>
                <c:pt idx="199">
                  <c:v>6.6650422702370829E-2</c:v>
                </c:pt>
                <c:pt idx="200">
                  <c:v>6.6716855183397761E-2</c:v>
                </c:pt>
                <c:pt idx="201">
                  <c:v>6.6780212265865863E-2</c:v>
                </c:pt>
                <c:pt idx="202">
                  <c:v>6.6840568296891112E-2</c:v>
                </c:pt>
                <c:pt idx="203">
                  <c:v>6.6898000076031028E-2</c:v>
                </c:pt>
                <c:pt idx="204">
                  <c:v>6.6952586871298903E-2</c:v>
                </c:pt>
                <c:pt idx="205">
                  <c:v>6.700440732330859E-2</c:v>
                </c:pt>
                <c:pt idx="206">
                  <c:v>6.7053491154692418E-2</c:v>
                </c:pt>
                <c:pt idx="207">
                  <c:v>6.709982730472433E-2</c:v>
                </c:pt>
                <c:pt idx="208">
                  <c:v>6.7143404071454041E-2</c:v>
                </c:pt>
                <c:pt idx="209">
                  <c:v>6.7184210338088107E-2</c:v>
                </c:pt>
                <c:pt idx="210">
                  <c:v>6.722223557793118E-2</c:v>
                </c:pt>
                <c:pt idx="211">
                  <c:v>6.725746985925668E-2</c:v>
                </c:pt>
                <c:pt idx="212">
                  <c:v>6.7289903850106358E-2</c:v>
                </c:pt>
                <c:pt idx="213">
                  <c:v>6.7319528823018338E-2</c:v>
                </c:pt>
                <c:pt idx="214">
                  <c:v>6.7346336659682648E-2</c:v>
                </c:pt>
                <c:pt idx="215">
                  <c:v>6.7370319855524483E-2</c:v>
                </c:pt>
                <c:pt idx="216">
                  <c:v>6.7391471524213847E-2</c:v>
                </c:pt>
                <c:pt idx="217">
                  <c:v>6.7409785402101796E-2</c:v>
                </c:pt>
                <c:pt idx="218">
                  <c:v>6.7425255852582369E-2</c:v>
                </c:pt>
                <c:pt idx="219">
                  <c:v>6.7437877870380247E-2</c:v>
                </c:pt>
                <c:pt idx="220">
                  <c:v>6.7447647085763063E-2</c:v>
                </c:pt>
                <c:pt idx="221">
                  <c:v>6.7454559768678743E-2</c:v>
                </c:pt>
                <c:pt idx="222">
                  <c:v>6.7458612832817053E-2</c:v>
                </c:pt>
                <c:pt idx="223">
                  <c:v>6.7459803839594878E-2</c:v>
                </c:pt>
                <c:pt idx="224">
                  <c:v>6.7458131002065519E-2</c:v>
                </c:pt>
                <c:pt idx="225">
                  <c:v>6.7453593188750965E-2</c:v>
                </c:pt>
                <c:pt idx="226">
                  <c:v>6.7446189927397537E-2</c:v>
                </c:pt>
                <c:pt idx="227">
                  <c:v>6.7435921408654204E-2</c:v>
                </c:pt>
                <c:pt idx="228">
                  <c:v>6.7422788489673313E-2</c:v>
                </c:pt>
                <c:pt idx="229">
                  <c:v>6.7406792697634055E-2</c:v>
                </c:pt>
                <c:pt idx="230">
                  <c:v>6.7387936233187673E-2</c:v>
                </c:pt>
                <c:pt idx="231">
                  <c:v>6.7366221973824997E-2</c:v>
                </c:pt>
                <c:pt idx="232">
                  <c:v>6.73416534771656E-2</c:v>
                </c:pt>
                <c:pt idx="233">
                  <c:v>6.7314234984168664E-2</c:v>
                </c:pt>
                <c:pt idx="234">
                  <c:v>6.7283971422265582E-2</c:v>
                </c:pt>
                <c:pt idx="235">
                  <c:v>6.7250868408413891E-2</c:v>
                </c:pt>
                <c:pt idx="236">
                  <c:v>6.721493225207259E-2</c:v>
                </c:pt>
                <c:pt idx="237">
                  <c:v>6.717616995809908E-2</c:v>
                </c:pt>
                <c:pt idx="238">
                  <c:v>6.7134589229567096E-2</c:v>
                </c:pt>
                <c:pt idx="239">
                  <c:v>6.7090198470506027E-2</c:v>
                </c:pt>
                <c:pt idx="240">
                  <c:v>6.7043006788561732E-2</c:v>
                </c:pt>
                <c:pt idx="241">
                  <c:v>6.6993023997578491E-2</c:v>
                </c:pt>
                <c:pt idx="242">
                  <c:v>6.6940260620102318E-2</c:v>
                </c:pt>
                <c:pt idx="243">
                  <c:v>6.6884727889805845E-2</c:v>
                </c:pt>
                <c:pt idx="244">
                  <c:v>6.6826437753834469E-2</c:v>
                </c:pt>
                <c:pt idx="245">
                  <c:v>6.6765402875074362E-2</c:v>
                </c:pt>
                <c:pt idx="246">
                  <c:v>6.6701636634341907E-2</c:v>
                </c:pt>
                <c:pt idx="247">
                  <c:v>6.663515313249524E-2</c:v>
                </c:pt>
                <c:pt idx="248">
                  <c:v>6.656596719246749E-2</c:v>
                </c:pt>
                <c:pt idx="249">
                  <c:v>6.6494094361222431E-2</c:v>
                </c:pt>
                <c:pt idx="250">
                  <c:v>6.641955091163218E-2</c:v>
                </c:pt>
                <c:pt idx="251">
                  <c:v>6.6342353844277738E-2</c:v>
                </c:pt>
                <c:pt idx="252">
                  <c:v>6.626252088917195E-2</c:v>
                </c:pt>
                <c:pt idx="253">
                  <c:v>6.6180070507405681E-2</c:v>
                </c:pt>
                <c:pt idx="254">
                  <c:v>6.6095021892717029E-2</c:v>
                </c:pt>
                <c:pt idx="255">
                  <c:v>6.6007394972984176E-2</c:v>
                </c:pt>
                <c:pt idx="256">
                  <c:v>6.5917210411641905E-2</c:v>
                </c:pt>
                <c:pt idx="257">
                  <c:v>6.5824489609022194E-2</c:v>
                </c:pt>
                <c:pt idx="258">
                  <c:v>6.5729254703619275E-2</c:v>
                </c:pt>
                <c:pt idx="259">
                  <c:v>6.5631528573279252E-2</c:v>
                </c:pt>
                <c:pt idx="260">
                  <c:v>6.5531334836314986E-2</c:v>
                </c:pt>
                <c:pt idx="261">
                  <c:v>6.5428697852546111E-2</c:v>
                </c:pt>
                <c:pt idx="262">
                  <c:v>6.5323642724265107E-2</c:v>
                </c:pt>
                <c:pt idx="263">
                  <c:v>6.521619529712952E-2</c:v>
                </c:pt>
                <c:pt idx="264">
                  <c:v>6.5106382160980567E-2</c:v>
                </c:pt>
                <c:pt idx="265">
                  <c:v>6.4994230650589083E-2</c:v>
                </c:pt>
                <c:pt idx="266">
                  <c:v>6.487976884632865E-2</c:v>
                </c:pt>
                <c:pt idx="267">
                  <c:v>6.4763025574776867E-2</c:v>
                </c:pt>
                <c:pt idx="268">
                  <c:v>6.4644030409244796E-2</c:v>
                </c:pt>
                <c:pt idx="269">
                  <c:v>6.4522813670235477E-2</c:v>
                </c:pt>
                <c:pt idx="270">
                  <c:v>6.4399406425831696E-2</c:v>
                </c:pt>
                <c:pt idx="271">
                  <c:v>6.4273840492013679E-2</c:v>
                </c:pt>
                <c:pt idx="272">
                  <c:v>6.4146148432907155E-2</c:v>
                </c:pt>
                <c:pt idx="273">
                  <c:v>6.4016363560962616E-2</c:v>
                </c:pt>
                <c:pt idx="274">
                  <c:v>6.388451993706569E-2</c:v>
                </c:pt>
                <c:pt idx="275">
                  <c:v>6.3750652370580058E-2</c:v>
                </c:pt>
                <c:pt idx="276">
                  <c:v>6.3614796419322717E-2</c:v>
                </c:pt>
                <c:pt idx="277">
                  <c:v>6.3476988389472883E-2</c:v>
                </c:pt>
                <c:pt idx="278">
                  <c:v>6.3337265335414367E-2</c:v>
                </c:pt>
                <c:pt idx="279">
                  <c:v>6.3195665059513143E-2</c:v>
                </c:pt>
                <c:pt idx="280">
                  <c:v>6.3052226111829479E-2</c:v>
                </c:pt>
                <c:pt idx="281">
                  <c:v>6.2906987789766389E-2</c:v>
                </c:pt>
                <c:pt idx="282">
                  <c:v>6.2759990137654487E-2</c:v>
                </c:pt>
                <c:pt idx="283">
                  <c:v>6.2611273946274137E-2</c:v>
                </c:pt>
                <c:pt idx="284">
                  <c:v>6.2460880752315651E-2</c:v>
                </c:pt>
                <c:pt idx="285">
                  <c:v>6.2308852837778005E-2</c:v>
                </c:pt>
                <c:pt idx="286">
                  <c:v>6.2155233229307265E-2</c:v>
                </c:pt>
                <c:pt idx="287">
                  <c:v>6.2000065697474953E-2</c:v>
                </c:pt>
                <c:pt idx="288">
                  <c:v>6.1843394755997712E-2</c:v>
                </c:pt>
                <c:pt idx="289">
                  <c:v>6.1685265660898478E-2</c:v>
                </c:pt>
                <c:pt idx="290">
                  <c:v>6.1525724409610447E-2</c:v>
                </c:pt>
                <c:pt idx="291">
                  <c:v>6.1364817740024245E-2</c:v>
                </c:pt>
                <c:pt idx="292">
                  <c:v>6.120257719273936E-2</c:v>
                </c:pt>
                <c:pt idx="293">
                  <c:v>6.1038995869283089E-2</c:v>
                </c:pt>
                <c:pt idx="294">
                  <c:v>6.0874071355240041E-2</c:v>
                </c:pt>
                <c:pt idx="295">
                  <c:v>6.0707801500612849E-2</c:v>
                </c:pt>
                <c:pt idx="296">
                  <c:v>6.054018422392049E-2</c:v>
                </c:pt>
                <c:pt idx="297">
                  <c:v>6.037121751247021E-2</c:v>
                </c:pt>
                <c:pt idx="298">
                  <c:v>6.0200899422623924E-2</c:v>
                </c:pt>
                <c:pt idx="299">
                  <c:v>6.0029228080059033E-2</c:v>
                </c:pt>
                <c:pt idx="300">
                  <c:v>5.9856201680023889E-2</c:v>
                </c:pt>
                <c:pt idx="301">
                  <c:v>5.9681818487587482E-2</c:v>
                </c:pt>
                <c:pt idx="302">
                  <c:v>5.9506076837883892E-2</c:v>
                </c:pt>
                <c:pt idx="303">
                  <c:v>5.9328975136350812E-2</c:v>
                </c:pt>
                <c:pt idx="304">
                  <c:v>5.9150511858962723E-2</c:v>
                </c:pt>
                <c:pt idx="305">
                  <c:v>5.8970685552458435E-2</c:v>
                </c:pt>
                <c:pt idx="306">
                  <c:v>5.8789494834562833E-2</c:v>
                </c:pt>
                <c:pt idx="307">
                  <c:v>5.8606938394203098E-2</c:v>
                </c:pt>
                <c:pt idx="308">
                  <c:v>5.8423014991719355E-2</c:v>
                </c:pt>
                <c:pt idx="309">
                  <c:v>5.8237723459069343E-2</c:v>
                </c:pt>
                <c:pt idx="310">
                  <c:v>5.8051062700027724E-2</c:v>
                </c:pt>
                <c:pt idx="311">
                  <c:v>5.7863031690379388E-2</c:v>
                </c:pt>
                <c:pt idx="312">
                  <c:v>5.7673629478107294E-2</c:v>
                </c:pt>
                <c:pt idx="313">
                  <c:v>5.7482855183574301E-2</c:v>
                </c:pt>
                <c:pt idx="314">
                  <c:v>5.7290707999699431E-2</c:v>
                </c:pt>
                <c:pt idx="315">
                  <c:v>5.7097187192128307E-2</c:v>
                </c:pt>
                <c:pt idx="316">
                  <c:v>5.6902292099397789E-2</c:v>
                </c:pt>
                <c:pt idx="317">
                  <c:v>5.6706022133094801E-2</c:v>
                </c:pt>
                <c:pt idx="318">
                  <c:v>5.6508376778009309E-2</c:v>
                </c:pt>
                <c:pt idx="319">
                  <c:v>5.6309355592281708E-2</c:v>
                </c:pt>
                <c:pt idx="320">
                  <c:v>5.6108958207543955E-2</c:v>
                </c:pt>
                <c:pt idx="321">
                  <c:v>5.5907184329055379E-2</c:v>
                </c:pt>
                <c:pt idx="322">
                  <c:v>5.5704033735832083E-2</c:v>
                </c:pt>
                <c:pt idx="323">
                  <c:v>5.549950628077098E-2</c:v>
                </c:pt>
                <c:pt idx="324">
                  <c:v>5.5293601890767652E-2</c:v>
                </c:pt>
                <c:pt idx="325">
                  <c:v>5.5086320566828356E-2</c:v>
                </c:pt>
                <c:pt idx="326">
                  <c:v>5.4877662384176365E-2</c:v>
                </c:pt>
                <c:pt idx="327">
                  <c:v>5.4667627492352031E-2</c:v>
                </c:pt>
                <c:pt idx="328">
                  <c:v>5.4456216115307404E-2</c:v>
                </c:pt>
                <c:pt idx="329">
                  <c:v>5.4243428551494451E-2</c:v>
                </c:pt>
                <c:pt idx="330">
                  <c:v>5.4029265173947807E-2</c:v>
                </c:pt>
                <c:pt idx="331">
                  <c:v>5.3813726430361294E-2</c:v>
                </c:pt>
                <c:pt idx="332">
                  <c:v>5.3596812843158634E-2</c:v>
                </c:pt>
                <c:pt idx="333">
                  <c:v>5.3378525009558309E-2</c:v>
                </c:pt>
                <c:pt idx="334">
                  <c:v>5.3158863601632259E-2</c:v>
                </c:pt>
                <c:pt idx="335">
                  <c:v>5.2937829366358886E-2</c:v>
                </c:pt>
                <c:pt idx="336">
                  <c:v>5.2715423125669986E-2</c:v>
                </c:pt>
                <c:pt idx="337">
                  <c:v>5.2491645776491756E-2</c:v>
                </c:pt>
                <c:pt idx="338">
                  <c:v>5.226649829077986E-2</c:v>
                </c:pt>
                <c:pt idx="339">
                  <c:v>5.2039981715548564E-2</c:v>
                </c:pt>
                <c:pt idx="340">
                  <c:v>5.1812097172893902E-2</c:v>
                </c:pt>
                <c:pt idx="341">
                  <c:v>5.1582845860010926E-2</c:v>
                </c:pt>
                <c:pt idx="342">
                  <c:v>5.1352229049204889E-2</c:v>
                </c:pt>
                <c:pt idx="343">
                  <c:v>5.1120248087896773E-2</c:v>
                </c:pt>
                <c:pt idx="344">
                  <c:v>5.0886904398622458E-2</c:v>
                </c:pt>
                <c:pt idx="345">
                  <c:v>5.0652199479026307E-2</c:v>
                </c:pt>
                <c:pt idx="346">
                  <c:v>5.0416134901848639E-2</c:v>
                </c:pt>
                <c:pt idx="347">
                  <c:v>5.0178712314907177E-2</c:v>
                </c:pt>
                <c:pt idx="348">
                  <c:v>4.9939933441072872E-2</c:v>
                </c:pt>
                <c:pt idx="349">
                  <c:v>4.969980007823941E-2</c:v>
                </c:pt>
                <c:pt idx="350">
                  <c:v>4.945831409928713E-2</c:v>
                </c:pt>
                <c:pt idx="351">
                  <c:v>4.9215477452040683E-2</c:v>
                </c:pt>
                <c:pt idx="352">
                  <c:v>4.8971292159221122E-2</c:v>
                </c:pt>
                <c:pt idx="353">
                  <c:v>4.8725760318391841E-2</c:v>
                </c:pt>
                <c:pt idx="354">
                  <c:v>4.8478884101898621E-2</c:v>
                </c:pt>
                <c:pt idx="355">
                  <c:v>4.8230665756804E-2</c:v>
                </c:pt>
                <c:pt idx="356">
                  <c:v>4.7981107604815332E-2</c:v>
                </c:pt>
                <c:pt idx="357">
                  <c:v>4.7730212042207468E-2</c:v>
                </c:pt>
                <c:pt idx="358">
                  <c:v>4.7477981539739117E-2</c:v>
                </c:pt>
                <c:pt idx="359">
                  <c:v>4.7224418642563673E-2</c:v>
                </c:pt>
                <c:pt idx="360">
                  <c:v>4.6969525970133881E-2</c:v>
                </c:pt>
                <c:pt idx="361">
                  <c:v>4.6713306216100987E-2</c:v>
                </c:pt>
                <c:pt idx="362">
                  <c:v>4.6455762148207722E-2</c:v>
                </c:pt>
                <c:pt idx="363">
                  <c:v>4.6196896608175692E-2</c:v>
                </c:pt>
                <c:pt idx="364">
                  <c:v>4.5936712511586916E-2</c:v>
                </c:pt>
                <c:pt idx="365">
                  <c:v>4.5675212847759376E-2</c:v>
                </c:pt>
                <c:pt idx="366">
                  <c:v>4.5412400679617049E-2</c:v>
                </c:pt>
                <c:pt idx="367">
                  <c:v>4.5148279143553967E-2</c:v>
                </c:pt>
                <c:pt idx="368">
                  <c:v>4.4882851449292584E-2</c:v>
                </c:pt>
                <c:pt idx="369">
                  <c:v>4.4616120879736314E-2</c:v>
                </c:pt>
                <c:pt idx="370">
                  <c:v>4.4348090790816599E-2</c:v>
                </c:pt>
                <c:pt idx="371">
                  <c:v>4.407876461133374E-2</c:v>
                </c:pt>
                <c:pt idx="372">
                  <c:v>4.3808145842792606E-2</c:v>
                </c:pt>
                <c:pt idx="373">
                  <c:v>4.3536238059232221E-2</c:v>
                </c:pt>
                <c:pt idx="374">
                  <c:v>4.3263044907049845E-2</c:v>
                </c:pt>
                <c:pt idx="375">
                  <c:v>4.2988570104819497E-2</c:v>
                </c:pt>
                <c:pt idx="376">
                  <c:v>4.2712817443104498E-2</c:v>
                </c:pt>
                <c:pt idx="377">
                  <c:v>4.2435790784264876E-2</c:v>
                </c:pt>
                <c:pt idx="378">
                  <c:v>4.2157494062258646E-2</c:v>
                </c:pt>
                <c:pt idx="379">
                  <c:v>4.1877931282437955E-2</c:v>
                </c:pt>
                <c:pt idx="380">
                  <c:v>4.1597106521339342E-2</c:v>
                </c:pt>
                <c:pt idx="381">
                  <c:v>4.1315023926468616E-2</c:v>
                </c:pt>
                <c:pt idx="382">
                  <c:v>4.1031687716080102E-2</c:v>
                </c:pt>
                <c:pt idx="383">
                  <c:v>4.0747102178950514E-2</c:v>
                </c:pt>
                <c:pt idx="384">
                  <c:v>4.0461271674147183E-2</c:v>
                </c:pt>
                <c:pt idx="385">
                  <c:v>4.0174200630790954E-2</c:v>
                </c:pt>
                <c:pt idx="386">
                  <c:v>3.9885893547813536E-2</c:v>
                </c:pt>
                <c:pt idx="387">
                  <c:v>3.9596354993709469E-2</c:v>
                </c:pt>
                <c:pt idx="388">
                  <c:v>3.9305589606282713E-2</c:v>
                </c:pt>
                <c:pt idx="389">
                  <c:v>3.901360209238787E-2</c:v>
                </c:pt>
                <c:pt idx="390">
                  <c:v>3.8720397227666029E-2</c:v>
                </c:pt>
                <c:pt idx="391">
                  <c:v>3.8425979856275161E-2</c:v>
                </c:pt>
                <c:pt idx="392">
                  <c:v>3.8130354890615517E-2</c:v>
                </c:pt>
                <c:pt idx="393">
                  <c:v>3.7833527311049442E-2</c:v>
                </c:pt>
                <c:pt idx="394">
                  <c:v>3.7535502165616096E-2</c:v>
                </c:pt>
                <c:pt idx="395">
                  <c:v>3.723628456974086E-2</c:v>
                </c:pt>
                <c:pt idx="396">
                  <c:v>3.6935879705939714E-2</c:v>
                </c:pt>
                <c:pt idx="397">
                  <c:v>3.6634292823518211E-2</c:v>
                </c:pt>
                <c:pt idx="398">
                  <c:v>3.6331529238265395E-2</c:v>
                </c:pt>
                <c:pt idx="399">
                  <c:v>3.6027594332142754E-2</c:v>
                </c:pt>
                <c:pt idx="400">
                  <c:v>3.572249355296777E-2</c:v>
                </c:pt>
                <c:pt idx="401">
                  <c:v>3.5416232414092801E-2</c:v>
                </c:pt>
                <c:pt idx="402">
                  <c:v>3.5108816494078474E-2</c:v>
                </c:pt>
                <c:pt idx="403">
                  <c:v>3.480025143636252E-2</c:v>
                </c:pt>
                <c:pt idx="404">
                  <c:v>3.4490542948923258E-2</c:v>
                </c:pt>
                <c:pt idx="405">
                  <c:v>3.4179696803938515E-2</c:v>
                </c:pt>
                <c:pt idx="406">
                  <c:v>3.3867718837439213E-2</c:v>
                </c:pt>
                <c:pt idx="407">
                  <c:v>3.3554614948958429E-2</c:v>
                </c:pt>
                <c:pt idx="408">
                  <c:v>3.3240391101175486E-2</c:v>
                </c:pt>
                <c:pt idx="409">
                  <c:v>3.2925053319555038E-2</c:v>
                </c:pt>
                <c:pt idx="410">
                  <c:v>3.2608607691981741E-2</c:v>
                </c:pt>
                <c:pt idx="411">
                  <c:v>3.2291060368389829E-2</c:v>
                </c:pt>
                <c:pt idx="412">
                  <c:v>3.1972417560388211E-2</c:v>
                </c:pt>
                <c:pt idx="413">
                  <c:v>3.165268554088066E-2</c:v>
                </c:pt>
                <c:pt idx="414">
                  <c:v>3.1331870643681647E-2</c:v>
                </c:pt>
                <c:pt idx="415">
                  <c:v>3.1009979263127131E-2</c:v>
                </c:pt>
                <c:pt idx="416">
                  <c:v>3.0687017853681293E-2</c:v>
                </c:pt>
                <c:pt idx="417">
                  <c:v>3.0362992929538268E-2</c:v>
                </c:pt>
                <c:pt idx="418">
                  <c:v>3.0037911064219578E-2</c:v>
                </c:pt>
                <c:pt idx="419">
                  <c:v>2.9711778890167087E-2</c:v>
                </c:pt>
                <c:pt idx="420">
                  <c:v>2.9384603098331401E-2</c:v>
                </c:pt>
                <c:pt idx="421">
                  <c:v>2.9056390437756097E-2</c:v>
                </c:pt>
                <c:pt idx="422">
                  <c:v>2.8727147715157237E-2</c:v>
                </c:pt>
                <c:pt idx="423">
                  <c:v>2.839688179449892E-2</c:v>
                </c:pt>
                <c:pt idx="424">
                  <c:v>2.8065599596564191E-2</c:v>
                </c:pt>
                <c:pt idx="425">
                  <c:v>2.7733308098522098E-2</c:v>
                </c:pt>
                <c:pt idx="426">
                  <c:v>2.7400014333490048E-2</c:v>
                </c:pt>
                <c:pt idx="427">
                  <c:v>2.7065725390092474E-2</c:v>
                </c:pt>
                <c:pt idx="428">
                  <c:v>2.6730448412015054E-2</c:v>
                </c:pt>
                <c:pt idx="429">
                  <c:v>2.6394190597554802E-2</c:v>
                </c:pt>
                <c:pt idx="430">
                  <c:v>2.6056959199166434E-2</c:v>
                </c:pt>
                <c:pt idx="431">
                  <c:v>2.5718761523004223E-2</c:v>
                </c:pt>
                <c:pt idx="432">
                  <c:v>2.5379604928460486E-2</c:v>
                </c:pt>
                <c:pt idx="433">
                  <c:v>2.5039496827699417E-2</c:v>
                </c:pt>
                <c:pt idx="434">
                  <c:v>2.4698444685187698E-2</c:v>
                </c:pt>
                <c:pt idx="435">
                  <c:v>2.4356456017220769E-2</c:v>
                </c:pt>
                <c:pt idx="436">
                  <c:v>2.4013538391445603E-2</c:v>
                </c:pt>
                <c:pt idx="437">
                  <c:v>2.3669699426379417E-2</c:v>
                </c:pt>
                <c:pt idx="438">
                  <c:v>2.332494679092504E-2</c:v>
                </c:pt>
                <c:pt idx="439">
                  <c:v>2.2979288203882193E-2</c:v>
                </c:pt>
                <c:pt idx="440">
                  <c:v>2.2632731433455296E-2</c:v>
                </c:pt>
                <c:pt idx="441">
                  <c:v>2.2285284296757798E-2</c:v>
                </c:pt>
                <c:pt idx="442">
                  <c:v>2.1936954659312738E-2</c:v>
                </c:pt>
                <c:pt idx="443">
                  <c:v>2.1587750434549961E-2</c:v>
                </c:pt>
                <c:pt idx="444">
                  <c:v>2.1237679583299651E-2</c:v>
                </c:pt>
                <c:pt idx="445">
                  <c:v>2.0886750113282823E-2</c:v>
                </c:pt>
                <c:pt idx="446">
                  <c:v>2.0534970078597857E-2</c:v>
                </c:pt>
                <c:pt idx="447">
                  <c:v>2.0182347579204382E-2</c:v>
                </c:pt>
                <c:pt idx="448">
                  <c:v>1.9828890760403256E-2</c:v>
                </c:pt>
                <c:pt idx="449">
                  <c:v>1.9474607812313666E-2</c:v>
                </c:pt>
                <c:pt idx="450">
                  <c:v>1.9119506969346986E-2</c:v>
                </c:pt>
                <c:pt idx="451">
                  <c:v>1.8763596509677273E-2</c:v>
                </c:pt>
                <c:pt idx="452">
                  <c:v>1.840688475470894E-2</c:v>
                </c:pt>
                <c:pt idx="453">
                  <c:v>1.8049380068541194E-2</c:v>
                </c:pt>
                <c:pt idx="454">
                  <c:v>1.7691090857429516E-2</c:v>
                </c:pt>
                <c:pt idx="455">
                  <c:v>1.7332025569244049E-2</c:v>
                </c:pt>
                <c:pt idx="456">
                  <c:v>1.6972192692925384E-2</c:v>
                </c:pt>
                <c:pt idx="457">
                  <c:v>1.6611600757937064E-2</c:v>
                </c:pt>
                <c:pt idx="458">
                  <c:v>1.6250258333715659E-2</c:v>
                </c:pt>
                <c:pt idx="459">
                  <c:v>1.5888174029117675E-2</c:v>
                </c:pt>
                <c:pt idx="460">
                  <c:v>1.55253564918641E-2</c:v>
                </c:pt>
                <c:pt idx="461">
                  <c:v>1.5161814407982069E-2</c:v>
                </c:pt>
                <c:pt idx="462">
                  <c:v>1.4797556501243776E-2</c:v>
                </c:pt>
                <c:pt idx="463">
                  <c:v>1.4432591532603293E-2</c:v>
                </c:pt>
                <c:pt idx="464">
                  <c:v>1.4066928299630126E-2</c:v>
                </c:pt>
                <c:pt idx="465">
                  <c:v>1.3700575635941008E-2</c:v>
                </c:pt>
                <c:pt idx="466">
                  <c:v>1.3333542410628714E-2</c:v>
                </c:pt>
                <c:pt idx="467">
                  <c:v>1.2965837527688911E-2</c:v>
                </c:pt>
                <c:pt idx="468">
                  <c:v>1.2597469925444194E-2</c:v>
                </c:pt>
                <c:pt idx="469">
                  <c:v>1.2228448575966449E-2</c:v>
                </c:pt>
                <c:pt idx="470">
                  <c:v>1.1858782484496334E-2</c:v>
                </c:pt>
                <c:pt idx="471">
                  <c:v>1.1488480688861097E-2</c:v>
                </c:pt>
                <c:pt idx="472">
                  <c:v>1.1117552258889938E-2</c:v>
                </c:pt>
                <c:pt idx="473">
                  <c:v>1.0746006295827415E-2</c:v>
                </c:pt>
                <c:pt idx="474">
                  <c:v>1.0373851931744836E-2</c:v>
                </c:pt>
                <c:pt idx="475">
                  <c:v>1.000109832894951E-2</c:v>
                </c:pt>
                <c:pt idx="476">
                  <c:v>9.6277546793923537E-3</c:v>
                </c:pt>
                <c:pt idx="477">
                  <c:v>9.2538302040732542E-3</c:v>
                </c:pt>
                <c:pt idx="478">
                  <c:v>8.8793341524449707E-3</c:v>
                </c:pt>
                <c:pt idx="479">
                  <c:v>8.5042758018149291E-3</c:v>
                </c:pt>
                <c:pt idx="480">
                  <c:v>8.1286644567455761E-3</c:v>
                </c:pt>
                <c:pt idx="481">
                  <c:v>7.7525094484527666E-3</c:v>
                </c:pt>
                <c:pt idx="482">
                  <c:v>7.3758201342028476E-3</c:v>
                </c:pt>
                <c:pt idx="483">
                  <c:v>6.9986058967078796E-3</c:v>
                </c:pt>
                <c:pt idx="484">
                  <c:v>6.6208761435195638E-3</c:v>
                </c:pt>
                <c:pt idx="485">
                  <c:v>6.242640306421526E-3</c:v>
                </c:pt>
                <c:pt idx="486">
                  <c:v>5.8639078408202518E-3</c:v>
                </c:pt>
                <c:pt idx="487">
                  <c:v>5.4846882251347838E-3</c:v>
                </c:pt>
                <c:pt idx="488">
                  <c:v>5.104990960184826E-3</c:v>
                </c:pt>
                <c:pt idx="489">
                  <c:v>4.7248255685779835E-3</c:v>
                </c:pt>
                <c:pt idx="490">
                  <c:v>4.3442015940953309E-3</c:v>
                </c:pt>
                <c:pt idx="491">
                  <c:v>3.963128601076225E-3</c:v>
                </c:pt>
                <c:pt idx="492">
                  <c:v>3.5816161738018767E-3</c:v>
                </c:pt>
                <c:pt idx="493">
                  <c:v>3.199673915877695E-3</c:v>
                </c:pt>
                <c:pt idx="494">
                  <c:v>2.8173114496150807E-3</c:v>
                </c:pt>
                <c:pt idx="495">
                  <c:v>2.4345384154116781E-3</c:v>
                </c:pt>
                <c:pt idx="496">
                  <c:v>2.0513644711313782E-3</c:v>
                </c:pt>
                <c:pt idx="497">
                  <c:v>1.6677992914829064E-3</c:v>
                </c:pt>
                <c:pt idx="498">
                  <c:v>1.283852567398109E-3</c:v>
                </c:pt>
                <c:pt idx="499">
                  <c:v>8.9953400540914786E-4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CD-4352-B20A-242E1F7D3F0D}"/>
            </c:ext>
          </c:extLst>
        </c:ser>
        <c:ser>
          <c:idx val="1"/>
          <c:order val="1"/>
          <c:tx>
            <c:v>Lower Camber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Data4!$I$1:$I$500</c:f>
              <c:numCache>
                <c:formatCode>0.00000</c:formatCode>
                <c:ptCount val="500"/>
                <c:pt idx="0">
                  <c:v>0</c:v>
                </c:pt>
                <c:pt idx="1">
                  <c:v>7.7751492365514619E-5</c:v>
                </c:pt>
                <c:pt idx="2">
                  <c:v>1.6540520712485411E-4</c:v>
                </c:pt>
                <c:pt idx="3">
                  <c:v>2.6294846986312301E-4</c:v>
                </c:pt>
                <c:pt idx="4">
                  <c:v>3.7036838452674897E-4</c:v>
                </c:pt>
                <c:pt idx="5">
                  <c:v>4.8765183515975442E-4</c:v>
                </c:pt>
                <c:pt idx="6">
                  <c:v>6.1478548779230434E-4</c:v>
                </c:pt>
                <c:pt idx="7">
                  <c:v>7.5175579247287725E-4</c:v>
                </c:pt>
                <c:pt idx="8">
                  <c:v>8.9854898544733549E-4</c:v>
                </c:pt>
                <c:pt idx="9">
                  <c:v>1.0551510914847044E-3</c:v>
                </c:pt>
                <c:pt idx="10">
                  <c:v>1.2215479263483499E-3</c:v>
                </c:pt>
                <c:pt idx="11">
                  <c:v>1.3977250994129872E-3</c:v>
                </c:pt>
                <c:pt idx="12">
                  <c:v>1.5836680164259672E-3</c:v>
                </c:pt>
                <c:pt idx="13">
                  <c:v>1.7793618824128296E-3</c:v>
                </c:pt>
                <c:pt idx="14">
                  <c:v>1.9847917047268499E-3</c:v>
                </c:pt>
                <c:pt idx="15">
                  <c:v>2.1999422962407996E-3</c:v>
                </c:pt>
                <c:pt idx="16">
                  <c:v>2.4247982786793926E-3</c:v>
                </c:pt>
                <c:pt idx="17">
                  <c:v>2.6593440860944867E-3</c:v>
                </c:pt>
                <c:pt idx="18">
                  <c:v>2.9035639684770916E-3</c:v>
                </c:pt>
                <c:pt idx="19">
                  <c:v>3.1574419955099874E-3</c:v>
                </c:pt>
                <c:pt idx="20">
                  <c:v>3.4209620604548031E-3</c:v>
                </c:pt>
                <c:pt idx="21">
                  <c:v>3.6941078841763487E-3</c:v>
                </c:pt>
                <c:pt idx="22">
                  <c:v>3.9768630192996753E-3</c:v>
                </c:pt>
                <c:pt idx="23">
                  <c:v>4.2692108544997599E-3</c:v>
                </c:pt>
                <c:pt idx="24">
                  <c:v>4.5711346189208652E-3</c:v>
                </c:pt>
                <c:pt idx="25">
                  <c:v>4.8826173867256234E-3</c:v>
                </c:pt>
                <c:pt idx="26">
                  <c:v>5.2036420817690096E-3</c:v>
                </c:pt>
                <c:pt idx="27">
                  <c:v>5.5341914823988604E-3</c:v>
                </c:pt>
                <c:pt idx="28">
                  <c:v>5.874248226376973E-3</c:v>
                </c:pt>
                <c:pt idx="29">
                  <c:v>6.2237948159212294E-3</c:v>
                </c:pt>
                <c:pt idx="30">
                  <c:v>6.5828136228659479E-3</c:v>
                </c:pt>
                <c:pt idx="31">
                  <c:v>6.9512868939357285E-3</c:v>
                </c:pt>
                <c:pt idx="32">
                  <c:v>7.3291967561347603E-3</c:v>
                </c:pt>
                <c:pt idx="33">
                  <c:v>7.7165252222444591E-3</c:v>
                </c:pt>
                <c:pt idx="34">
                  <c:v>8.1132541964289047E-3</c:v>
                </c:pt>
                <c:pt idx="35">
                  <c:v>8.5193654799452703E-3</c:v>
                </c:pt>
                <c:pt idx="36">
                  <c:v>8.9348407769563251E-3</c:v>
                </c:pt>
                <c:pt idx="37">
                  <c:v>9.3596617004409379E-3</c:v>
                </c:pt>
                <c:pt idx="38">
                  <c:v>9.7938097782005878E-3</c:v>
                </c:pt>
                <c:pt idx="39">
                  <c:v>1.0237266458958691E-2</c:v>
                </c:pt>
                <c:pt idx="40">
                  <c:v>1.0690013118548803E-2</c:v>
                </c:pt>
                <c:pt idx="41">
                  <c:v>1.1152031066189023E-2</c:v>
                </c:pt>
                <c:pt idx="42">
                  <c:v>1.1623301550838386E-2</c:v>
                </c:pt>
                <c:pt idx="43">
                  <c:v>1.2103805767632449E-2</c:v>
                </c:pt>
                <c:pt idx="44">
                  <c:v>1.2593524864394525E-2</c:v>
                </c:pt>
                <c:pt idx="45">
                  <c:v>1.3092439948218045E-2</c:v>
                </c:pt>
                <c:pt idx="46">
                  <c:v>1.3600532092117082E-2</c:v>
                </c:pt>
                <c:pt idx="47">
                  <c:v>1.4117782341740258E-2</c:v>
                </c:pt>
                <c:pt idx="48">
                  <c:v>1.4644171722146038E-2</c:v>
                </c:pt>
                <c:pt idx="49">
                  <c:v>1.5179681244632329E-2</c:v>
                </c:pt>
                <c:pt idx="50">
                  <c:v>1.5724291913619581E-2</c:v>
                </c:pt>
                <c:pt idx="51">
                  <c:v>1.6277984733580646E-2</c:v>
                </c:pt>
                <c:pt idx="52">
                  <c:v>1.6840740716014914E-2</c:v>
                </c:pt>
                <c:pt idx="53">
                  <c:v>1.7412540886461301E-2</c:v>
                </c:pt>
                <c:pt idx="54">
                  <c:v>1.7993366291545645E-2</c:v>
                </c:pt>
                <c:pt idx="55">
                  <c:v>1.8583198006060054E-2</c:v>
                </c:pt>
                <c:pt idx="56">
                  <c:v>1.9182017140066253E-2</c:v>
                </c:pt>
                <c:pt idx="57">
                  <c:v>1.9789804846021924E-2</c:v>
                </c:pt>
                <c:pt idx="58">
                  <c:v>2.0406542325922563E-2</c:v>
                </c:pt>
                <c:pt idx="59">
                  <c:v>2.1032210838456029E-2</c:v>
                </c:pt>
                <c:pt idx="60">
                  <c:v>2.1666791706164402E-2</c:v>
                </c:pt>
                <c:pt idx="61">
                  <c:v>2.2310266322607592E-2</c:v>
                </c:pt>
                <c:pt idx="62">
                  <c:v>2.2962616159525481E-2</c:v>
                </c:pt>
                <c:pt idx="63">
                  <c:v>2.3623822773992158E-2</c:v>
                </c:pt>
                <c:pt idx="64">
                  <c:v>2.429386781555759E-2</c:v>
                </c:pt>
                <c:pt idx="65">
                  <c:v>2.497273303337337E-2</c:v>
                </c:pt>
                <c:pt idx="66">
                  <c:v>2.5660400283294305E-2</c:v>
                </c:pt>
                <c:pt idx="67">
                  <c:v>2.6356851534953912E-2</c:v>
                </c:pt>
                <c:pt idx="68">
                  <c:v>2.7062068878807105E-2</c:v>
                </c:pt>
                <c:pt idx="69">
                  <c:v>2.7776034533134646E-2</c:v>
                </c:pt>
                <c:pt idx="70">
                  <c:v>2.8498730851005787E-2</c:v>
                </c:pt>
                <c:pt idx="71">
                  <c:v>2.923014032719113E-2</c:v>
                </c:pt>
                <c:pt idx="72">
                  <c:v>2.9970245605024291E-2</c:v>
                </c:pt>
                <c:pt idx="73">
                  <c:v>3.0719029483202747E-2</c:v>
                </c:pt>
                <c:pt idx="74">
                  <c:v>3.1476474922526726E-2</c:v>
                </c:pt>
                <c:pt idx="75">
                  <c:v>3.2242565052567403E-2</c:v>
                </c:pt>
                <c:pt idx="76">
                  <c:v>3.301728317826097E-2</c:v>
                </c:pt>
                <c:pt idx="77">
                  <c:v>3.3800612786423948E-2</c:v>
                </c:pt>
                <c:pt idx="78">
                  <c:v>3.4592537552181161E-2</c:v>
                </c:pt>
                <c:pt idx="79">
                  <c:v>3.5393041345305416E-2</c:v>
                </c:pt>
                <c:pt idx="80">
                  <c:v>3.6202108236459571E-2</c:v>
                </c:pt>
                <c:pt idx="81">
                  <c:v>3.701972250333857E-2</c:v>
                </c:pt>
                <c:pt idx="82">
                  <c:v>3.7845868636704326E-2</c:v>
                </c:pt>
                <c:pt idx="83">
                  <c:v>3.8680531346308999E-2</c:v>
                </c:pt>
                <c:pt idx="84">
                  <c:v>3.9523695566701149E-2</c:v>
                </c:pt>
                <c:pt idx="85">
                  <c:v>4.0375346462909224E-2</c:v>
                </c:pt>
                <c:pt idx="86">
                  <c:v>4.123546943599804E-2</c:v>
                </c:pt>
                <c:pt idx="87">
                  <c:v>4.2104050128491527E-2</c:v>
                </c:pt>
                <c:pt idx="88">
                  <c:v>4.2981074429658109E-2</c:v>
                </c:pt>
                <c:pt idx="89">
                  <c:v>4.3866528480652638E-2</c:v>
                </c:pt>
                <c:pt idx="90">
                  <c:v>4.4760398679509449E-2</c:v>
                </c:pt>
                <c:pt idx="91">
                  <c:v>4.5662671685982932E-2</c:v>
                </c:pt>
                <c:pt idx="92">
                  <c:v>4.6573334426229358E-2</c:v>
                </c:pt>
                <c:pt idx="93">
                  <c:v>4.7492374097324451E-2</c:v>
                </c:pt>
                <c:pt idx="94">
                  <c:v>4.8419778171613831E-2</c:v>
                </c:pt>
                <c:pt idx="95">
                  <c:v>4.9355534400889751E-2</c:v>
                </c:pt>
                <c:pt idx="96">
                  <c:v>5.0299630820389525E-2</c:v>
                </c:pt>
                <c:pt idx="97">
                  <c:v>5.125205575261161E-2</c:v>
                </c:pt>
                <c:pt idx="98">
                  <c:v>5.2212797810944907E-2</c:v>
                </c:pt>
                <c:pt idx="99">
                  <c:v>5.3181845903104881E-2</c:v>
                </c:pt>
                <c:pt idx="100">
                  <c:v>5.4159189234374253E-2</c:v>
                </c:pt>
                <c:pt idx="101">
                  <c:v>5.5144817310642677E-2</c:v>
                </c:pt>
                <c:pt idx="102">
                  <c:v>5.6138719941241387E-2</c:v>
                </c:pt>
                <c:pt idx="103">
                  <c:v>5.7140887241568551E-2</c:v>
                </c:pt>
                <c:pt idx="104">
                  <c:v>5.815130963550097E-2</c:v>
                </c:pt>
                <c:pt idx="105">
                  <c:v>5.9169977857588721E-2</c:v>
                </c:pt>
                <c:pt idx="106">
                  <c:v>6.0196882955028612E-2</c:v>
                </c:pt>
                <c:pt idx="107">
                  <c:v>6.1232016289412133E-2</c:v>
                </c:pt>
                <c:pt idx="108">
                  <c:v>6.2275369538245681E-2</c:v>
                </c:pt>
                <c:pt idx="109">
                  <c:v>6.3326934696237083E-2</c:v>
                </c:pt>
                <c:pt idx="110">
                  <c:v>6.4386704076348375E-2</c:v>
                </c:pt>
                <c:pt idx="111">
                  <c:v>6.5454670310607713E-2</c:v>
                </c:pt>
                <c:pt idx="112">
                  <c:v>6.6530826350681541E-2</c:v>
                </c:pt>
                <c:pt idx="113">
                  <c:v>6.761516546819972E-2</c:v>
                </c:pt>
                <c:pt idx="114">
                  <c:v>6.8707681254834216E-2</c:v>
                </c:pt>
                <c:pt idx="115">
                  <c:v>6.9808367622126791E-2</c:v>
                </c:pt>
                <c:pt idx="116">
                  <c:v>7.0917218801064039E-2</c:v>
                </c:pt>
                <c:pt idx="117">
                  <c:v>7.2034229341396541E-2</c:v>
                </c:pt>
                <c:pt idx="118">
                  <c:v>7.3159394110700812E-2</c:v>
                </c:pt>
                <c:pt idx="119">
                  <c:v>7.4292708293182033E-2</c:v>
                </c:pt>
                <c:pt idx="120">
                  <c:v>7.5434167388214707E-2</c:v>
                </c:pt>
                <c:pt idx="121">
                  <c:v>7.6583767208620313E-2</c:v>
                </c:pt>
                <c:pt idx="122">
                  <c:v>7.7741503878680507E-2</c:v>
                </c:pt>
                <c:pt idx="123">
                  <c:v>7.8907373831884578E-2</c:v>
                </c:pt>
                <c:pt idx="124">
                  <c:v>8.0081373808409531E-2</c:v>
                </c:pt>
                <c:pt idx="125">
                  <c:v>8.1263500852332166E-2</c:v>
                </c:pt>
                <c:pt idx="126">
                  <c:v>8.2453752308572395E-2</c:v>
                </c:pt>
                <c:pt idx="127">
                  <c:v>8.3652125819567769E-2</c:v>
                </c:pt>
                <c:pt idx="128">
                  <c:v>8.4858619321677597E-2</c:v>
                </c:pt>
                <c:pt idx="129">
                  <c:v>8.6073231041318088E-2</c:v>
                </c:pt>
                <c:pt idx="130">
                  <c:v>8.7295959490827413E-2</c:v>
                </c:pt>
                <c:pt idx="131">
                  <c:v>8.8526803464061388E-2</c:v>
                </c:pt>
                <c:pt idx="132">
                  <c:v>8.9765762031720181E-2</c:v>
                </c:pt>
                <c:pt idx="133">
                  <c:v>9.101283453640778E-2</c:v>
                </c:pt>
                <c:pt idx="134">
                  <c:v>9.2268020587422894E-2</c:v>
                </c:pt>
                <c:pt idx="135">
                  <c:v>9.3531320055284958E-2</c:v>
                </c:pt>
                <c:pt idx="136">
                  <c:v>9.4802733065995043E-2</c:v>
                </c:pt>
                <c:pt idx="137">
                  <c:v>9.6082259995033684E-2</c:v>
                </c:pt>
                <c:pt idx="138">
                  <c:v>9.7369901461098335E-2</c:v>
                </c:pt>
                <c:pt idx="139">
                  <c:v>9.8665658319580546E-2</c:v>
                </c:pt>
                <c:pt idx="140">
                  <c:v>9.996953165578791E-2</c:v>
                </c:pt>
                <c:pt idx="141">
                  <c:v>0.10128152277791071</c:v>
                </c:pt>
                <c:pt idx="142">
                  <c:v>0.10260163320973788</c:v>
                </c:pt>
                <c:pt idx="143">
                  <c:v>0.1039298646831243</c:v>
                </c:pt>
                <c:pt idx="144">
                  <c:v>0.10526621913021401</c:v>
                </c:pt>
                <c:pt idx="145">
                  <c:v>0.10661069867542079</c:v>
                </c:pt>
                <c:pt idx="146">
                  <c:v>0.10796330562717175</c:v>
                </c:pt>
                <c:pt idx="147">
                  <c:v>0.10932404246941765</c:v>
                </c:pt>
                <c:pt idx="148">
                  <c:v>0.1106929118529127</c:v>
                </c:pt>
                <c:pt idx="149">
                  <c:v>0.11206991658627091</c:v>
                </c:pt>
                <c:pt idx="150">
                  <c:v>0.1134550596268014</c:v>
                </c:pt>
                <c:pt idx="151">
                  <c:v>0.11484834407112894</c:v>
                </c:pt>
                <c:pt idx="152">
                  <c:v>0.11624977314560463</c:v>
                </c:pt>
                <c:pt idx="153">
                  <c:v>0.11765935019651255</c:v>
                </c:pt>
                <c:pt idx="154">
                  <c:v>0.11907707868007748</c:v>
                </c:pt>
                <c:pt idx="155">
                  <c:v>0.12050296215228032</c:v>
                </c:pt>
                <c:pt idx="156">
                  <c:v>0.12193700425848694</c:v>
                </c:pt>
                <c:pt idx="157">
                  <c:v>0.12337920872289757</c:v>
                </c:pt>
                <c:pt idx="158">
                  <c:v>0.12482957933782253</c:v>
                </c:pt>
                <c:pt idx="159">
                  <c:v>0.12628811995279293</c:v>
                </c:pt>
                <c:pt idx="160">
                  <c:v>0.12775483446351077</c:v>
                </c:pt>
                <c:pt idx="161">
                  <c:v>0.12922972680064931</c:v>
                </c:pt>
                <c:pt idx="162">
                  <c:v>0.13071280091850881</c:v>
                </c:pt>
                <c:pt idx="163">
                  <c:v>0.13220406078353589</c:v>
                </c:pt>
                <c:pt idx="164">
                  <c:v>0.13370351036271708</c:v>
                </c:pt>
                <c:pt idx="165">
                  <c:v>0.13521115361185054</c:v>
                </c:pt>
                <c:pt idx="166">
                  <c:v>0.1367269944637097</c:v>
                </c:pt>
                <c:pt idx="167">
                  <c:v>0.13825103681610307</c:v>
                </c:pt>
                <c:pt idx="168">
                  <c:v>0.13978328451984259</c:v>
                </c:pt>
                <c:pt idx="169">
                  <c:v>0.14132374136662793</c:v>
                </c:pt>
                <c:pt idx="170">
                  <c:v>0.14287241107685683</c:v>
                </c:pt>
                <c:pt idx="171">
                  <c:v>0.14442929728737203</c:v>
                </c:pt>
                <c:pt idx="172">
                  <c:v>0.14599440353915311</c:v>
                </c:pt>
                <c:pt idx="173">
                  <c:v>0.14756773326496439</c:v>
                </c:pt>
                <c:pt idx="174">
                  <c:v>0.14914928977696942</c:v>
                </c:pt>
                <c:pt idx="175">
                  <c:v>0.15073907625432237</c:v>
                </c:pt>
                <c:pt idx="176">
                  <c:v>0.15233709573074622</c:v>
                </c:pt>
                <c:pt idx="177">
                  <c:v>0.15394335108211069</c:v>
                </c:pt>
                <c:pt idx="178">
                  <c:v>0.15555784501401859</c:v>
                </c:pt>
                <c:pt idx="179">
                  <c:v>0.15718058004941429</c:v>
                </c:pt>
                <c:pt idx="180">
                  <c:v>0.15881155851622375</c:v>
                </c:pt>
                <c:pt idx="181">
                  <c:v>0.16045078253503969</c:v>
                </c:pt>
                <c:pt idx="182">
                  <c:v>0.16209825400686204</c:v>
                </c:pt>
                <c:pt idx="183">
                  <c:v>0.16375397460090688</c:v>
                </c:pt>
                <c:pt idx="184">
                  <c:v>0.16541794574249516</c:v>
                </c:pt>
                <c:pt idx="185">
                  <c:v>0.16709016860103532</c:v>
                </c:pt>
                <c:pt idx="186">
                  <c:v>0.16877064407810904</c:v>
                </c:pt>
                <c:pt idx="187">
                  <c:v>0.17045937279567699</c:v>
                </c:pt>
                <c:pt idx="188">
                  <c:v>0.17215635508441321</c:v>
                </c:pt>
                <c:pt idx="189">
                  <c:v>0.17386159097218445</c:v>
                </c:pt>
                <c:pt idx="190">
                  <c:v>0.17557508017268544</c:v>
                </c:pt>
                <c:pt idx="191">
                  <c:v>0.17729682207424388</c:v>
                </c:pt>
                <c:pt idx="192">
                  <c:v>0.17902681572880888</c:v>
                </c:pt>
                <c:pt idx="193">
                  <c:v>0.18076505984113614</c:v>
                </c:pt>
                <c:pt idx="194">
                  <c:v>0.18251155275818251</c:v>
                </c:pt>
                <c:pt idx="195">
                  <c:v>0.18426629245872517</c:v>
                </c:pt>
                <c:pt idx="196">
                  <c:v>0.18602927654321816</c:v>
                </c:pt>
                <c:pt idx="197">
                  <c:v>0.18780050222390021</c:v>
                </c:pt>
                <c:pt idx="198">
                  <c:v>0.18957996631516807</c:v>
                </c:pt>
                <c:pt idx="199">
                  <c:v>0.19136766522422941</c:v>
                </c:pt>
                <c:pt idx="200">
                  <c:v>0.19316359494204977</c:v>
                </c:pt>
                <c:pt idx="201">
                  <c:v>0.19496775103460601</c:v>
                </c:pt>
                <c:pt idx="202">
                  <c:v>0.19678012863446401</c:v>
                </c:pt>
                <c:pt idx="203">
                  <c:v>0.19860072243269111</c:v>
                </c:pt>
                <c:pt idx="204">
                  <c:v>0.20042952667111991</c:v>
                </c:pt>
                <c:pt idx="205">
                  <c:v>0.20226653505366043</c:v>
                </c:pt>
                <c:pt idx="206">
                  <c:v>0.20411173955082001</c:v>
                </c:pt>
                <c:pt idx="207">
                  <c:v>0.20596513088215498</c:v>
                </c:pt>
                <c:pt idx="208">
                  <c:v>0.20782669966399314</c:v>
                </c:pt>
                <c:pt idx="209">
                  <c:v>0.20969643644069075</c:v>
                </c:pt>
                <c:pt idx="210">
                  <c:v>0.21157433168253276</c:v>
                </c:pt>
                <c:pt idx="211">
                  <c:v>0.21346037578361512</c:v>
                </c:pt>
                <c:pt idx="212">
                  <c:v>0.21535455905971343</c:v>
                </c:pt>
                <c:pt idx="213">
                  <c:v>0.21725687174613478</c:v>
                </c:pt>
                <c:pt idx="214">
                  <c:v>0.21916730399555606</c:v>
                </c:pt>
                <c:pt idx="215">
                  <c:v>0.22108584587584829</c:v>
                </c:pt>
                <c:pt idx="216">
                  <c:v>0.22301248736788792</c:v>
                </c:pt>
                <c:pt idx="217">
                  <c:v>0.22494721836335496</c:v>
                </c:pt>
                <c:pt idx="218">
                  <c:v>0.22689002866252025</c:v>
                </c:pt>
                <c:pt idx="219">
                  <c:v>0.22884090797202067</c:v>
                </c:pt>
                <c:pt idx="220">
                  <c:v>0.23079984590262326</c:v>
                </c:pt>
                <c:pt idx="221">
                  <c:v>0.2327668319669802</c:v>
                </c:pt>
                <c:pt idx="222">
                  <c:v>0.23474185557737359</c:v>
                </c:pt>
                <c:pt idx="223">
                  <c:v>0.2367249060434517</c:v>
                </c:pt>
                <c:pt idx="224">
                  <c:v>0.23871597256995608</c:v>
                </c:pt>
                <c:pt idx="225">
                  <c:v>0.24071504425444207</c:v>
                </c:pt>
                <c:pt idx="226">
                  <c:v>0.24272211008499073</c:v>
                </c:pt>
                <c:pt idx="227">
                  <c:v>0.2447371589379152</c:v>
                </c:pt>
                <c:pt idx="228">
                  <c:v>0.24676017957546009</c:v>
                </c:pt>
                <c:pt idx="229">
                  <c:v>0.24879116064349599</c:v>
                </c:pt>
                <c:pt idx="230">
                  <c:v>0.25083009066920831</c:v>
                </c:pt>
                <c:pt idx="231">
                  <c:v>0.25287695805878163</c:v>
                </c:pt>
                <c:pt idx="232">
                  <c:v>0.25493175109508015</c:v>
                </c:pt>
                <c:pt idx="233">
                  <c:v>0.25699445793532455</c:v>
                </c:pt>
                <c:pt idx="234">
                  <c:v>0.25906506660876555</c:v>
                </c:pt>
                <c:pt idx="235">
                  <c:v>0.26114356501435509</c:v>
                </c:pt>
                <c:pt idx="236">
                  <c:v>0.26322994091841501</c:v>
                </c:pt>
                <c:pt idx="237">
                  <c:v>0.26532418195230406</c:v>
                </c:pt>
                <c:pt idx="238">
                  <c:v>0.26742627561008375</c:v>
                </c:pt>
                <c:pt idx="239">
                  <c:v>0.26953620924618354</c:v>
                </c:pt>
                <c:pt idx="240">
                  <c:v>0.27165397007306469</c:v>
                </c:pt>
                <c:pt idx="241">
                  <c:v>0.27377954515888486</c:v>
                </c:pt>
                <c:pt idx="242">
                  <c:v>0.27591292142516238</c:v>
                </c:pt>
                <c:pt idx="243">
                  <c:v>0.27805408564444178</c:v>
                </c:pt>
                <c:pt idx="244">
                  <c:v>0.28020302443795986</c:v>
                </c:pt>
                <c:pt idx="245">
                  <c:v>0.28235972427331307</c:v>
                </c:pt>
                <c:pt idx="246">
                  <c:v>0.2845241714621265</c:v>
                </c:pt>
                <c:pt idx="247">
                  <c:v>0.28669635215772576</c:v>
                </c:pt>
                <c:pt idx="248">
                  <c:v>0.28887625235280917</c:v>
                </c:pt>
                <c:pt idx="249">
                  <c:v>0.29106385787712497</c:v>
                </c:pt>
                <c:pt idx="250">
                  <c:v>0.29325915439514894</c:v>
                </c:pt>
                <c:pt idx="251">
                  <c:v>0.29546212740376693</c:v>
                </c:pt>
                <c:pt idx="252">
                  <c:v>0.2976727622299597</c:v>
                </c:pt>
                <c:pt idx="253">
                  <c:v>0.29989104402849126</c:v>
                </c:pt>
                <c:pt idx="254">
                  <c:v>0.30211695777960179</c:v>
                </c:pt>
                <c:pt idx="255">
                  <c:v>0.30435048828670364</c:v>
                </c:pt>
                <c:pt idx="256">
                  <c:v>0.30659162017408198</c:v>
                </c:pt>
                <c:pt idx="257">
                  <c:v>0.3088403378845993</c:v>
                </c:pt>
                <c:pt idx="258">
                  <c:v>0.31109662567740454</c:v>
                </c:pt>
                <c:pt idx="259">
                  <c:v>0.31336046762564757</c:v>
                </c:pt>
                <c:pt idx="260">
                  <c:v>0.31563184761419716</c:v>
                </c:pt>
                <c:pt idx="261">
                  <c:v>0.3179107493373648</c:v>
                </c:pt>
                <c:pt idx="262">
                  <c:v>0.32019715629663303</c:v>
                </c:pt>
                <c:pt idx="263">
                  <c:v>0.32249105179838844</c:v>
                </c:pt>
                <c:pt idx="264">
                  <c:v>0.32479241895166167</c:v>
                </c:pt>
                <c:pt idx="265">
                  <c:v>0.32710124066587021</c:v>
                </c:pt>
                <c:pt idx="266">
                  <c:v>0.32941749964856826</c:v>
                </c:pt>
                <c:pt idx="267">
                  <c:v>0.33174117840320094</c:v>
                </c:pt>
                <c:pt idx="268">
                  <c:v>0.33407225922686495</c:v>
                </c:pt>
                <c:pt idx="269">
                  <c:v>0.33641072420807339</c:v>
                </c:pt>
                <c:pt idx="270">
                  <c:v>0.33875655522452724</c:v>
                </c:pt>
                <c:pt idx="271">
                  <c:v>0.34110973394089195</c:v>
                </c:pt>
                <c:pt idx="272">
                  <c:v>0.34347024180657904</c:v>
                </c:pt>
                <c:pt idx="273">
                  <c:v>0.34583806005353368</c:v>
                </c:pt>
                <c:pt idx="274">
                  <c:v>0.34821316969402816</c:v>
                </c:pt>
                <c:pt idx="275">
                  <c:v>0.35059555151845989</c:v>
                </c:pt>
                <c:pt idx="276">
                  <c:v>0.35298518609315588</c:v>
                </c:pt>
                <c:pt idx="277">
                  <c:v>0.35538205375818177</c:v>
                </c:pt>
                <c:pt idx="278">
                  <c:v>0.35778613462515751</c:v>
                </c:pt>
                <c:pt idx="279">
                  <c:v>0.36019740857507648</c:v>
                </c:pt>
                <c:pt idx="280">
                  <c:v>0.3626158552561326</c:v>
                </c:pt>
                <c:pt idx="281">
                  <c:v>0.36504145408155042</c:v>
                </c:pt>
                <c:pt idx="282">
                  <c:v>0.36747418422742206</c:v>
                </c:pt>
                <c:pt idx="283">
                  <c:v>0.36991402463054851</c:v>
                </c:pt>
                <c:pt idx="284">
                  <c:v>0.37236095398628666</c:v>
                </c:pt>
                <c:pt idx="285">
                  <c:v>0.37481495074640142</c:v>
                </c:pt>
                <c:pt idx="286">
                  <c:v>0.377275993116923</c:v>
                </c:pt>
                <c:pt idx="287">
                  <c:v>0.37974405905600939</c:v>
                </c:pt>
                <c:pt idx="288">
                  <c:v>0.38221912627181365</c:v>
                </c:pt>
                <c:pt idx="289">
                  <c:v>0.38470117222035677</c:v>
                </c:pt>
                <c:pt idx="290">
                  <c:v>0.38719017410340478</c:v>
                </c:pt>
                <c:pt idx="291">
                  <c:v>0.38968610886635235</c:v>
                </c:pt>
                <c:pt idx="292">
                  <c:v>0.39218863248838981</c:v>
                </c:pt>
                <c:pt idx="293">
                  <c:v>0.39469720928446506</c:v>
                </c:pt>
                <c:pt idx="294">
                  <c:v>0.3972118079119713</c:v>
                </c:pt>
                <c:pt idx="295">
                  <c:v>0.39973240357508832</c:v>
                </c:pt>
                <c:pt idx="296">
                  <c:v>0.40225897141679434</c:v>
                </c:pt>
                <c:pt idx="297">
                  <c:v>0.40479148651910357</c:v>
                </c:pt>
                <c:pt idx="298">
                  <c:v>0.40732992390330452</c:v>
                </c:pt>
                <c:pt idx="299">
                  <c:v>0.40987425853020115</c:v>
                </c:pt>
                <c:pt idx="300">
                  <c:v>0.41242446530035143</c:v>
                </c:pt>
                <c:pt idx="301">
                  <c:v>0.41498051905431077</c:v>
                </c:pt>
                <c:pt idx="302">
                  <c:v>0.41754239457287223</c:v>
                </c:pt>
                <c:pt idx="303">
                  <c:v>0.42011006657731037</c:v>
                </c:pt>
                <c:pt idx="304">
                  <c:v>0.42268350972962432</c:v>
                </c:pt>
                <c:pt idx="305">
                  <c:v>0.42526269863278182</c:v>
                </c:pt>
                <c:pt idx="306">
                  <c:v>0.42784760783096459</c:v>
                </c:pt>
                <c:pt idx="307">
                  <c:v>0.43043821180981406</c:v>
                </c:pt>
                <c:pt idx="308">
                  <c:v>0.4330344849966774</c:v>
                </c:pt>
                <c:pt idx="309">
                  <c:v>0.4356364017608555</c:v>
                </c:pt>
                <c:pt idx="310">
                  <c:v>0.43824393641384968</c:v>
                </c:pt>
                <c:pt idx="311">
                  <c:v>0.44085706320961188</c:v>
                </c:pt>
                <c:pt idx="312">
                  <c:v>0.4434757563447928</c:v>
                </c:pt>
                <c:pt idx="313">
                  <c:v>0.44609998995899286</c:v>
                </c:pt>
                <c:pt idx="314">
                  <c:v>0.44872973813501266</c:v>
                </c:pt>
                <c:pt idx="315">
                  <c:v>0.45136497489910443</c:v>
                </c:pt>
                <c:pt idx="316">
                  <c:v>0.45400567422122468</c:v>
                </c:pt>
                <c:pt idx="317">
                  <c:v>0.45665181001528721</c:v>
                </c:pt>
                <c:pt idx="318">
                  <c:v>0.45930335613941681</c:v>
                </c:pt>
                <c:pt idx="319">
                  <c:v>0.4619602863962034</c:v>
                </c:pt>
                <c:pt idx="320">
                  <c:v>0.46462257453295808</c:v>
                </c:pt>
                <c:pt idx="321">
                  <c:v>0.46729019424196777</c:v>
                </c:pt>
                <c:pt idx="322">
                  <c:v>0.46996311916075301</c:v>
                </c:pt>
                <c:pt idx="323">
                  <c:v>0.47264132287232452</c:v>
                </c:pt>
                <c:pt idx="324">
                  <c:v>0.47532477890544128</c:v>
                </c:pt>
                <c:pt idx="325">
                  <c:v>0.47801346073487017</c:v>
                </c:pt>
                <c:pt idx="326">
                  <c:v>0.48070734178164376</c:v>
                </c:pt>
                <c:pt idx="327">
                  <c:v>0.4834063954133222</c:v>
                </c:pt>
                <c:pt idx="328">
                  <c:v>0.48611059494425229</c:v>
                </c:pt>
                <c:pt idx="329">
                  <c:v>0.48881991363583072</c:v>
                </c:pt>
                <c:pt idx="330">
                  <c:v>0.49153432469676467</c:v>
                </c:pt>
                <c:pt idx="331">
                  <c:v>0.49425380128333635</c:v>
                </c:pt>
                <c:pt idx="332">
                  <c:v>0.4969783164996649</c:v>
                </c:pt>
                <c:pt idx="333">
                  <c:v>0.49970784339797186</c:v>
                </c:pt>
                <c:pt idx="334">
                  <c:v>0.50244235497884571</c:v>
                </c:pt>
                <c:pt idx="335">
                  <c:v>0.50518182419150737</c:v>
                </c:pt>
                <c:pt idx="336">
                  <c:v>0.50792622393407694</c:v>
                </c:pt>
                <c:pt idx="337">
                  <c:v>0.51067552705383978</c:v>
                </c:pt>
                <c:pt idx="338">
                  <c:v>0.5134297063475155</c:v>
                </c:pt>
                <c:pt idx="339">
                  <c:v>0.5161887345615247</c:v>
                </c:pt>
                <c:pt idx="340">
                  <c:v>0.51895258439225933</c:v>
                </c:pt>
                <c:pt idx="341">
                  <c:v>0.52172122848635172</c:v>
                </c:pt>
                <c:pt idx="342">
                  <c:v>0.52449463944094499</c:v>
                </c:pt>
                <c:pt idx="343">
                  <c:v>0.52727278980396353</c:v>
                </c:pt>
                <c:pt idx="344">
                  <c:v>0.53005565207438554</c:v>
                </c:pt>
                <c:pt idx="345">
                  <c:v>0.53284319870251451</c:v>
                </c:pt>
                <c:pt idx="346">
                  <c:v>0.53563540209025251</c:v>
                </c:pt>
                <c:pt idx="347">
                  <c:v>0.5384322345913739</c:v>
                </c:pt>
                <c:pt idx="348">
                  <c:v>0.54123366851179922</c:v>
                </c:pt>
                <c:pt idx="349">
                  <c:v>0.54403967610986992</c:v>
                </c:pt>
                <c:pt idx="350">
                  <c:v>0.5468502295966241</c:v>
                </c:pt>
                <c:pt idx="351">
                  <c:v>0.54966530113607293</c:v>
                </c:pt>
                <c:pt idx="352">
                  <c:v>0.55248486284547704</c:v>
                </c:pt>
                <c:pt idx="353">
                  <c:v>0.55530888679562374</c:v>
                </c:pt>
                <c:pt idx="354">
                  <c:v>0.55813734501110557</c:v>
                </c:pt>
                <c:pt idx="355">
                  <c:v>0.56097020947059784</c:v>
                </c:pt>
                <c:pt idx="356">
                  <c:v>0.56380745210714012</c:v>
                </c:pt>
                <c:pt idx="357">
                  <c:v>0.56664904480841305</c:v>
                </c:pt>
                <c:pt idx="358">
                  <c:v>0.569494959417022</c:v>
                </c:pt>
                <c:pt idx="359">
                  <c:v>0.57234516773077493</c:v>
                </c:pt>
                <c:pt idx="360">
                  <c:v>0.57519964150296754</c:v>
                </c:pt>
                <c:pt idx="361">
                  <c:v>0.57805835244266257</c:v>
                </c:pt>
                <c:pt idx="362">
                  <c:v>0.58092127221497492</c:v>
                </c:pt>
                <c:pt idx="363">
                  <c:v>0.58378837244135362</c:v>
                </c:pt>
                <c:pt idx="364">
                  <c:v>0.58665962469986643</c:v>
                </c:pt>
                <c:pt idx="365">
                  <c:v>0.58953500052548569</c:v>
                </c:pt>
                <c:pt idx="366">
                  <c:v>0.59241447141037151</c:v>
                </c:pt>
                <c:pt idx="367">
                  <c:v>0.59529800880415962</c:v>
                </c:pt>
                <c:pt idx="368">
                  <c:v>0.59818558411424638</c:v>
                </c:pt>
                <c:pt idx="369">
                  <c:v>0.60107716870607719</c:v>
                </c:pt>
                <c:pt idx="370">
                  <c:v>0.60397273390343209</c:v>
                </c:pt>
                <c:pt idx="371">
                  <c:v>0.60687225098871689</c:v>
                </c:pt>
                <c:pt idx="372">
                  <c:v>0.60977569120324904</c:v>
                </c:pt>
                <c:pt idx="373">
                  <c:v>0.61268302574754885</c:v>
                </c:pt>
                <c:pt idx="374">
                  <c:v>0.61559422578162859</c:v>
                </c:pt>
                <c:pt idx="375">
                  <c:v>0.61850926242528292</c:v>
                </c:pt>
                <c:pt idx="376">
                  <c:v>0.62142810675838089</c:v>
                </c:pt>
                <c:pt idx="377">
                  <c:v>0.62435072982115558</c:v>
                </c:pt>
                <c:pt idx="378">
                  <c:v>0.62727710261449876</c:v>
                </c:pt>
                <c:pt idx="379">
                  <c:v>0.63020719610025111</c:v>
                </c:pt>
                <c:pt idx="380">
                  <c:v>0.63314098120149676</c:v>
                </c:pt>
                <c:pt idx="381">
                  <c:v>0.63607842880285714</c:v>
                </c:pt>
                <c:pt idx="382">
                  <c:v>0.63901950975078492</c:v>
                </c:pt>
                <c:pt idx="383">
                  <c:v>0.64196419485385836</c:v>
                </c:pt>
                <c:pt idx="384">
                  <c:v>0.64491245488307791</c:v>
                </c:pt>
                <c:pt idx="385">
                  <c:v>0.64786426057216073</c:v>
                </c:pt>
                <c:pt idx="386">
                  <c:v>0.65081958261783779</c:v>
                </c:pt>
                <c:pt idx="387">
                  <c:v>0.65377839168015106</c:v>
                </c:pt>
                <c:pt idx="388">
                  <c:v>0.65674065838275031</c:v>
                </c:pt>
                <c:pt idx="389">
                  <c:v>0.65970635331319172</c:v>
                </c:pt>
                <c:pt idx="390">
                  <c:v>0.66267544702323478</c:v>
                </c:pt>
                <c:pt idx="391">
                  <c:v>0.66564791002914425</c:v>
                </c:pt>
                <c:pt idx="392">
                  <c:v>0.66862371281198618</c:v>
                </c:pt>
                <c:pt idx="393">
                  <c:v>0.6716028258179304</c:v>
                </c:pt>
                <c:pt idx="394">
                  <c:v>0.67458521945854966</c:v>
                </c:pt>
                <c:pt idx="395">
                  <c:v>0.67757086411112144</c:v>
                </c:pt>
                <c:pt idx="396">
                  <c:v>0.68055973011892834</c:v>
                </c:pt>
                <c:pt idx="397">
                  <c:v>0.68355178779156056</c:v>
                </c:pt>
                <c:pt idx="398">
                  <c:v>0.6865470074052189</c:v>
                </c:pt>
                <c:pt idx="399">
                  <c:v>0.68954535920301641</c:v>
                </c:pt>
                <c:pt idx="400">
                  <c:v>0.69254681339528279</c:v>
                </c:pt>
                <c:pt idx="401">
                  <c:v>0.69555134015986675</c:v>
                </c:pt>
                <c:pt idx="402">
                  <c:v>0.69855890964244238</c:v>
                </c:pt>
                <c:pt idx="403">
                  <c:v>0.70156949195681206</c:v>
                </c:pt>
                <c:pt idx="404">
                  <c:v>0.70458305718521275</c:v>
                </c:pt>
                <c:pt idx="405">
                  <c:v>0.70759957537862039</c:v>
                </c:pt>
                <c:pt idx="406">
                  <c:v>0.71061901655705784</c:v>
                </c:pt>
                <c:pt idx="407">
                  <c:v>0.71364135070989942</c:v>
                </c:pt>
                <c:pt idx="408">
                  <c:v>0.71666654779617889</c:v>
                </c:pt>
                <c:pt idx="409">
                  <c:v>0.71969457774489709</c:v>
                </c:pt>
                <c:pt idx="410">
                  <c:v>0.72272541045532901</c:v>
                </c:pt>
                <c:pt idx="411">
                  <c:v>0.7257590157973326</c:v>
                </c:pt>
                <c:pt idx="412">
                  <c:v>0.72879536361165687</c:v>
                </c:pt>
                <c:pt idx="413">
                  <c:v>0.73183442371025231</c:v>
                </c:pt>
                <c:pt idx="414">
                  <c:v>0.73487616587657822</c:v>
                </c:pt>
                <c:pt idx="415">
                  <c:v>0.7379205598659152</c:v>
                </c:pt>
                <c:pt idx="416">
                  <c:v>0.74096757540567293</c:v>
                </c:pt>
                <c:pt idx="417">
                  <c:v>0.74401718219570279</c:v>
                </c:pt>
                <c:pt idx="418">
                  <c:v>0.74706934990860818</c:v>
                </c:pt>
                <c:pt idx="419">
                  <c:v>0.75012404819005629</c:v>
                </c:pt>
                <c:pt idx="420">
                  <c:v>0.75318124665909014</c:v>
                </c:pt>
                <c:pt idx="421">
                  <c:v>0.75624091490843992</c:v>
                </c:pt>
                <c:pt idx="422">
                  <c:v>0.75930302250483717</c:v>
                </c:pt>
                <c:pt idx="423">
                  <c:v>0.76236753898932663</c:v>
                </c:pt>
                <c:pt idx="424">
                  <c:v>0.76543443387758081</c:v>
                </c:pt>
                <c:pt idx="425">
                  <c:v>0.76850367666021213</c:v>
                </c:pt>
                <c:pt idx="426">
                  <c:v>0.77157523680308948</c:v>
                </c:pt>
                <c:pt idx="427">
                  <c:v>0.77464908374765029</c:v>
                </c:pt>
                <c:pt idx="428">
                  <c:v>0.77772518691121661</c:v>
                </c:pt>
                <c:pt idx="429">
                  <c:v>0.78080351568731099</c:v>
                </c:pt>
                <c:pt idx="430">
                  <c:v>0.78388403944597074</c:v>
                </c:pt>
                <c:pt idx="431">
                  <c:v>0.78696672753406527</c:v>
                </c:pt>
                <c:pt idx="432">
                  <c:v>0.79005154927561028</c:v>
                </c:pt>
                <c:pt idx="433">
                  <c:v>0.79313847397208714</c:v>
                </c:pt>
                <c:pt idx="434">
                  <c:v>0.79622747090275758</c:v>
                </c:pt>
                <c:pt idx="435">
                  <c:v>0.79931850932498216</c:v>
                </c:pt>
                <c:pt idx="436">
                  <c:v>0.80241155847453727</c:v>
                </c:pt>
                <c:pt idx="437">
                  <c:v>0.80550658756593407</c:v>
                </c:pt>
                <c:pt idx="438">
                  <c:v>0.80860356579273485</c:v>
                </c:pt>
                <c:pt idx="439">
                  <c:v>0.81170246232787302</c:v>
                </c:pt>
                <c:pt idx="440">
                  <c:v>0.81480324632397261</c:v>
                </c:pt>
                <c:pt idx="441">
                  <c:v>0.81790588691366517</c:v>
                </c:pt>
                <c:pt idx="442">
                  <c:v>0.82101035320991134</c:v>
                </c:pt>
                <c:pt idx="443">
                  <c:v>0.82411661430631911</c:v>
                </c:pt>
                <c:pt idx="444">
                  <c:v>0.82722463927746548</c:v>
                </c:pt>
                <c:pt idx="445">
                  <c:v>0.83033439717921442</c:v>
                </c:pt>
                <c:pt idx="446">
                  <c:v>0.83344585704904051</c:v>
                </c:pt>
                <c:pt idx="447">
                  <c:v>0.83655898790634664</c:v>
                </c:pt>
                <c:pt idx="448">
                  <c:v>0.8396737587527876</c:v>
                </c:pt>
                <c:pt idx="449">
                  <c:v>0.84279013857259044</c:v>
                </c:pt>
                <c:pt idx="450">
                  <c:v>0.84590809633287567</c:v>
                </c:pt>
                <c:pt idx="451">
                  <c:v>0.84902760098398034</c:v>
                </c:pt>
                <c:pt idx="452">
                  <c:v>0.85214862145977965</c:v>
                </c:pt>
                <c:pt idx="453">
                  <c:v>0.85527112667800897</c:v>
                </c:pt>
                <c:pt idx="454">
                  <c:v>0.85839508554058697</c:v>
                </c:pt>
                <c:pt idx="455">
                  <c:v>0.86152046693393902</c:v>
                </c:pt>
                <c:pt idx="456">
                  <c:v>0.86464723972931889</c:v>
                </c:pt>
                <c:pt idx="457">
                  <c:v>0.8677753727831341</c:v>
                </c:pt>
                <c:pt idx="458">
                  <c:v>0.87090483493726711</c:v>
                </c:pt>
                <c:pt idx="459">
                  <c:v>0.87403559501940187</c:v>
                </c:pt>
                <c:pt idx="460">
                  <c:v>0.87716762184334529</c:v>
                </c:pt>
                <c:pt idx="461">
                  <c:v>0.88030088420935282</c:v>
                </c:pt>
                <c:pt idx="462">
                  <c:v>0.8834353509044538</c:v>
                </c:pt>
                <c:pt idx="463">
                  <c:v>0.88657099070277301</c:v>
                </c:pt>
                <c:pt idx="464">
                  <c:v>0.88970777236585963</c:v>
                </c:pt>
                <c:pt idx="465">
                  <c:v>0.89284566464300863</c:v>
                </c:pt>
                <c:pt idx="466">
                  <c:v>0.89598463627158864</c:v>
                </c:pt>
                <c:pt idx="467">
                  <c:v>0.89912465597736524</c:v>
                </c:pt>
                <c:pt idx="468">
                  <c:v>0.9022656924748288</c:v>
                </c:pt>
                <c:pt idx="469">
                  <c:v>0.905407714467518</c:v>
                </c:pt>
                <c:pt idx="470">
                  <c:v>0.90855069064834759</c:v>
                </c:pt>
                <c:pt idx="471">
                  <c:v>0.91169458969993311</c:v>
                </c:pt>
                <c:pt idx="472">
                  <c:v>0.91483938029491807</c:v>
                </c:pt>
                <c:pt idx="473">
                  <c:v>0.91798503109630003</c:v>
                </c:pt>
                <c:pt idx="474">
                  <c:v>0.92113151075775701</c:v>
                </c:pt>
                <c:pt idx="475">
                  <c:v>0.924278787923975</c:v>
                </c:pt>
                <c:pt idx="476">
                  <c:v>0.92742683123097336</c:v>
                </c:pt>
                <c:pt idx="477">
                  <c:v>0.93057560930643346</c:v>
                </c:pt>
                <c:pt idx="478">
                  <c:v>0.93372509077002452</c:v>
                </c:pt>
                <c:pt idx="479">
                  <c:v>0.93687524423373181</c:v>
                </c:pt>
                <c:pt idx="480">
                  <c:v>0.94002603830218301</c:v>
                </c:pt>
                <c:pt idx="481">
                  <c:v>0.943177441572977</c:v>
                </c:pt>
                <c:pt idx="482">
                  <c:v>0.94632942263701014</c:v>
                </c:pt>
                <c:pt idx="483">
                  <c:v>0.94948195007880498</c:v>
                </c:pt>
                <c:pt idx="484">
                  <c:v>0.95263499247683736</c:v>
                </c:pt>
                <c:pt idx="485">
                  <c:v>0.95578851840386492</c:v>
                </c:pt>
                <c:pt idx="486">
                  <c:v>0.95894249642725504</c:v>
                </c:pt>
                <c:pt idx="487">
                  <c:v>0.9620968951093124</c:v>
                </c:pt>
                <c:pt idx="488">
                  <c:v>0.96525168300760833</c:v>
                </c:pt>
                <c:pt idx="489">
                  <c:v>0.96840682867530703</c:v>
                </c:pt>
                <c:pt idx="490">
                  <c:v>0.97156230066149629</c:v>
                </c:pt>
                <c:pt idx="491">
                  <c:v>0.97471806751151469</c:v>
                </c:pt>
                <c:pt idx="492">
                  <c:v>0.97787409776727952</c:v>
                </c:pt>
                <c:pt idx="493">
                  <c:v>0.98103035996761689</c:v>
                </c:pt>
                <c:pt idx="494">
                  <c:v>0.98418682264858848</c:v>
                </c:pt>
                <c:pt idx="495">
                  <c:v>0.98734345434382242</c:v>
                </c:pt>
                <c:pt idx="496">
                  <c:v>0.99050022358483936</c:v>
                </c:pt>
                <c:pt idx="497">
                  <c:v>0.99365709890138387</c:v>
                </c:pt>
                <c:pt idx="498">
                  <c:v>0.99681404882175095</c:v>
                </c:pt>
                <c:pt idx="499">
                  <c:v>0.99997104187311636</c:v>
                </c:pt>
              </c:numCache>
            </c:numRef>
          </c:xVal>
          <c:yVal>
            <c:numRef>
              <c:f>Data4!$J$1:$J$500</c:f>
              <c:numCache>
                <c:formatCode>0.00000</c:formatCode>
                <c:ptCount val="500"/>
                <c:pt idx="0">
                  <c:v>0</c:v>
                </c:pt>
                <c:pt idx="1">
                  <c:v>-3.3818262492952986E-4</c:v>
                </c:pt>
                <c:pt idx="2">
                  <c:v>-6.7426607268555221E-4</c:v>
                </c:pt>
                <c:pt idx="3">
                  <c:v>-1.0082518287946984E-3</c:v>
                </c:pt>
                <c:pt idx="4">
                  <c:v>-1.3401411888906388E-3</c:v>
                </c:pt>
                <c:pt idx="5">
                  <c:v>-1.6699352579060064E-3</c:v>
                </c:pt>
                <c:pt idx="6">
                  <c:v>-1.9976349493871187E-3</c:v>
                </c:pt>
                <c:pt idx="7">
                  <c:v>-2.3232409849020829E-3</c:v>
                </c:pt>
                <c:pt idx="8">
                  <c:v>-2.6467538935548893E-3</c:v>
                </c:pt>
                <c:pt idx="9">
                  <c:v>-2.9681740116051579E-3</c:v>
                </c:pt>
                <c:pt idx="10">
                  <c:v>-3.287501482191672E-3</c:v>
                </c:pt>
                <c:pt idx="11">
                  <c:v>-3.6047362551621847E-3</c:v>
                </c:pt>
                <c:pt idx="12">
                  <c:v>-3.919878087008004E-3</c:v>
                </c:pt>
                <c:pt idx="13">
                  <c:v>-4.2329265409052925E-3</c:v>
                </c:pt>
                <c:pt idx="14">
                  <c:v>-4.5438809868642389E-3</c:v>
                </c:pt>
                <c:pt idx="15">
                  <c:v>-4.8527406019850715E-3</c:v>
                </c:pt>
                <c:pt idx="16">
                  <c:v>-5.1595043708209387E-3</c:v>
                </c:pt>
                <c:pt idx="17">
                  <c:v>-5.4641710858526742E-3</c:v>
                </c:pt>
                <c:pt idx="18">
                  <c:v>-5.7667393480692894E-3</c:v>
                </c:pt>
                <c:pt idx="19">
                  <c:v>-6.0672075676617577E-3</c:v>
                </c:pt>
                <c:pt idx="20">
                  <c:v>-6.3655739648245443E-3</c:v>
                </c:pt>
                <c:pt idx="21">
                  <c:v>-6.6618365706708604E-3</c:v>
                </c:pt>
                <c:pt idx="22">
                  <c:v>-6.9559932282587129E-3</c:v>
                </c:pt>
                <c:pt idx="23">
                  <c:v>-7.2480415937302683E-3</c:v>
                </c:pt>
                <c:pt idx="24">
                  <c:v>-7.5379791375640775E-3</c:v>
                </c:pt>
                <c:pt idx="25">
                  <c:v>-7.8258031459426929E-3</c:v>
                </c:pt>
                <c:pt idx="26">
                  <c:v>-8.1115107222337526E-3</c:v>
                </c:pt>
                <c:pt idx="27">
                  <c:v>-8.3950987885887014E-3</c:v>
                </c:pt>
                <c:pt idx="28">
                  <c:v>-8.6765640876564579E-3</c:v>
                </c:pt>
                <c:pt idx="29">
                  <c:v>-8.9559031844152568E-3</c:v>
                </c:pt>
                <c:pt idx="30">
                  <c:v>-9.2331124681230003E-3</c:v>
                </c:pt>
                <c:pt idx="31">
                  <c:v>-9.5081881543851096E-3</c:v>
                </c:pt>
                <c:pt idx="32">
                  <c:v>-9.781126287344238E-3</c:v>
                </c:pt>
                <c:pt idx="33">
                  <c:v>-1.0051922741989161E-2</c:v>
                </c:pt>
                <c:pt idx="34">
                  <c:v>-1.0320573226585389E-2</c:v>
                </c:pt>
                <c:pt idx="35">
                  <c:v>-1.0587073285228319E-2</c:v>
                </c:pt>
                <c:pt idx="36">
                  <c:v>-1.0851418300519701E-2</c:v>
                </c:pt>
                <c:pt idx="37">
                  <c:v>-1.1113603496367568E-2</c:v>
                </c:pt>
                <c:pt idx="38">
                  <c:v>-1.1373623940911222E-2</c:v>
                </c:pt>
                <c:pt idx="39">
                  <c:v>-1.1631474549572038E-2</c:v>
                </c:pt>
                <c:pt idx="40">
                  <c:v>-1.1887150088230568E-2</c:v>
                </c:pt>
                <c:pt idx="41">
                  <c:v>-1.214064517653112E-2</c:v>
                </c:pt>
                <c:pt idx="42">
                  <c:v>-1.2391954291314265E-2</c:v>
                </c:pt>
                <c:pt idx="43">
                  <c:v>-1.264107177017847E-2</c:v>
                </c:pt>
                <c:pt idx="44">
                  <c:v>-1.2887991815171704E-2</c:v>
                </c:pt>
                <c:pt idx="45">
                  <c:v>-1.3132708496613393E-2</c:v>
                </c:pt>
                <c:pt idx="46">
                  <c:v>-1.337521575704791E-2</c:v>
                </c:pt>
                <c:pt idx="47">
                  <c:v>-1.3615507415329978E-2</c:v>
                </c:pt>
                <c:pt idx="48">
                  <c:v>-1.3853577170843647E-2</c:v>
                </c:pt>
                <c:pt idx="49">
                  <c:v>-1.4089418607854157E-2</c:v>
                </c:pt>
                <c:pt idx="50">
                  <c:v>-1.4323025199994954E-2</c:v>
                </c:pt>
                <c:pt idx="51">
                  <c:v>-1.4554390314889417E-2</c:v>
                </c:pt>
                <c:pt idx="52">
                  <c:v>-1.4783507218908701E-2</c:v>
                </c:pt>
                <c:pt idx="53">
                  <c:v>-1.5010369082066006E-2</c:v>
                </c:pt>
                <c:pt idx="54">
                  <c:v>-1.5234968983047792E-2</c:v>
                </c:pt>
                <c:pt idx="55">
                  <c:v>-1.5457299914383427E-2</c:v>
                </c:pt>
                <c:pt idx="56">
                  <c:v>-1.5677354787752527E-2</c:v>
                </c:pt>
                <c:pt idx="57">
                  <c:v>-1.5895126439431816E-2</c:v>
                </c:pt>
                <c:pt idx="58">
                  <c:v>-1.6110607635881194E-2</c:v>
                </c:pt>
                <c:pt idx="59">
                  <c:v>-1.6323791079469956E-2</c:v>
                </c:pt>
                <c:pt idx="60">
                  <c:v>-1.653466941434361E-2</c:v>
                </c:pt>
                <c:pt idx="61">
                  <c:v>-1.6743235232431375E-2</c:v>
                </c:pt>
                <c:pt idx="62">
                  <c:v>-1.694948107959534E-2</c:v>
                </c:pt>
                <c:pt idx="63">
                  <c:v>-1.7153399461921154E-2</c:v>
                </c:pt>
                <c:pt idx="64">
                  <c:v>-1.735498285215066E-2</c:v>
                </c:pt>
                <c:pt idx="65">
                  <c:v>-1.7554223696257251E-2</c:v>
                </c:pt>
                <c:pt idx="66">
                  <c:v>-1.7751114420163253E-2</c:v>
                </c:pt>
                <c:pt idx="67">
                  <c:v>-1.7945647436600438E-2</c:v>
                </c:pt>
                <c:pt idx="68">
                  <c:v>-1.8137815152113365E-2</c:v>
                </c:pt>
                <c:pt idx="69">
                  <c:v>-1.832760997420551E-2</c:v>
                </c:pt>
                <c:pt idx="70">
                  <c:v>-1.8515024318628816E-2</c:v>
                </c:pt>
                <c:pt idx="71">
                  <c:v>-1.8700050616815796E-2</c:v>
                </c:pt>
                <c:pt idx="72">
                  <c:v>-1.888268132345507E-2</c:v>
                </c:pt>
                <c:pt idx="73">
                  <c:v>-1.9062908924209396E-2</c:v>
                </c:pt>
                <c:pt idx="74">
                  <c:v>-1.924072594357671E-2</c:v>
                </c:pt>
                <c:pt idx="75">
                  <c:v>-1.9416124952893323E-2</c:v>
                </c:pt>
                <c:pt idx="76">
                  <c:v>-1.9589098578479385E-2</c:v>
                </c:pt>
                <c:pt idx="77">
                  <c:v>-1.9759639509926468E-2</c:v>
                </c:pt>
                <c:pt idx="78">
                  <c:v>-1.992774050852596E-2</c:v>
                </c:pt>
                <c:pt idx="79">
                  <c:v>-2.0093394415838982E-2</c:v>
                </c:pt>
                <c:pt idx="80">
                  <c:v>-2.0256594162406251E-2</c:v>
                </c:pt>
                <c:pt idx="81">
                  <c:v>-2.0417332776598022E-2</c:v>
                </c:pt>
                <c:pt idx="82">
                  <c:v>-2.0575603393602981E-2</c:v>
                </c:pt>
                <c:pt idx="83">
                  <c:v>-2.0731399264555493E-2</c:v>
                </c:pt>
                <c:pt idx="84">
                  <c:v>-2.0884713765800495E-2</c:v>
                </c:pt>
                <c:pt idx="85">
                  <c:v>-2.1035540408294896E-2</c:v>
                </c:pt>
                <c:pt idx="86">
                  <c:v>-2.1183872847144881E-2</c:v>
                </c:pt>
                <c:pt idx="87">
                  <c:v>-2.1329704891277664E-2</c:v>
                </c:pt>
                <c:pt idx="88">
                  <c:v>-2.1473030513246956E-2</c:v>
                </c:pt>
                <c:pt idx="89">
                  <c:v>-2.161384385917077E-2</c:v>
                </c:pt>
                <c:pt idx="90">
                  <c:v>-2.1752139258800311E-2</c:v>
                </c:pt>
                <c:pt idx="91">
                  <c:v>-2.1887911235718739E-2</c:v>
                </c:pt>
                <c:pt idx="92">
                  <c:v>-2.2021154517668316E-2</c:v>
                </c:pt>
                <c:pt idx="93">
                  <c:v>-2.2151864047004345E-2</c:v>
                </c:pt>
                <c:pt idx="94">
                  <c:v>-2.2280034991274556E-2</c:v>
                </c:pt>
                <c:pt idx="95">
                  <c:v>-2.2405662753922174E-2</c:v>
                </c:pt>
                <c:pt idx="96">
                  <c:v>-2.2528742985110907E-2</c:v>
                </c:pt>
                <c:pt idx="97">
                  <c:v>-2.2649271592670106E-2</c:v>
                </c:pt>
                <c:pt idx="98">
                  <c:v>-2.2767244753158326E-2</c:v>
                </c:pt>
                <c:pt idx="99">
                  <c:v>-2.2882658923043052E-2</c:v>
                </c:pt>
                <c:pt idx="100">
                  <c:v>-2.2995510849994842E-2</c:v>
                </c:pt>
                <c:pt idx="101">
                  <c:v>-2.3105797584293552E-2</c:v>
                </c:pt>
                <c:pt idx="102">
                  <c:v>-2.3213516490344657E-2</c:v>
                </c:pt>
                <c:pt idx="103">
                  <c:v>-2.3318665258303187E-2</c:v>
                </c:pt>
                <c:pt idx="104">
                  <c:v>-2.3421241915802964E-2</c:v>
                </c:pt>
                <c:pt idx="105">
                  <c:v>-2.3521244839788874E-2</c:v>
                </c:pt>
                <c:pt idx="106">
                  <c:v>-2.3618672768449485E-2</c:v>
                </c:pt>
                <c:pt idx="107">
                  <c:v>-2.3713524813247393E-2</c:v>
                </c:pt>
                <c:pt idx="108">
                  <c:v>-2.3805800471044952E-2</c:v>
                </c:pt>
                <c:pt idx="109">
                  <c:v>-2.3895499636322121E-2</c:v>
                </c:pt>
                <c:pt idx="110">
                  <c:v>-2.3982622613484182E-2</c:v>
                </c:pt>
                <c:pt idx="111">
                  <c:v>-2.4067170129255959E-2</c:v>
                </c:pt>
                <c:pt idx="112">
                  <c:v>-2.4149143345159975E-2</c:v>
                </c:pt>
                <c:pt idx="113">
                  <c:v>-2.4228543870075184E-2</c:v>
                </c:pt>
                <c:pt idx="114">
                  <c:v>-2.4305373772873423E-2</c:v>
                </c:pt>
                <c:pt idx="115">
                  <c:v>-2.4379635595130282E-2</c:v>
                </c:pt>
                <c:pt idx="116">
                  <c:v>-2.445133236390723E-2</c:v>
                </c:pt>
                <c:pt idx="117">
                  <c:v>-2.4520467604601606E-2</c:v>
                </c:pt>
                <c:pt idx="118">
                  <c:v>-2.4587045353861262E-2</c:v>
                </c:pt>
                <c:pt idx="119">
                  <c:v>-2.4651070172560241E-2</c:v>
                </c:pt>
                <c:pt idx="120">
                  <c:v>-2.4712547158832227E-2</c:v>
                </c:pt>
                <c:pt idx="121">
                  <c:v>-2.4771481961157901E-2</c:v>
                </c:pt>
                <c:pt idx="122">
                  <c:v>-2.4827880791503106E-2</c:v>
                </c:pt>
                <c:pt idx="123">
                  <c:v>-2.4881750438503606E-2</c:v>
                </c:pt>
                <c:pt idx="124">
                  <c:v>-2.4933098280693095E-2</c:v>
                </c:pt>
                <c:pt idx="125">
                  <c:v>-2.4981932299770672E-2</c:v>
                </c:pt>
                <c:pt idx="126">
                  <c:v>-2.5028261093903777E-2</c:v>
                </c:pt>
                <c:pt idx="127">
                  <c:v>-2.5072093891063161E-2</c:v>
                </c:pt>
                <c:pt idx="128">
                  <c:v>-2.5113440562385361E-2</c:v>
                </c:pt>
                <c:pt idx="129">
                  <c:v>-2.5152311635559543E-2</c:v>
                </c:pt>
                <c:pt idx="130">
                  <c:v>-2.5188718308233961E-2</c:v>
                </c:pt>
                <c:pt idx="131">
                  <c:v>-2.5222672461438819E-2</c:v>
                </c:pt>
                <c:pt idx="132">
                  <c:v>-2.5254186673020821E-2</c:v>
                </c:pt>
                <c:pt idx="133">
                  <c:v>-2.5283274231085864E-2</c:v>
                </c:pt>
                <c:pt idx="134">
                  <c:v>-2.5309949147445526E-2</c:v>
                </c:pt>
                <c:pt idx="135">
                  <c:v>-2.5334226171063463E-2</c:v>
                </c:pt>
                <c:pt idx="136">
                  <c:v>-2.5356120801497323E-2</c:v>
                </c:pt>
                <c:pt idx="137">
                  <c:v>-2.5375649302332472E-2</c:v>
                </c:pt>
                <c:pt idx="138">
                  <c:v>-2.5392828714602904E-2</c:v>
                </c:pt>
                <c:pt idx="139">
                  <c:v>-2.5407676870195739E-2</c:v>
                </c:pt>
                <c:pt idx="140">
                  <c:v>-2.5420212405234607E-2</c:v>
                </c:pt>
                <c:pt idx="141">
                  <c:v>-2.5430454773438332E-2</c:v>
                </c:pt>
                <c:pt idx="142">
                  <c:v>-2.5438424259450313E-2</c:v>
                </c:pt>
                <c:pt idx="143">
                  <c:v>-2.5444141992134781E-2</c:v>
                </c:pt>
                <c:pt idx="144">
                  <c:v>-2.5447629957835626E-2</c:v>
                </c:pt>
                <c:pt idx="145">
                  <c:v>-2.5448911013593895E-2</c:v>
                </c:pt>
                <c:pt idx="146">
                  <c:v>-2.5448008900319556E-2</c:v>
                </c:pt>
                <c:pt idx="147">
                  <c:v>-2.5444948255913868E-2</c:v>
                </c:pt>
                <c:pt idx="148">
                  <c:v>-2.5439754628337981E-2</c:v>
                </c:pt>
                <c:pt idx="149">
                  <c:v>-2.5432454488623871E-2</c:v>
                </c:pt>
                <c:pt idx="150">
                  <c:v>-2.5423075243823732E-2</c:v>
                </c:pt>
                <c:pt idx="151">
                  <c:v>-2.5411645249893713E-2</c:v>
                </c:pt>
                <c:pt idx="152">
                  <c:v>-2.5398193824508319E-2</c:v>
                </c:pt>
                <c:pt idx="153">
                  <c:v>-2.538275125980136E-2</c:v>
                </c:pt>
                <c:pt idx="154">
                  <c:v>-2.5365348835029739E-2</c:v>
                </c:pt>
                <c:pt idx="155">
                  <c:v>-2.5346018829156523E-2</c:v>
                </c:pt>
                <c:pt idx="156">
                  <c:v>-2.5324794533349331E-2</c:v>
                </c:pt>
                <c:pt idx="157">
                  <c:v>-2.530171026339045E-2</c:v>
                </c:pt>
                <c:pt idx="158">
                  <c:v>-2.5276801371995228E-2</c:v>
                </c:pt>
                <c:pt idx="159">
                  <c:v>-2.5250104261035002E-2</c:v>
                </c:pt>
                <c:pt idx="160">
                  <c:v>-2.522165639366148E-2</c:v>
                </c:pt>
                <c:pt idx="161">
                  <c:v>-2.5191496306328703E-2</c:v>
                </c:pt>
                <c:pt idx="162">
                  <c:v>-2.5159663620709705E-2</c:v>
                </c:pt>
                <c:pt idx="163">
                  <c:v>-2.512619905550461E-2</c:v>
                </c:pt>
                <c:pt idx="164">
                  <c:v>-2.5091144438136627E-2</c:v>
                </c:pt>
                <c:pt idx="165">
                  <c:v>-2.5054542716333412E-2</c:v>
                </c:pt>
                <c:pt idx="166">
                  <c:v>-2.5016437969590542E-2</c:v>
                </c:pt>
                <c:pt idx="167">
                  <c:v>-2.497687542051423E-2</c:v>
                </c:pt>
                <c:pt idx="168">
                  <c:v>-2.4935901446040659E-2</c:v>
                </c:pt>
                <c:pt idx="169">
                  <c:v>-2.4893563588528969E-2</c:v>
                </c:pt>
                <c:pt idx="170">
                  <c:v>-2.4849910566725624E-2</c:v>
                </c:pt>
                <c:pt idx="171">
                  <c:v>-2.4804992286597532E-2</c:v>
                </c:pt>
                <c:pt idx="172">
                  <c:v>-2.4758859852031405E-2</c:v>
                </c:pt>
                <c:pt idx="173">
                  <c:v>-2.4711565575397342E-2</c:v>
                </c:pt>
                <c:pt idx="174">
                  <c:v>-2.4663162987974267E-2</c:v>
                </c:pt>
                <c:pt idx="175">
                  <c:v>-2.4613706850235187E-2</c:v>
                </c:pt>
                <c:pt idx="176">
                  <c:v>-2.4563253161990515E-2</c:v>
                </c:pt>
                <c:pt idx="177">
                  <c:v>-2.4511859172387268E-2</c:v>
                </c:pt>
                <c:pt idx="178">
                  <c:v>-2.4459583389762788E-2</c:v>
                </c:pt>
                <c:pt idx="179">
                  <c:v>-2.4406485591351161E-2</c:v>
                </c:pt>
                <c:pt idx="180">
                  <c:v>-2.4352626832840851E-2</c:v>
                </c:pt>
                <c:pt idx="181">
                  <c:v>-2.4298069457782318E-2</c:v>
                </c:pt>
                <c:pt idx="182">
                  <c:v>-2.4242877106844196E-2</c:v>
                </c:pt>
                <c:pt idx="183">
                  <c:v>-2.4187114726917088E-2</c:v>
                </c:pt>
                <c:pt idx="184">
                  <c:v>-2.4130848580063907E-2</c:v>
                </c:pt>
                <c:pt idx="185">
                  <c:v>-2.4074146252315569E-2</c:v>
                </c:pt>
                <c:pt idx="186">
                  <c:v>-2.4017076662311891E-2</c:v>
                </c:pt>
                <c:pt idx="187">
                  <c:v>-2.3959710069786505E-2</c:v>
                </c:pt>
                <c:pt idx="188">
                  <c:v>-2.3902118083895522E-2</c:v>
                </c:pt>
                <c:pt idx="189">
                  <c:v>-2.3844373671389415E-2</c:v>
                </c:pt>
                <c:pt idx="190">
                  <c:v>-2.3786551164627998E-2</c:v>
                </c:pt>
                <c:pt idx="191">
                  <c:v>-2.3728726269438234E-2</c:v>
                </c:pt>
                <c:pt idx="192">
                  <c:v>-2.3670976072814605E-2</c:v>
                </c:pt>
                <c:pt idx="193">
                  <c:v>-2.3613379050462853E-2</c:v>
                </c:pt>
                <c:pt idx="194">
                  <c:v>-2.3556015074186105E-2</c:v>
                </c:pt>
                <c:pt idx="195">
                  <c:v>-2.349896541911493E-2</c:v>
                </c:pt>
                <c:pt idx="196">
                  <c:v>-2.3442312770780835E-2</c:v>
                </c:pt>
                <c:pt idx="197">
                  <c:v>-2.3386141232034117E-2</c:v>
                </c:pt>
                <c:pt idx="198">
                  <c:v>-2.3330536329806778E-2</c:v>
                </c:pt>
                <c:pt idx="199">
                  <c:v>-2.3275585021720863E-2</c:v>
                </c:pt>
                <c:pt idx="200">
                  <c:v>-2.3221375702543519E-2</c:v>
                </c:pt>
                <c:pt idx="201">
                  <c:v>-2.3167998210489447E-2</c:v>
                </c:pt>
                <c:pt idx="202">
                  <c:v>-2.3115543833371811E-2</c:v>
                </c:pt>
                <c:pt idx="203">
                  <c:v>-2.3064105314602901E-2</c:v>
                </c:pt>
                <c:pt idx="204">
                  <c:v>-2.3013776859045557E-2</c:v>
                </c:pt>
                <c:pt idx="205">
                  <c:v>-2.2964651027074855E-2</c:v>
                </c:pt>
                <c:pt idx="206">
                  <c:v>-2.2916770433993545E-2</c:v>
                </c:pt>
                <c:pt idx="207">
                  <c:v>-2.2870135874734927E-2</c:v>
                </c:pt>
                <c:pt idx="208">
                  <c:v>-2.2824746456160009E-2</c:v>
                </c:pt>
                <c:pt idx="209">
                  <c:v>-2.2780600813686405E-2</c:v>
                </c:pt>
                <c:pt idx="210">
                  <c:v>-2.2737697106563402E-2</c:v>
                </c:pt>
                <c:pt idx="211">
                  <c:v>-2.2696033013163787E-2</c:v>
                </c:pt>
                <c:pt idx="212">
                  <c:v>-2.2655605726293132E-2</c:v>
                </c:pt>
                <c:pt idx="213">
                  <c:v>-2.2616411948517455E-2</c:v>
                </c:pt>
                <c:pt idx="214">
                  <c:v>-2.257844788750963E-2</c:v>
                </c:pt>
                <c:pt idx="215">
                  <c:v>-2.254170925141584E-2</c:v>
                </c:pt>
                <c:pt idx="216">
                  <c:v>-2.2506191244242118E-2</c:v>
                </c:pt>
                <c:pt idx="217">
                  <c:v>-2.2471888561262591E-2</c:v>
                </c:pt>
                <c:pt idx="218">
                  <c:v>-2.2438795384449411E-2</c:v>
                </c:pt>
                <c:pt idx="219">
                  <c:v>-2.2406905377925918E-2</c:v>
                </c:pt>
                <c:pt idx="220">
                  <c:v>-2.2376211683443219E-2</c:v>
                </c:pt>
                <c:pt idx="221">
                  <c:v>-2.2346706915881462E-2</c:v>
                </c:pt>
                <c:pt idx="222">
                  <c:v>-2.2318383158776534E-2</c:v>
                </c:pt>
                <c:pt idx="223">
                  <c:v>-2.2291231959872867E-2</c:v>
                </c:pt>
                <c:pt idx="224">
                  <c:v>-2.226524432670355E-2</c:v>
                </c:pt>
                <c:pt idx="225">
                  <c:v>-2.2240410722198255E-2</c:v>
                </c:pt>
                <c:pt idx="226">
                  <c:v>-2.2216721060320296E-2</c:v>
                </c:pt>
                <c:pt idx="227">
                  <c:v>-2.2194164701733334E-2</c:v>
                </c:pt>
                <c:pt idx="228">
                  <c:v>-2.2172730449498933E-2</c:v>
                </c:pt>
                <c:pt idx="229">
                  <c:v>-2.2152406544805759E-2</c:v>
                </c:pt>
                <c:pt idx="230">
                  <c:v>-2.2133180662731334E-2</c:v>
                </c:pt>
                <c:pt idx="231">
                  <c:v>-2.2115039908037523E-2</c:v>
                </c:pt>
                <c:pt idx="232">
                  <c:v>-2.2097970811000515E-2</c:v>
                </c:pt>
                <c:pt idx="233">
                  <c:v>-2.208195932327613E-2</c:v>
                </c:pt>
                <c:pt idx="234">
                  <c:v>-2.2066990813801958E-2</c:v>
                </c:pt>
                <c:pt idx="235">
                  <c:v>-2.2053050064736814E-2</c:v>
                </c:pt>
                <c:pt idx="236">
                  <c:v>-2.2040121267438588E-2</c:v>
                </c:pt>
                <c:pt idx="237">
                  <c:v>-2.2028188018481949E-2</c:v>
                </c:pt>
                <c:pt idx="238">
                  <c:v>-2.2017233315716308E-2</c:v>
                </c:pt>
                <c:pt idx="239">
                  <c:v>-2.2007239554365485E-2</c:v>
                </c:pt>
                <c:pt idx="240">
                  <c:v>-2.1998188523169905E-2</c:v>
                </c:pt>
                <c:pt idx="241">
                  <c:v>-2.1990061400572653E-2</c:v>
                </c:pt>
                <c:pt idx="242">
                  <c:v>-2.1982838750950025E-2</c:v>
                </c:pt>
                <c:pt idx="243">
                  <c:v>-2.1976500520888023E-2</c:v>
                </c:pt>
                <c:pt idx="244">
                  <c:v>-2.1971026035505641E-2</c:v>
                </c:pt>
                <c:pt idx="245">
                  <c:v>-2.1966393994826115E-2</c:v>
                </c:pt>
                <c:pt idx="246">
                  <c:v>-2.1962582470197254E-2</c:v>
                </c:pt>
                <c:pt idx="247">
                  <c:v>-2.1959568900761714E-2</c:v>
                </c:pt>
                <c:pt idx="248">
                  <c:v>-2.1957330089978667E-2</c:v>
                </c:pt>
                <c:pt idx="249">
                  <c:v>-2.1955842202197737E-2</c:v>
                </c:pt>
                <c:pt idx="250">
                  <c:v>-2.1955080759286295E-2</c:v>
                </c:pt>
                <c:pt idx="251">
                  <c:v>-2.195502063731132E-2</c:v>
                </c:pt>
                <c:pt idx="252">
                  <c:v>-2.195563606327702E-2</c:v>
                </c:pt>
                <c:pt idx="253">
                  <c:v>-2.1956900611919114E-2</c:v>
                </c:pt>
                <c:pt idx="254">
                  <c:v>-2.1958787202557017E-2</c:v>
                </c:pt>
                <c:pt idx="255">
                  <c:v>-2.1961268096005165E-2</c:v>
                </c:pt>
                <c:pt idx="256">
                  <c:v>-2.1964314891544465E-2</c:v>
                </c:pt>
                <c:pt idx="257">
                  <c:v>-2.1967898523955139E-2</c:v>
                </c:pt>
                <c:pt idx="258">
                  <c:v>-2.1971989260611838E-2</c:v>
                </c:pt>
                <c:pt idx="259">
                  <c:v>-2.1976556698642648E-2</c:v>
                </c:pt>
                <c:pt idx="260">
                  <c:v>-2.1981569762152646E-2</c:v>
                </c:pt>
                <c:pt idx="261">
                  <c:v>-2.1986996699513456E-2</c:v>
                </c:pt>
                <c:pt idx="262">
                  <c:v>-2.1992805080719987E-2</c:v>
                </c:pt>
                <c:pt idx="263">
                  <c:v>-2.1998961794815145E-2</c:v>
                </c:pt>
                <c:pt idx="264">
                  <c:v>-2.2005433047384285E-2</c:v>
                </c:pt>
                <c:pt idx="265">
                  <c:v>-2.2012184358119958E-2</c:v>
                </c:pt>
                <c:pt idx="266">
                  <c:v>-2.2019180558458553E-2</c:v>
                </c:pt>
                <c:pt idx="267">
                  <c:v>-2.2026385789289719E-2</c:v>
                </c:pt>
                <c:pt idx="268">
                  <c:v>-2.2033763498740058E-2</c:v>
                </c:pt>
                <c:pt idx="269">
                  <c:v>-2.204127644003186E-2</c:v>
                </c:pt>
                <c:pt idx="270">
                  <c:v>-2.2048886669418375E-2</c:v>
                </c:pt>
                <c:pt idx="271">
                  <c:v>-2.2056555544196683E-2</c:v>
                </c:pt>
                <c:pt idx="272">
                  <c:v>-2.2064243720799306E-2</c:v>
                </c:pt>
                <c:pt idx="273">
                  <c:v>-2.2071911152965862E-2</c:v>
                </c:pt>
                <c:pt idx="274">
                  <c:v>-2.2079517089995771E-2</c:v>
                </c:pt>
                <c:pt idx="275">
                  <c:v>-2.2087020075083307E-2</c:v>
                </c:pt>
                <c:pt idx="276">
                  <c:v>-2.2094377943736219E-2</c:v>
                </c:pt>
                <c:pt idx="277">
                  <c:v>-2.2101547822279001E-2</c:v>
                </c:pt>
                <c:pt idx="278">
                  <c:v>-2.2108486126442013E-2</c:v>
                </c:pt>
                <c:pt idx="279">
                  <c:v>-2.2115148560037771E-2</c:v>
                </c:pt>
                <c:pt idx="280">
                  <c:v>-2.2121490113725332E-2</c:v>
                </c:pt>
                <c:pt idx="281">
                  <c:v>-2.2127465063864364E-2</c:v>
                </c:pt>
                <c:pt idx="282">
                  <c:v>-2.2133026971459531E-2</c:v>
                </c:pt>
                <c:pt idx="283">
                  <c:v>-2.2138128681197074E-2</c:v>
                </c:pt>
                <c:pt idx="284">
                  <c:v>-2.2142722320574026E-2</c:v>
                </c:pt>
                <c:pt idx="285">
                  <c:v>-2.2146759299122014E-2</c:v>
                </c:pt>
                <c:pt idx="286">
                  <c:v>-2.2150190307726143E-2</c:v>
                </c:pt>
                <c:pt idx="287">
                  <c:v>-2.2152965318040778E-2</c:v>
                </c:pt>
                <c:pt idx="288">
                  <c:v>-2.2155033582002819E-2</c:v>
                </c:pt>
                <c:pt idx="289">
                  <c:v>-2.2156343631444243E-2</c:v>
                </c:pt>
                <c:pt idx="290">
                  <c:v>-2.2156843277804622E-2</c:v>
                </c:pt>
                <c:pt idx="291">
                  <c:v>-2.2156479611945189E-2</c:v>
                </c:pt>
                <c:pt idx="292">
                  <c:v>-2.2155194294596271E-2</c:v>
                </c:pt>
                <c:pt idx="293">
                  <c:v>-2.2152955162254549E-2</c:v>
                </c:pt>
                <c:pt idx="294">
                  <c:v>-2.214975816862353E-2</c:v>
                </c:pt>
                <c:pt idx="295">
                  <c:v>-2.214559956111652E-2</c:v>
                </c:pt>
                <c:pt idx="296">
                  <c:v>-2.2140475651860825E-2</c:v>
                </c:pt>
                <c:pt idx="297">
                  <c:v>-2.2134382817985496E-2</c:v>
                </c:pt>
                <c:pt idx="298">
                  <c:v>-2.2127317501903689E-2</c:v>
                </c:pt>
                <c:pt idx="299">
                  <c:v>-2.2119276211589503E-2</c:v>
                </c:pt>
                <c:pt idx="300">
                  <c:v>-2.2110255520849435E-2</c:v>
                </c:pt>
                <c:pt idx="301">
                  <c:v>-2.2100252069588221E-2</c:v>
                </c:pt>
                <c:pt idx="302">
                  <c:v>-2.2089262564069272E-2</c:v>
                </c:pt>
                <c:pt idx="303">
                  <c:v>-2.2077283777169429E-2</c:v>
                </c:pt>
                <c:pt idx="304">
                  <c:v>-2.2064312548628284E-2</c:v>
                </c:pt>
                <c:pt idx="305">
                  <c:v>-2.2050345785291931E-2</c:v>
                </c:pt>
                <c:pt idx="306">
                  <c:v>-2.2035380461350954E-2</c:v>
                </c:pt>
                <c:pt idx="307">
                  <c:v>-2.2019413618572983E-2</c:v>
                </c:pt>
                <c:pt idx="308">
                  <c:v>-2.2002442366529578E-2</c:v>
                </c:pt>
                <c:pt idx="309">
                  <c:v>-2.1984463882817346E-2</c:v>
                </c:pt>
                <c:pt idx="310">
                  <c:v>-2.1965475413273587E-2</c:v>
                </c:pt>
                <c:pt idx="311">
                  <c:v>-2.1945474272186054E-2</c:v>
                </c:pt>
                <c:pt idx="312">
                  <c:v>-2.1924457842497233E-2</c:v>
                </c:pt>
                <c:pt idx="313">
                  <c:v>-2.1902423576002715E-2</c:v>
                </c:pt>
                <c:pt idx="314">
                  <c:v>-2.1879368993543941E-2</c:v>
                </c:pt>
                <c:pt idx="315">
                  <c:v>-2.1855291685195261E-2</c:v>
                </c:pt>
                <c:pt idx="316">
                  <c:v>-2.183018931044511E-2</c:v>
                </c:pt>
                <c:pt idx="317">
                  <c:v>-2.180405959837154E-2</c:v>
                </c:pt>
                <c:pt idx="318">
                  <c:v>-2.177690034781184E-2</c:v>
                </c:pt>
                <c:pt idx="319">
                  <c:v>-2.1748709427526623E-2</c:v>
                </c:pt>
                <c:pt idx="320">
                  <c:v>-2.1719484776357722E-2</c:v>
                </c:pt>
                <c:pt idx="321">
                  <c:v>-2.1689224403380721E-2</c:v>
                </c:pt>
                <c:pt idx="322">
                  <c:v>-2.1657926388051245E-2</c:v>
                </c:pt>
                <c:pt idx="323">
                  <c:v>-2.1625588880345784E-2</c:v>
                </c:pt>
                <c:pt idx="324">
                  <c:v>-2.1592210100896406E-2</c:v>
                </c:pt>
                <c:pt idx="325">
                  <c:v>-2.1557788341119776E-2</c:v>
                </c:pt>
                <c:pt idx="326">
                  <c:v>-2.1522321963340262E-2</c:v>
                </c:pt>
                <c:pt idx="327">
                  <c:v>-2.1485809400907174E-2</c:v>
                </c:pt>
                <c:pt idx="328">
                  <c:v>-2.1448249158306204E-2</c:v>
                </c:pt>
                <c:pt idx="329">
                  <c:v>-2.1409639811264834E-2</c:v>
                </c:pt>
                <c:pt idx="330">
                  <c:v>-2.1369980006852054E-2</c:v>
                </c:pt>
                <c:pt idx="331">
                  <c:v>-2.132926846357203E-2</c:v>
                </c:pt>
                <c:pt idx="332">
                  <c:v>-2.128750397145197E-2</c:v>
                </c:pt>
                <c:pt idx="333">
                  <c:v>-2.1244685392124058E-2</c:v>
                </c:pt>
                <c:pt idx="334">
                  <c:v>-2.1200811658901503E-2</c:v>
                </c:pt>
                <c:pt idx="335">
                  <c:v>-2.1155881776848622E-2</c:v>
                </c:pt>
                <c:pt idx="336">
                  <c:v>-2.1109894822845126E-2</c:v>
                </c:pt>
                <c:pt idx="337">
                  <c:v>-2.106284994564437E-2</c:v>
                </c:pt>
                <c:pt idx="338">
                  <c:v>-2.1014746365925797E-2</c:v>
                </c:pt>
                <c:pt idx="339">
                  <c:v>-2.0965583376341343E-2</c:v>
                </c:pt>
                <c:pt idx="340">
                  <c:v>-2.091536034155609E-2</c:v>
                </c:pt>
                <c:pt idx="341">
                  <c:v>-2.0864076698282819E-2</c:v>
                </c:pt>
                <c:pt idx="342">
                  <c:v>-2.0811731955310775E-2</c:v>
                </c:pt>
                <c:pt idx="343">
                  <c:v>-2.07583256935285E-2</c:v>
                </c:pt>
                <c:pt idx="344">
                  <c:v>-2.0703857565940668E-2</c:v>
                </c:pt>
                <c:pt idx="345">
                  <c:v>-2.0648327297679091E-2</c:v>
                </c:pt>
                <c:pt idx="346">
                  <c:v>-2.0591734686007834E-2</c:v>
                </c:pt>
                <c:pt idx="347">
                  <c:v>-2.0534079600322198E-2</c:v>
                </c:pt>
                <c:pt idx="348">
                  <c:v>-2.0475361982142205E-2</c:v>
                </c:pt>
                <c:pt idx="349">
                  <c:v>-2.0415581845099735E-2</c:v>
                </c:pt>
                <c:pt idx="350">
                  <c:v>-2.0354739274920118E-2</c:v>
                </c:pt>
                <c:pt idx="351">
                  <c:v>-2.0292834429397548E-2</c:v>
                </c:pt>
                <c:pt idx="352">
                  <c:v>-2.0229867538364876E-2</c:v>
                </c:pt>
                <c:pt idx="353">
                  <c:v>-2.0165838903657286E-2</c:v>
                </c:pt>
                <c:pt idx="354">
                  <c:v>-2.0100748899070216E-2</c:v>
                </c:pt>
                <c:pt idx="355">
                  <c:v>-2.003459797031143E-2</c:v>
                </c:pt>
                <c:pt idx="356">
                  <c:v>-1.9967386634947085E-2</c:v>
                </c:pt>
                <c:pt idx="357">
                  <c:v>-1.9899115482342144E-2</c:v>
                </c:pt>
                <c:pt idx="358">
                  <c:v>-1.9829785173594738E-2</c:v>
                </c:pt>
                <c:pt idx="359">
                  <c:v>-1.9759396441464846E-2</c:v>
                </c:pt>
                <c:pt idx="360">
                  <c:v>-1.9687950090296995E-2</c:v>
                </c:pt>
                <c:pt idx="361">
                  <c:v>-1.9615446995937362E-2</c:v>
                </c:pt>
                <c:pt idx="362">
                  <c:v>-1.9541888105644778E-2</c:v>
                </c:pt>
                <c:pt idx="363">
                  <c:v>-1.9467274437996132E-2</c:v>
                </c:pt>
                <c:pt idx="364">
                  <c:v>-1.9391607082786002E-2</c:v>
                </c:pt>
                <c:pt idx="365">
                  <c:v>-1.9314887200920304E-2</c:v>
                </c:pt>
                <c:pt idx="366">
                  <c:v>-1.9237116024304418E-2</c:v>
                </c:pt>
                <c:pt idx="367">
                  <c:v>-1.915829485572542E-2</c:v>
                </c:pt>
                <c:pt idx="368">
                  <c:v>-1.9078425068728568E-2</c:v>
                </c:pt>
                <c:pt idx="369">
                  <c:v>-1.8997508107488119E-2</c:v>
                </c:pt>
                <c:pt idx="370">
                  <c:v>-1.8915545486672486E-2</c:v>
                </c:pt>
                <c:pt idx="371">
                  <c:v>-1.8832538791303491E-2</c:v>
                </c:pt>
                <c:pt idx="372">
                  <c:v>-1.8748489676610178E-2</c:v>
                </c:pt>
                <c:pt idx="373">
                  <c:v>-1.8663399867876795E-2</c:v>
                </c:pt>
                <c:pt idx="374">
                  <c:v>-1.857727116028518E-2</c:v>
                </c:pt>
                <c:pt idx="375">
                  <c:v>-1.8490105418751554E-2</c:v>
                </c:pt>
                <c:pt idx="376">
                  <c:v>-1.8401904577757585E-2</c:v>
                </c:pt>
                <c:pt idx="377">
                  <c:v>-1.831267064117599E-2</c:v>
                </c:pt>
                <c:pt idx="378">
                  <c:v>-1.8222405682090419E-2</c:v>
                </c:pt>
                <c:pt idx="379">
                  <c:v>-1.8131111842609904E-2</c:v>
                </c:pt>
                <c:pt idx="380">
                  <c:v>-1.8038791333677633E-2</c:v>
                </c:pt>
                <c:pt idx="381">
                  <c:v>-1.7945446434874328E-2</c:v>
                </c:pt>
                <c:pt idx="382">
                  <c:v>-1.7851079494216007E-2</c:v>
                </c:pt>
                <c:pt idx="383">
                  <c:v>-1.775569292794632E-2</c:v>
                </c:pt>
                <c:pt idx="384">
                  <c:v>-1.7659289220323428E-2</c:v>
                </c:pt>
                <c:pt idx="385">
                  <c:v>-1.7561870923401397E-2</c:v>
                </c:pt>
                <c:pt idx="386">
                  <c:v>-1.746344065680619E-2</c:v>
                </c:pt>
                <c:pt idx="387">
                  <c:v>-1.7364001107506272E-2</c:v>
                </c:pt>
                <c:pt idx="388">
                  <c:v>-1.7263555029577785E-2</c:v>
                </c:pt>
                <c:pt idx="389">
                  <c:v>-1.7162105243964512E-2</c:v>
                </c:pt>
                <c:pt idx="390">
                  <c:v>-1.7059654638232301E-2</c:v>
                </c:pt>
                <c:pt idx="391">
                  <c:v>-1.6956206166318318E-2</c:v>
                </c:pt>
                <c:pt idx="392">
                  <c:v>-1.685176284827505E-2</c:v>
                </c:pt>
                <c:pt idx="393">
                  <c:v>-1.6746327770008913E-2</c:v>
                </c:pt>
                <c:pt idx="394">
                  <c:v>-1.663990408301376E-2</c:v>
                </c:pt>
                <c:pt idx="395">
                  <c:v>-1.6532495004099087E-2</c:v>
                </c:pt>
                <c:pt idx="396">
                  <c:v>-1.6424103815113174E-2</c:v>
                </c:pt>
                <c:pt idx="397">
                  <c:v>-1.6314733862660913E-2</c:v>
                </c:pt>
                <c:pt idx="398">
                  <c:v>-1.6204388557816661E-2</c:v>
                </c:pt>
                <c:pt idx="399">
                  <c:v>-1.6093071375831915E-2</c:v>
                </c:pt>
                <c:pt idx="400">
                  <c:v>-1.5980785855837926E-2</c:v>
                </c:pt>
                <c:pt idx="401">
                  <c:v>-1.5867535600543298E-2</c:v>
                </c:pt>
                <c:pt idx="402">
                  <c:v>-1.5753324275926534E-2</c:v>
                </c:pt>
                <c:pt idx="403">
                  <c:v>-1.5638155610923632E-2</c:v>
                </c:pt>
                <c:pt idx="404">
                  <c:v>-1.5522033397110693E-2</c:v>
                </c:pt>
                <c:pt idx="405">
                  <c:v>-1.5404961488381689E-2</c:v>
                </c:pt>
                <c:pt idx="406">
                  <c:v>-1.5286943800621179E-2</c:v>
                </c:pt>
                <c:pt idx="407">
                  <c:v>-1.5167984311372338E-2</c:v>
                </c:pt>
                <c:pt idx="408">
                  <c:v>-1.5048087059500052E-2</c:v>
                </c:pt>
                <c:pt idx="409">
                  <c:v>-1.49272561448492E-2</c:v>
                </c:pt>
                <c:pt idx="410">
                  <c:v>-1.4805495727898252E-2</c:v>
                </c:pt>
                <c:pt idx="411">
                  <c:v>-1.4682810029408055E-2</c:v>
                </c:pt>
                <c:pt idx="412">
                  <c:v>-1.4559203330065971E-2</c:v>
                </c:pt>
                <c:pt idx="413">
                  <c:v>-1.4434679970125276E-2</c:v>
                </c:pt>
                <c:pt idx="414">
                  <c:v>-1.4309244349040053E-2</c:v>
                </c:pt>
                <c:pt idx="415">
                  <c:v>-1.4182900925095275E-2</c:v>
                </c:pt>
                <c:pt idx="416">
                  <c:v>-1.4055654215032572E-2</c:v>
                </c:pt>
                <c:pt idx="417">
                  <c:v>-1.3927508793671276E-2</c:v>
                </c:pt>
                <c:pt idx="418">
                  <c:v>-1.3798469293525042E-2</c:v>
                </c:pt>
                <c:pt idx="419">
                  <c:v>-1.3668540404414021E-2</c:v>
                </c:pt>
                <c:pt idx="420">
                  <c:v>-1.3537726873072546E-2</c:v>
                </c:pt>
                <c:pt idx="421">
                  <c:v>-1.3406033502752547E-2</c:v>
                </c:pt>
                <c:pt idx="422">
                  <c:v>-1.3273465152822458E-2</c:v>
                </c:pt>
                <c:pt idx="423">
                  <c:v>-1.3140026738361964E-2</c:v>
                </c:pt>
                <c:pt idx="424">
                  <c:v>-1.3005723229752316E-2</c:v>
                </c:pt>
                <c:pt idx="425">
                  <c:v>-1.28705596522626E-2</c:v>
                </c:pt>
                <c:pt idx="426">
                  <c:v>-1.2734541085631573E-2</c:v>
                </c:pt>
                <c:pt idx="427">
                  <c:v>-1.2597672663645563E-2</c:v>
                </c:pt>
                <c:pt idx="428">
                  <c:v>-1.2459959573712102E-2</c:v>
                </c:pt>
                <c:pt idx="429">
                  <c:v>-1.2321407056429463E-2</c:v>
                </c:pt>
                <c:pt idx="430">
                  <c:v>-1.2182020405152306E-2</c:v>
                </c:pt>
                <c:pt idx="431">
                  <c:v>-1.2041804965553092E-2</c:v>
                </c:pt>
                <c:pt idx="432">
                  <c:v>-1.1900766135179808E-2</c:v>
                </c:pt>
                <c:pt idx="433">
                  <c:v>-1.1758909363009454E-2</c:v>
                </c:pt>
                <c:pt idx="434">
                  <c:v>-1.1616240148997932E-2</c:v>
                </c:pt>
                <c:pt idx="435">
                  <c:v>-1.1472764043625894E-2</c:v>
                </c:pt>
                <c:pt idx="436">
                  <c:v>-1.1328486647440923E-2</c:v>
                </c:pt>
                <c:pt idx="437">
                  <c:v>-1.1183413610595824E-2</c:v>
                </c:pt>
                <c:pt idx="438">
                  <c:v>-1.1037550632383373E-2</c:v>
                </c:pt>
                <c:pt idx="439">
                  <c:v>-1.0890903460767199E-2</c:v>
                </c:pt>
                <c:pt idx="440">
                  <c:v>-1.0743477891909159E-2</c:v>
                </c:pt>
                <c:pt idx="441">
                  <c:v>-1.0595279769693097E-2</c:v>
                </c:pt>
                <c:pt idx="442">
                  <c:v>-1.0446314985245042E-2</c:v>
                </c:pt>
                <c:pt idx="443">
                  <c:v>-1.0296589476449932E-2</c:v>
                </c:pt>
                <c:pt idx="444">
                  <c:v>-1.0146109227464822E-2</c:v>
                </c:pt>
                <c:pt idx="445">
                  <c:v>-9.9948802682287945E-3</c:v>
                </c:pt>
                <c:pt idx="446">
                  <c:v>-9.8429086739693101E-3</c:v>
                </c:pt>
                <c:pt idx="447">
                  <c:v>-9.6902005647054694E-3</c:v>
                </c:pt>
                <c:pt idx="448">
                  <c:v>-9.5367621047478014E-3</c:v>
                </c:pt>
                <c:pt idx="449">
                  <c:v>-9.3825995021948987E-3</c:v>
                </c:pt>
                <c:pt idx="450">
                  <c:v>-9.2277190084269142E-3</c:v>
                </c:pt>
                <c:pt idx="451">
                  <c:v>-9.0721269175957631E-3</c:v>
                </c:pt>
                <c:pt idx="452">
                  <c:v>-8.9158295661123932E-3</c:v>
                </c:pt>
                <c:pt idx="453">
                  <c:v>-8.758833332130931E-3</c:v>
                </c:pt>
                <c:pt idx="454">
                  <c:v>-8.6011446350298098E-3</c:v>
                </c:pt>
                <c:pt idx="455">
                  <c:v>-8.4427699348899165E-3</c:v>
                </c:pt>
                <c:pt idx="456">
                  <c:v>-8.2837157319699713E-3</c:v>
                </c:pt>
                <c:pt idx="457">
                  <c:v>-8.1239885661788351E-3</c:v>
                </c:pt>
                <c:pt idx="458">
                  <c:v>-7.96359501654521E-3</c:v>
                </c:pt>
                <c:pt idx="459">
                  <c:v>-7.8025417006843643E-3</c:v>
                </c:pt>
                <c:pt idx="460">
                  <c:v>-7.6408352742623389E-3</c:v>
                </c:pt>
                <c:pt idx="461">
                  <c:v>-7.4784824304573571E-3</c:v>
                </c:pt>
                <c:pt idx="462">
                  <c:v>-7.3154898994185697E-3</c:v>
                </c:pt>
                <c:pt idx="463">
                  <c:v>-7.1518644477224606E-3</c:v>
                </c:pt>
                <c:pt idx="464">
                  <c:v>-6.9876128778263739E-3</c:v>
                </c:pt>
                <c:pt idx="465">
                  <c:v>-6.8227420275198897E-3</c:v>
                </c:pt>
                <c:pt idx="466">
                  <c:v>-6.6572587693735624E-3</c:v>
                </c:pt>
                <c:pt idx="467">
                  <c:v>-6.491170010185416E-3</c:v>
                </c:pt>
                <c:pt idx="468">
                  <c:v>-6.3244826904249318E-3</c:v>
                </c:pt>
                <c:pt idx="469">
                  <c:v>-6.1572037836750363E-3</c:v>
                </c:pt>
                <c:pt idx="470">
                  <c:v>-5.9893402960715346E-3</c:v>
                </c:pt>
                <c:pt idx="471">
                  <c:v>-5.8208992657406335E-3</c:v>
                </c:pt>
                <c:pt idx="472">
                  <c:v>-5.6518877622341746E-3</c:v>
                </c:pt>
                <c:pt idx="473">
                  <c:v>-5.4823128859628426E-3</c:v>
                </c:pt>
                <c:pt idx="474">
                  <c:v>-5.3121817676273757E-3</c:v>
                </c:pt>
                <c:pt idx="475">
                  <c:v>-5.1415015676476951E-3</c:v>
                </c:pt>
                <c:pt idx="476">
                  <c:v>-4.9702794755902653E-3</c:v>
                </c:pt>
                <c:pt idx="477">
                  <c:v>-4.7985227095933992E-3</c:v>
                </c:pt>
                <c:pt idx="478">
                  <c:v>-4.6262385157909043E-3</c:v>
                </c:pt>
                <c:pt idx="479">
                  <c:v>-4.4534341677338208E-3</c:v>
                </c:pt>
                <c:pt idx="480">
                  <c:v>-4.2801169658105501E-3</c:v>
                </c:pt>
                <c:pt idx="481">
                  <c:v>-4.1062942366651882E-3</c:v>
                </c:pt>
                <c:pt idx="482">
                  <c:v>-3.9319733326143814E-3</c:v>
                </c:pt>
                <c:pt idx="483">
                  <c:v>-3.7571616310624889E-3</c:v>
                </c:pt>
                <c:pt idx="484">
                  <c:v>-3.5818665339153251E-3</c:v>
                </c:pt>
                <c:pt idx="485">
                  <c:v>-3.4060954669923572E-3</c:v>
                </c:pt>
                <c:pt idx="486">
                  <c:v>-3.2298558794375295E-3</c:v>
                </c:pt>
                <c:pt idx="487">
                  <c:v>-3.0531552431287759E-3</c:v>
                </c:pt>
                <c:pt idx="488">
                  <c:v>-2.8760010520860989E-3</c:v>
                </c:pt>
                <c:pt idx="489">
                  <c:v>-2.6984008218785796E-3</c:v>
                </c:pt>
                <c:pt idx="490">
                  <c:v>-2.520362089029957E-3</c:v>
                </c:pt>
                <c:pt idx="491">
                  <c:v>-2.3418924104232552E-3</c:v>
                </c:pt>
                <c:pt idx="492">
                  <c:v>-2.1629993627042361E-3</c:v>
                </c:pt>
                <c:pt idx="493">
                  <c:v>-1.9836905416837297E-3</c:v>
                </c:pt>
                <c:pt idx="494">
                  <c:v>-1.8039735617391783E-3</c:v>
                </c:pt>
                <c:pt idx="495">
                  <c:v>-1.6238560552149556E-3</c:v>
                </c:pt>
                <c:pt idx="496">
                  <c:v>-1.4433456718221005E-3</c:v>
                </c:pt>
                <c:pt idx="497">
                  <c:v>-1.2624500780369513E-3</c:v>
                </c:pt>
                <c:pt idx="498">
                  <c:v>-1.0811769564992148E-3</c:v>
                </c:pt>
                <c:pt idx="499">
                  <c:v>-8.995340054091407E-4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CD-4352-B20A-242E1F7D3F0D}"/>
            </c:ext>
          </c:extLst>
        </c:ser>
        <c:ser>
          <c:idx val="2"/>
          <c:order val="2"/>
          <c:tx>
            <c:v>Mean Camber Line</c:v>
          </c:tx>
          <c:spPr>
            <a:ln w="31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Data4!$B$1:$B$500</c:f>
              <c:numCache>
                <c:formatCode>0.00000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Data4!$Y$1:$Y$500</c:f>
              <c:numCache>
                <c:formatCode>General</c:formatCode>
                <c:ptCount val="50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  <c:pt idx="50">
                  <c:v>-0.2</c:v>
                </c:pt>
                <c:pt idx="51">
                  <c:v>-0.2</c:v>
                </c:pt>
                <c:pt idx="52">
                  <c:v>-0.2</c:v>
                </c:pt>
                <c:pt idx="53">
                  <c:v>-0.2</c:v>
                </c:pt>
                <c:pt idx="54">
                  <c:v>-0.2</c:v>
                </c:pt>
                <c:pt idx="55">
                  <c:v>-0.2</c:v>
                </c:pt>
                <c:pt idx="56">
                  <c:v>-0.2</c:v>
                </c:pt>
                <c:pt idx="57">
                  <c:v>-0.2</c:v>
                </c:pt>
                <c:pt idx="58">
                  <c:v>-0.2</c:v>
                </c:pt>
                <c:pt idx="59">
                  <c:v>-0.2</c:v>
                </c:pt>
                <c:pt idx="60">
                  <c:v>-0.2</c:v>
                </c:pt>
                <c:pt idx="61">
                  <c:v>-0.2</c:v>
                </c:pt>
                <c:pt idx="62">
                  <c:v>-0.2</c:v>
                </c:pt>
                <c:pt idx="63">
                  <c:v>-0.2</c:v>
                </c:pt>
                <c:pt idx="64">
                  <c:v>-0.2</c:v>
                </c:pt>
                <c:pt idx="65">
                  <c:v>-0.2</c:v>
                </c:pt>
                <c:pt idx="66">
                  <c:v>-0.2</c:v>
                </c:pt>
                <c:pt idx="67">
                  <c:v>-0.2</c:v>
                </c:pt>
                <c:pt idx="68">
                  <c:v>-0.2</c:v>
                </c:pt>
                <c:pt idx="69">
                  <c:v>-0.2</c:v>
                </c:pt>
                <c:pt idx="70">
                  <c:v>-0.2</c:v>
                </c:pt>
                <c:pt idx="71">
                  <c:v>-0.2</c:v>
                </c:pt>
                <c:pt idx="72">
                  <c:v>-0.2</c:v>
                </c:pt>
                <c:pt idx="73">
                  <c:v>-0.2</c:v>
                </c:pt>
                <c:pt idx="74">
                  <c:v>-0.2</c:v>
                </c:pt>
                <c:pt idx="75">
                  <c:v>-0.2</c:v>
                </c:pt>
                <c:pt idx="76">
                  <c:v>-0.2</c:v>
                </c:pt>
                <c:pt idx="77">
                  <c:v>-0.2</c:v>
                </c:pt>
                <c:pt idx="78">
                  <c:v>-0.2</c:v>
                </c:pt>
                <c:pt idx="79">
                  <c:v>-0.2</c:v>
                </c:pt>
                <c:pt idx="80">
                  <c:v>-0.2</c:v>
                </c:pt>
                <c:pt idx="81">
                  <c:v>-0.2</c:v>
                </c:pt>
                <c:pt idx="82">
                  <c:v>-0.2</c:v>
                </c:pt>
                <c:pt idx="83">
                  <c:v>-0.2</c:v>
                </c:pt>
                <c:pt idx="84">
                  <c:v>-0.2</c:v>
                </c:pt>
                <c:pt idx="85">
                  <c:v>-0.2</c:v>
                </c:pt>
                <c:pt idx="86">
                  <c:v>-0.2</c:v>
                </c:pt>
                <c:pt idx="87">
                  <c:v>-0.2</c:v>
                </c:pt>
                <c:pt idx="88">
                  <c:v>-0.2</c:v>
                </c:pt>
                <c:pt idx="89">
                  <c:v>-0.2</c:v>
                </c:pt>
                <c:pt idx="90">
                  <c:v>-0.2</c:v>
                </c:pt>
                <c:pt idx="91">
                  <c:v>-0.2</c:v>
                </c:pt>
                <c:pt idx="92">
                  <c:v>-0.2</c:v>
                </c:pt>
                <c:pt idx="93">
                  <c:v>-0.2</c:v>
                </c:pt>
                <c:pt idx="94">
                  <c:v>-0.2</c:v>
                </c:pt>
                <c:pt idx="95">
                  <c:v>-0.2</c:v>
                </c:pt>
                <c:pt idx="96">
                  <c:v>-0.2</c:v>
                </c:pt>
                <c:pt idx="97">
                  <c:v>-0.2</c:v>
                </c:pt>
                <c:pt idx="98">
                  <c:v>-0.2</c:v>
                </c:pt>
                <c:pt idx="99">
                  <c:v>-0.2</c:v>
                </c:pt>
                <c:pt idx="100">
                  <c:v>-0.2</c:v>
                </c:pt>
                <c:pt idx="101">
                  <c:v>-0.2</c:v>
                </c:pt>
                <c:pt idx="102">
                  <c:v>-0.2</c:v>
                </c:pt>
                <c:pt idx="103">
                  <c:v>-0.2</c:v>
                </c:pt>
                <c:pt idx="104">
                  <c:v>-0.2</c:v>
                </c:pt>
                <c:pt idx="105">
                  <c:v>-0.2</c:v>
                </c:pt>
                <c:pt idx="106">
                  <c:v>-0.2</c:v>
                </c:pt>
                <c:pt idx="107">
                  <c:v>-0.2</c:v>
                </c:pt>
                <c:pt idx="108">
                  <c:v>-0.2</c:v>
                </c:pt>
                <c:pt idx="109">
                  <c:v>-0.2</c:v>
                </c:pt>
                <c:pt idx="110">
                  <c:v>-0.2</c:v>
                </c:pt>
                <c:pt idx="111">
                  <c:v>-0.2</c:v>
                </c:pt>
                <c:pt idx="112">
                  <c:v>-0.2</c:v>
                </c:pt>
                <c:pt idx="113">
                  <c:v>-0.2</c:v>
                </c:pt>
                <c:pt idx="114">
                  <c:v>-0.2</c:v>
                </c:pt>
                <c:pt idx="115">
                  <c:v>-0.2</c:v>
                </c:pt>
                <c:pt idx="116">
                  <c:v>-0.2</c:v>
                </c:pt>
                <c:pt idx="117">
                  <c:v>-0.2</c:v>
                </c:pt>
                <c:pt idx="118">
                  <c:v>-0.2</c:v>
                </c:pt>
                <c:pt idx="119">
                  <c:v>-0.2</c:v>
                </c:pt>
                <c:pt idx="120">
                  <c:v>-0.2</c:v>
                </c:pt>
                <c:pt idx="121">
                  <c:v>-0.2</c:v>
                </c:pt>
                <c:pt idx="122">
                  <c:v>-0.2</c:v>
                </c:pt>
                <c:pt idx="123">
                  <c:v>-0.2</c:v>
                </c:pt>
                <c:pt idx="124">
                  <c:v>-0.2</c:v>
                </c:pt>
                <c:pt idx="125">
                  <c:v>-0.2</c:v>
                </c:pt>
                <c:pt idx="126">
                  <c:v>-0.2</c:v>
                </c:pt>
                <c:pt idx="127">
                  <c:v>-0.2</c:v>
                </c:pt>
                <c:pt idx="128">
                  <c:v>-0.2</c:v>
                </c:pt>
                <c:pt idx="129">
                  <c:v>-0.2</c:v>
                </c:pt>
                <c:pt idx="130">
                  <c:v>-0.2</c:v>
                </c:pt>
                <c:pt idx="131">
                  <c:v>-0.2</c:v>
                </c:pt>
                <c:pt idx="132">
                  <c:v>-0.2</c:v>
                </c:pt>
                <c:pt idx="133">
                  <c:v>-0.2</c:v>
                </c:pt>
                <c:pt idx="134">
                  <c:v>-0.2</c:v>
                </c:pt>
                <c:pt idx="135">
                  <c:v>-0.2</c:v>
                </c:pt>
                <c:pt idx="136">
                  <c:v>-0.2</c:v>
                </c:pt>
                <c:pt idx="137">
                  <c:v>-0.2</c:v>
                </c:pt>
                <c:pt idx="138">
                  <c:v>-0.2</c:v>
                </c:pt>
                <c:pt idx="139">
                  <c:v>-0.2</c:v>
                </c:pt>
                <c:pt idx="140">
                  <c:v>-0.2</c:v>
                </c:pt>
                <c:pt idx="141">
                  <c:v>-0.2</c:v>
                </c:pt>
                <c:pt idx="142">
                  <c:v>-0.2</c:v>
                </c:pt>
                <c:pt idx="143">
                  <c:v>-0.2</c:v>
                </c:pt>
                <c:pt idx="144">
                  <c:v>-0.2</c:v>
                </c:pt>
                <c:pt idx="145">
                  <c:v>-0.2</c:v>
                </c:pt>
                <c:pt idx="146">
                  <c:v>-0.2</c:v>
                </c:pt>
                <c:pt idx="147">
                  <c:v>-0.2</c:v>
                </c:pt>
                <c:pt idx="148">
                  <c:v>-0.2</c:v>
                </c:pt>
                <c:pt idx="149">
                  <c:v>-0.2</c:v>
                </c:pt>
                <c:pt idx="150">
                  <c:v>-0.2</c:v>
                </c:pt>
                <c:pt idx="151">
                  <c:v>-0.2</c:v>
                </c:pt>
                <c:pt idx="152">
                  <c:v>-0.2</c:v>
                </c:pt>
                <c:pt idx="153">
                  <c:v>-0.2</c:v>
                </c:pt>
                <c:pt idx="154">
                  <c:v>-0.2</c:v>
                </c:pt>
                <c:pt idx="155">
                  <c:v>-0.2</c:v>
                </c:pt>
                <c:pt idx="156">
                  <c:v>-0.2</c:v>
                </c:pt>
                <c:pt idx="157">
                  <c:v>-0.2</c:v>
                </c:pt>
                <c:pt idx="158">
                  <c:v>-0.2</c:v>
                </c:pt>
                <c:pt idx="159">
                  <c:v>-0.2</c:v>
                </c:pt>
                <c:pt idx="160">
                  <c:v>-0.2</c:v>
                </c:pt>
                <c:pt idx="161">
                  <c:v>-0.2</c:v>
                </c:pt>
                <c:pt idx="162">
                  <c:v>-0.2</c:v>
                </c:pt>
                <c:pt idx="163">
                  <c:v>-0.2</c:v>
                </c:pt>
                <c:pt idx="164">
                  <c:v>-0.2</c:v>
                </c:pt>
                <c:pt idx="165">
                  <c:v>-0.2</c:v>
                </c:pt>
                <c:pt idx="166">
                  <c:v>-0.2</c:v>
                </c:pt>
                <c:pt idx="167">
                  <c:v>-0.2</c:v>
                </c:pt>
                <c:pt idx="168">
                  <c:v>-0.2</c:v>
                </c:pt>
                <c:pt idx="169">
                  <c:v>-0.2</c:v>
                </c:pt>
                <c:pt idx="170">
                  <c:v>-0.2</c:v>
                </c:pt>
                <c:pt idx="171">
                  <c:v>-0.2</c:v>
                </c:pt>
                <c:pt idx="172">
                  <c:v>-0.2</c:v>
                </c:pt>
                <c:pt idx="173">
                  <c:v>-0.2</c:v>
                </c:pt>
                <c:pt idx="174">
                  <c:v>-0.2</c:v>
                </c:pt>
                <c:pt idx="175">
                  <c:v>-0.2</c:v>
                </c:pt>
                <c:pt idx="176">
                  <c:v>-0.2</c:v>
                </c:pt>
                <c:pt idx="177">
                  <c:v>-0.2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-0.2</c:v>
                </c:pt>
                <c:pt idx="183">
                  <c:v>-0.2</c:v>
                </c:pt>
                <c:pt idx="184">
                  <c:v>-0.2</c:v>
                </c:pt>
                <c:pt idx="185">
                  <c:v>-0.2</c:v>
                </c:pt>
                <c:pt idx="186">
                  <c:v>-0.2</c:v>
                </c:pt>
                <c:pt idx="187">
                  <c:v>-0.2</c:v>
                </c:pt>
                <c:pt idx="188">
                  <c:v>-0.2</c:v>
                </c:pt>
                <c:pt idx="189">
                  <c:v>-0.2</c:v>
                </c:pt>
                <c:pt idx="190">
                  <c:v>-0.2</c:v>
                </c:pt>
                <c:pt idx="191">
                  <c:v>-0.2</c:v>
                </c:pt>
                <c:pt idx="192">
                  <c:v>-0.2</c:v>
                </c:pt>
                <c:pt idx="193">
                  <c:v>-0.2</c:v>
                </c:pt>
                <c:pt idx="194">
                  <c:v>-0.2</c:v>
                </c:pt>
                <c:pt idx="195">
                  <c:v>-0.2</c:v>
                </c:pt>
                <c:pt idx="196">
                  <c:v>-0.2</c:v>
                </c:pt>
                <c:pt idx="197">
                  <c:v>-0.2</c:v>
                </c:pt>
                <c:pt idx="198">
                  <c:v>-0.2</c:v>
                </c:pt>
                <c:pt idx="199">
                  <c:v>-0.2</c:v>
                </c:pt>
                <c:pt idx="200">
                  <c:v>-0.2</c:v>
                </c:pt>
                <c:pt idx="201">
                  <c:v>-0.2</c:v>
                </c:pt>
                <c:pt idx="202">
                  <c:v>-0.2</c:v>
                </c:pt>
                <c:pt idx="203">
                  <c:v>-0.2</c:v>
                </c:pt>
                <c:pt idx="204">
                  <c:v>-0.2</c:v>
                </c:pt>
                <c:pt idx="205">
                  <c:v>-0.2</c:v>
                </c:pt>
                <c:pt idx="206">
                  <c:v>-0.2</c:v>
                </c:pt>
                <c:pt idx="207">
                  <c:v>-0.2</c:v>
                </c:pt>
                <c:pt idx="208">
                  <c:v>-0.2</c:v>
                </c:pt>
                <c:pt idx="209">
                  <c:v>-0.2</c:v>
                </c:pt>
                <c:pt idx="210">
                  <c:v>-0.2</c:v>
                </c:pt>
                <c:pt idx="211">
                  <c:v>-0.2</c:v>
                </c:pt>
                <c:pt idx="212">
                  <c:v>-0.2</c:v>
                </c:pt>
                <c:pt idx="213">
                  <c:v>-0.2</c:v>
                </c:pt>
                <c:pt idx="214">
                  <c:v>-0.2</c:v>
                </c:pt>
                <c:pt idx="215">
                  <c:v>-0.2</c:v>
                </c:pt>
                <c:pt idx="216">
                  <c:v>-0.2</c:v>
                </c:pt>
                <c:pt idx="217">
                  <c:v>-0.2</c:v>
                </c:pt>
                <c:pt idx="218">
                  <c:v>-0.2</c:v>
                </c:pt>
                <c:pt idx="219">
                  <c:v>-0.2</c:v>
                </c:pt>
                <c:pt idx="220">
                  <c:v>-0.2</c:v>
                </c:pt>
                <c:pt idx="221">
                  <c:v>-0.2</c:v>
                </c:pt>
                <c:pt idx="222">
                  <c:v>-0.2</c:v>
                </c:pt>
                <c:pt idx="223">
                  <c:v>-0.2</c:v>
                </c:pt>
                <c:pt idx="224">
                  <c:v>-0.2</c:v>
                </c:pt>
                <c:pt idx="225">
                  <c:v>-0.2</c:v>
                </c:pt>
                <c:pt idx="226">
                  <c:v>-0.2</c:v>
                </c:pt>
                <c:pt idx="227">
                  <c:v>-0.2</c:v>
                </c:pt>
                <c:pt idx="228">
                  <c:v>-0.2</c:v>
                </c:pt>
                <c:pt idx="229">
                  <c:v>-0.2</c:v>
                </c:pt>
                <c:pt idx="230">
                  <c:v>-0.2</c:v>
                </c:pt>
                <c:pt idx="231">
                  <c:v>-0.2</c:v>
                </c:pt>
                <c:pt idx="232">
                  <c:v>-0.2</c:v>
                </c:pt>
                <c:pt idx="233">
                  <c:v>-0.2</c:v>
                </c:pt>
                <c:pt idx="234">
                  <c:v>-0.2</c:v>
                </c:pt>
                <c:pt idx="235">
                  <c:v>-0.2</c:v>
                </c:pt>
                <c:pt idx="236">
                  <c:v>-0.2</c:v>
                </c:pt>
                <c:pt idx="237">
                  <c:v>-0.2</c:v>
                </c:pt>
                <c:pt idx="238">
                  <c:v>-0.2</c:v>
                </c:pt>
                <c:pt idx="239">
                  <c:v>-0.2</c:v>
                </c:pt>
                <c:pt idx="240">
                  <c:v>-0.2</c:v>
                </c:pt>
                <c:pt idx="241">
                  <c:v>-0.2</c:v>
                </c:pt>
                <c:pt idx="242">
                  <c:v>-0.2</c:v>
                </c:pt>
                <c:pt idx="243">
                  <c:v>-0.2</c:v>
                </c:pt>
                <c:pt idx="244">
                  <c:v>-0.2</c:v>
                </c:pt>
                <c:pt idx="245">
                  <c:v>-0.2</c:v>
                </c:pt>
                <c:pt idx="246">
                  <c:v>-0.2</c:v>
                </c:pt>
                <c:pt idx="247">
                  <c:v>-0.2</c:v>
                </c:pt>
                <c:pt idx="248">
                  <c:v>-0.2</c:v>
                </c:pt>
                <c:pt idx="249">
                  <c:v>-0.2</c:v>
                </c:pt>
                <c:pt idx="250">
                  <c:v>-0.2</c:v>
                </c:pt>
                <c:pt idx="251">
                  <c:v>-0.2</c:v>
                </c:pt>
                <c:pt idx="252">
                  <c:v>-0.2</c:v>
                </c:pt>
                <c:pt idx="253">
                  <c:v>-0.2</c:v>
                </c:pt>
                <c:pt idx="254">
                  <c:v>-0.2</c:v>
                </c:pt>
                <c:pt idx="255">
                  <c:v>-0.2</c:v>
                </c:pt>
                <c:pt idx="256">
                  <c:v>-0.2</c:v>
                </c:pt>
                <c:pt idx="257">
                  <c:v>-0.2</c:v>
                </c:pt>
                <c:pt idx="258">
                  <c:v>-0.2</c:v>
                </c:pt>
                <c:pt idx="259">
                  <c:v>-0.2</c:v>
                </c:pt>
                <c:pt idx="260">
                  <c:v>-0.2</c:v>
                </c:pt>
                <c:pt idx="261">
                  <c:v>-0.2</c:v>
                </c:pt>
                <c:pt idx="262">
                  <c:v>-0.2</c:v>
                </c:pt>
                <c:pt idx="263">
                  <c:v>-0.2</c:v>
                </c:pt>
                <c:pt idx="264">
                  <c:v>-0.2</c:v>
                </c:pt>
                <c:pt idx="265">
                  <c:v>-0.2</c:v>
                </c:pt>
                <c:pt idx="266">
                  <c:v>-0.2</c:v>
                </c:pt>
                <c:pt idx="267">
                  <c:v>-0.2</c:v>
                </c:pt>
                <c:pt idx="268">
                  <c:v>-0.2</c:v>
                </c:pt>
                <c:pt idx="269">
                  <c:v>-0.2</c:v>
                </c:pt>
                <c:pt idx="270">
                  <c:v>-0.2</c:v>
                </c:pt>
                <c:pt idx="271">
                  <c:v>-0.2</c:v>
                </c:pt>
                <c:pt idx="272">
                  <c:v>-0.2</c:v>
                </c:pt>
                <c:pt idx="273">
                  <c:v>-0.2</c:v>
                </c:pt>
                <c:pt idx="274">
                  <c:v>-0.2</c:v>
                </c:pt>
                <c:pt idx="275">
                  <c:v>-0.2</c:v>
                </c:pt>
                <c:pt idx="276">
                  <c:v>-0.2</c:v>
                </c:pt>
                <c:pt idx="277">
                  <c:v>-0.2</c:v>
                </c:pt>
                <c:pt idx="278">
                  <c:v>-0.2</c:v>
                </c:pt>
                <c:pt idx="279">
                  <c:v>-0.2</c:v>
                </c:pt>
                <c:pt idx="280">
                  <c:v>-0.2</c:v>
                </c:pt>
                <c:pt idx="281">
                  <c:v>-0.2</c:v>
                </c:pt>
                <c:pt idx="282">
                  <c:v>-0.2</c:v>
                </c:pt>
                <c:pt idx="283">
                  <c:v>-0.2</c:v>
                </c:pt>
                <c:pt idx="284">
                  <c:v>-0.2</c:v>
                </c:pt>
                <c:pt idx="285">
                  <c:v>-0.2</c:v>
                </c:pt>
                <c:pt idx="286">
                  <c:v>-0.2</c:v>
                </c:pt>
                <c:pt idx="287">
                  <c:v>-0.2</c:v>
                </c:pt>
                <c:pt idx="288">
                  <c:v>-0.2</c:v>
                </c:pt>
                <c:pt idx="289">
                  <c:v>-0.2</c:v>
                </c:pt>
                <c:pt idx="290">
                  <c:v>-0.2</c:v>
                </c:pt>
                <c:pt idx="291">
                  <c:v>-0.2</c:v>
                </c:pt>
                <c:pt idx="292">
                  <c:v>-0.2</c:v>
                </c:pt>
                <c:pt idx="293">
                  <c:v>-0.2</c:v>
                </c:pt>
                <c:pt idx="294">
                  <c:v>-0.2</c:v>
                </c:pt>
                <c:pt idx="295">
                  <c:v>-0.2</c:v>
                </c:pt>
                <c:pt idx="296">
                  <c:v>-0.2</c:v>
                </c:pt>
                <c:pt idx="297">
                  <c:v>-0.2</c:v>
                </c:pt>
                <c:pt idx="298">
                  <c:v>-0.2</c:v>
                </c:pt>
                <c:pt idx="299">
                  <c:v>-0.2</c:v>
                </c:pt>
                <c:pt idx="300">
                  <c:v>-0.2</c:v>
                </c:pt>
                <c:pt idx="301">
                  <c:v>-0.2</c:v>
                </c:pt>
                <c:pt idx="302">
                  <c:v>-0.2</c:v>
                </c:pt>
                <c:pt idx="303">
                  <c:v>-0.2</c:v>
                </c:pt>
                <c:pt idx="304">
                  <c:v>-0.2</c:v>
                </c:pt>
                <c:pt idx="305">
                  <c:v>-0.2</c:v>
                </c:pt>
                <c:pt idx="306">
                  <c:v>-0.2</c:v>
                </c:pt>
                <c:pt idx="307">
                  <c:v>-0.2</c:v>
                </c:pt>
                <c:pt idx="308">
                  <c:v>-0.2</c:v>
                </c:pt>
                <c:pt idx="309">
                  <c:v>-0.2</c:v>
                </c:pt>
                <c:pt idx="310">
                  <c:v>-0.2</c:v>
                </c:pt>
                <c:pt idx="311">
                  <c:v>-0.2</c:v>
                </c:pt>
                <c:pt idx="312">
                  <c:v>-0.2</c:v>
                </c:pt>
                <c:pt idx="313">
                  <c:v>-0.2</c:v>
                </c:pt>
                <c:pt idx="314">
                  <c:v>-0.2</c:v>
                </c:pt>
                <c:pt idx="315">
                  <c:v>-0.2</c:v>
                </c:pt>
                <c:pt idx="316">
                  <c:v>-0.2</c:v>
                </c:pt>
                <c:pt idx="317">
                  <c:v>-0.2</c:v>
                </c:pt>
                <c:pt idx="318">
                  <c:v>-0.2</c:v>
                </c:pt>
                <c:pt idx="319">
                  <c:v>-0.2</c:v>
                </c:pt>
                <c:pt idx="320">
                  <c:v>-0.2</c:v>
                </c:pt>
                <c:pt idx="321">
                  <c:v>-0.2</c:v>
                </c:pt>
                <c:pt idx="322">
                  <c:v>-0.2</c:v>
                </c:pt>
                <c:pt idx="323">
                  <c:v>-0.2</c:v>
                </c:pt>
                <c:pt idx="324">
                  <c:v>-0.2</c:v>
                </c:pt>
                <c:pt idx="325">
                  <c:v>-0.2</c:v>
                </c:pt>
                <c:pt idx="326">
                  <c:v>-0.2</c:v>
                </c:pt>
                <c:pt idx="327">
                  <c:v>-0.2</c:v>
                </c:pt>
                <c:pt idx="328">
                  <c:v>-0.2</c:v>
                </c:pt>
                <c:pt idx="329">
                  <c:v>-0.2</c:v>
                </c:pt>
                <c:pt idx="330">
                  <c:v>-0.2</c:v>
                </c:pt>
                <c:pt idx="331">
                  <c:v>-0.2</c:v>
                </c:pt>
                <c:pt idx="332">
                  <c:v>-0.2</c:v>
                </c:pt>
                <c:pt idx="333">
                  <c:v>-0.2</c:v>
                </c:pt>
                <c:pt idx="334">
                  <c:v>-0.2</c:v>
                </c:pt>
                <c:pt idx="335">
                  <c:v>-0.2</c:v>
                </c:pt>
                <c:pt idx="336">
                  <c:v>-0.2</c:v>
                </c:pt>
                <c:pt idx="337">
                  <c:v>-0.2</c:v>
                </c:pt>
                <c:pt idx="338">
                  <c:v>-0.2</c:v>
                </c:pt>
                <c:pt idx="339">
                  <c:v>-0.2</c:v>
                </c:pt>
                <c:pt idx="340">
                  <c:v>-0.2</c:v>
                </c:pt>
                <c:pt idx="341">
                  <c:v>-0.2</c:v>
                </c:pt>
                <c:pt idx="342">
                  <c:v>-0.2</c:v>
                </c:pt>
                <c:pt idx="343">
                  <c:v>-0.2</c:v>
                </c:pt>
                <c:pt idx="344">
                  <c:v>-0.2</c:v>
                </c:pt>
                <c:pt idx="345">
                  <c:v>-0.2</c:v>
                </c:pt>
                <c:pt idx="346">
                  <c:v>-0.2</c:v>
                </c:pt>
                <c:pt idx="347">
                  <c:v>-0.2</c:v>
                </c:pt>
                <c:pt idx="348">
                  <c:v>-0.2</c:v>
                </c:pt>
                <c:pt idx="349">
                  <c:v>-0.2</c:v>
                </c:pt>
                <c:pt idx="350">
                  <c:v>-0.2</c:v>
                </c:pt>
                <c:pt idx="351">
                  <c:v>-0.2</c:v>
                </c:pt>
                <c:pt idx="352">
                  <c:v>-0.2</c:v>
                </c:pt>
                <c:pt idx="353">
                  <c:v>-0.2</c:v>
                </c:pt>
                <c:pt idx="354">
                  <c:v>-0.2</c:v>
                </c:pt>
                <c:pt idx="355">
                  <c:v>-0.2</c:v>
                </c:pt>
                <c:pt idx="356">
                  <c:v>-0.2</c:v>
                </c:pt>
                <c:pt idx="357">
                  <c:v>-0.2</c:v>
                </c:pt>
                <c:pt idx="358">
                  <c:v>-0.2</c:v>
                </c:pt>
                <c:pt idx="359">
                  <c:v>-0.2</c:v>
                </c:pt>
                <c:pt idx="360">
                  <c:v>-0.2</c:v>
                </c:pt>
                <c:pt idx="361">
                  <c:v>-0.2</c:v>
                </c:pt>
                <c:pt idx="362">
                  <c:v>-0.2</c:v>
                </c:pt>
                <c:pt idx="363">
                  <c:v>-0.2</c:v>
                </c:pt>
                <c:pt idx="364">
                  <c:v>-0.2</c:v>
                </c:pt>
                <c:pt idx="365">
                  <c:v>-0.2</c:v>
                </c:pt>
                <c:pt idx="366">
                  <c:v>-0.2</c:v>
                </c:pt>
                <c:pt idx="367">
                  <c:v>-0.2</c:v>
                </c:pt>
                <c:pt idx="368">
                  <c:v>-0.2</c:v>
                </c:pt>
                <c:pt idx="369">
                  <c:v>-0.2</c:v>
                </c:pt>
                <c:pt idx="370">
                  <c:v>-0.2</c:v>
                </c:pt>
                <c:pt idx="371">
                  <c:v>-0.2</c:v>
                </c:pt>
                <c:pt idx="372">
                  <c:v>-0.2</c:v>
                </c:pt>
                <c:pt idx="373">
                  <c:v>-0.2</c:v>
                </c:pt>
                <c:pt idx="374">
                  <c:v>-0.2</c:v>
                </c:pt>
                <c:pt idx="375">
                  <c:v>-0.2</c:v>
                </c:pt>
                <c:pt idx="376">
                  <c:v>-0.2</c:v>
                </c:pt>
                <c:pt idx="377">
                  <c:v>-0.2</c:v>
                </c:pt>
                <c:pt idx="378">
                  <c:v>-0.2</c:v>
                </c:pt>
                <c:pt idx="379">
                  <c:v>-0.2</c:v>
                </c:pt>
                <c:pt idx="380">
                  <c:v>-0.2</c:v>
                </c:pt>
                <c:pt idx="381">
                  <c:v>-0.2</c:v>
                </c:pt>
                <c:pt idx="382">
                  <c:v>-0.2</c:v>
                </c:pt>
                <c:pt idx="383">
                  <c:v>-0.2</c:v>
                </c:pt>
                <c:pt idx="384">
                  <c:v>-0.2</c:v>
                </c:pt>
                <c:pt idx="385">
                  <c:v>-0.2</c:v>
                </c:pt>
                <c:pt idx="386">
                  <c:v>-0.2</c:v>
                </c:pt>
                <c:pt idx="387">
                  <c:v>-0.2</c:v>
                </c:pt>
                <c:pt idx="388">
                  <c:v>-0.2</c:v>
                </c:pt>
                <c:pt idx="389">
                  <c:v>-0.2</c:v>
                </c:pt>
                <c:pt idx="390">
                  <c:v>-0.2</c:v>
                </c:pt>
                <c:pt idx="391">
                  <c:v>-0.2</c:v>
                </c:pt>
                <c:pt idx="392">
                  <c:v>-0.2</c:v>
                </c:pt>
                <c:pt idx="393">
                  <c:v>-0.2</c:v>
                </c:pt>
                <c:pt idx="394">
                  <c:v>-0.2</c:v>
                </c:pt>
                <c:pt idx="395">
                  <c:v>-0.2</c:v>
                </c:pt>
                <c:pt idx="396">
                  <c:v>-0.2</c:v>
                </c:pt>
                <c:pt idx="397">
                  <c:v>-0.2</c:v>
                </c:pt>
                <c:pt idx="398">
                  <c:v>-0.2</c:v>
                </c:pt>
                <c:pt idx="399">
                  <c:v>-0.2</c:v>
                </c:pt>
                <c:pt idx="400">
                  <c:v>-0.2</c:v>
                </c:pt>
                <c:pt idx="401">
                  <c:v>-0.2</c:v>
                </c:pt>
                <c:pt idx="402">
                  <c:v>-0.2</c:v>
                </c:pt>
                <c:pt idx="403">
                  <c:v>-0.2</c:v>
                </c:pt>
                <c:pt idx="404">
                  <c:v>-0.2</c:v>
                </c:pt>
                <c:pt idx="405">
                  <c:v>-0.2</c:v>
                </c:pt>
                <c:pt idx="406">
                  <c:v>-0.2</c:v>
                </c:pt>
                <c:pt idx="407">
                  <c:v>-0.2</c:v>
                </c:pt>
                <c:pt idx="408">
                  <c:v>-0.2</c:v>
                </c:pt>
                <c:pt idx="409">
                  <c:v>-0.2</c:v>
                </c:pt>
                <c:pt idx="410">
                  <c:v>-0.2</c:v>
                </c:pt>
                <c:pt idx="411">
                  <c:v>-0.2</c:v>
                </c:pt>
                <c:pt idx="412">
                  <c:v>-0.2</c:v>
                </c:pt>
                <c:pt idx="413">
                  <c:v>-0.2</c:v>
                </c:pt>
                <c:pt idx="414">
                  <c:v>-0.2</c:v>
                </c:pt>
                <c:pt idx="415">
                  <c:v>-0.2</c:v>
                </c:pt>
                <c:pt idx="416">
                  <c:v>-0.2</c:v>
                </c:pt>
                <c:pt idx="417">
                  <c:v>-0.2</c:v>
                </c:pt>
                <c:pt idx="418">
                  <c:v>-0.2</c:v>
                </c:pt>
                <c:pt idx="419">
                  <c:v>-0.2</c:v>
                </c:pt>
                <c:pt idx="420">
                  <c:v>-0.2</c:v>
                </c:pt>
                <c:pt idx="421">
                  <c:v>-0.2</c:v>
                </c:pt>
                <c:pt idx="422">
                  <c:v>-0.2</c:v>
                </c:pt>
                <c:pt idx="423">
                  <c:v>-0.2</c:v>
                </c:pt>
                <c:pt idx="424">
                  <c:v>-0.2</c:v>
                </c:pt>
                <c:pt idx="425">
                  <c:v>-0.2</c:v>
                </c:pt>
                <c:pt idx="426">
                  <c:v>-0.2</c:v>
                </c:pt>
                <c:pt idx="427">
                  <c:v>-0.2</c:v>
                </c:pt>
                <c:pt idx="428">
                  <c:v>-0.2</c:v>
                </c:pt>
                <c:pt idx="429">
                  <c:v>-0.2</c:v>
                </c:pt>
                <c:pt idx="430">
                  <c:v>-0.2</c:v>
                </c:pt>
                <c:pt idx="431">
                  <c:v>-0.2</c:v>
                </c:pt>
                <c:pt idx="432">
                  <c:v>-0.2</c:v>
                </c:pt>
                <c:pt idx="433">
                  <c:v>-0.2</c:v>
                </c:pt>
                <c:pt idx="434">
                  <c:v>-0.2</c:v>
                </c:pt>
                <c:pt idx="435">
                  <c:v>-0.2</c:v>
                </c:pt>
                <c:pt idx="436">
                  <c:v>-0.2</c:v>
                </c:pt>
                <c:pt idx="437">
                  <c:v>-0.2</c:v>
                </c:pt>
                <c:pt idx="438">
                  <c:v>-0.2</c:v>
                </c:pt>
                <c:pt idx="439">
                  <c:v>-0.2</c:v>
                </c:pt>
                <c:pt idx="440">
                  <c:v>-0.2</c:v>
                </c:pt>
                <c:pt idx="441">
                  <c:v>-0.2</c:v>
                </c:pt>
                <c:pt idx="442">
                  <c:v>-0.2</c:v>
                </c:pt>
                <c:pt idx="443">
                  <c:v>-0.2</c:v>
                </c:pt>
                <c:pt idx="444">
                  <c:v>-0.2</c:v>
                </c:pt>
                <c:pt idx="445">
                  <c:v>-0.2</c:v>
                </c:pt>
                <c:pt idx="446">
                  <c:v>-0.2</c:v>
                </c:pt>
                <c:pt idx="447">
                  <c:v>-0.2</c:v>
                </c:pt>
                <c:pt idx="448">
                  <c:v>-0.2</c:v>
                </c:pt>
                <c:pt idx="449">
                  <c:v>-0.2</c:v>
                </c:pt>
                <c:pt idx="450">
                  <c:v>-0.2</c:v>
                </c:pt>
                <c:pt idx="451">
                  <c:v>-0.2</c:v>
                </c:pt>
                <c:pt idx="452">
                  <c:v>-0.2</c:v>
                </c:pt>
                <c:pt idx="453">
                  <c:v>-0.2</c:v>
                </c:pt>
                <c:pt idx="454">
                  <c:v>-0.2</c:v>
                </c:pt>
                <c:pt idx="455">
                  <c:v>-0.2</c:v>
                </c:pt>
                <c:pt idx="456">
                  <c:v>-0.2</c:v>
                </c:pt>
                <c:pt idx="457">
                  <c:v>-0.2</c:v>
                </c:pt>
                <c:pt idx="458">
                  <c:v>-0.2</c:v>
                </c:pt>
                <c:pt idx="459">
                  <c:v>-0.2</c:v>
                </c:pt>
                <c:pt idx="460">
                  <c:v>-0.2</c:v>
                </c:pt>
                <c:pt idx="461">
                  <c:v>-0.2</c:v>
                </c:pt>
                <c:pt idx="462">
                  <c:v>-0.2</c:v>
                </c:pt>
                <c:pt idx="463">
                  <c:v>-0.2</c:v>
                </c:pt>
                <c:pt idx="464">
                  <c:v>-0.2</c:v>
                </c:pt>
                <c:pt idx="465">
                  <c:v>-0.2</c:v>
                </c:pt>
                <c:pt idx="466">
                  <c:v>-0.2</c:v>
                </c:pt>
                <c:pt idx="467">
                  <c:v>-0.2</c:v>
                </c:pt>
                <c:pt idx="468">
                  <c:v>-0.2</c:v>
                </c:pt>
                <c:pt idx="469">
                  <c:v>-0.2</c:v>
                </c:pt>
                <c:pt idx="470">
                  <c:v>-0.2</c:v>
                </c:pt>
                <c:pt idx="471">
                  <c:v>-0.2</c:v>
                </c:pt>
                <c:pt idx="472">
                  <c:v>-0.2</c:v>
                </c:pt>
                <c:pt idx="473">
                  <c:v>-0.2</c:v>
                </c:pt>
                <c:pt idx="474">
                  <c:v>-0.2</c:v>
                </c:pt>
                <c:pt idx="475">
                  <c:v>-0.2</c:v>
                </c:pt>
                <c:pt idx="476">
                  <c:v>-0.2</c:v>
                </c:pt>
                <c:pt idx="477">
                  <c:v>-0.2</c:v>
                </c:pt>
                <c:pt idx="478">
                  <c:v>-0.2</c:v>
                </c:pt>
                <c:pt idx="479">
                  <c:v>-0.2</c:v>
                </c:pt>
                <c:pt idx="480">
                  <c:v>-0.2</c:v>
                </c:pt>
                <c:pt idx="481">
                  <c:v>-0.2</c:v>
                </c:pt>
                <c:pt idx="482">
                  <c:v>-0.2</c:v>
                </c:pt>
                <c:pt idx="483">
                  <c:v>-0.2</c:v>
                </c:pt>
                <c:pt idx="484">
                  <c:v>-0.2</c:v>
                </c:pt>
                <c:pt idx="485">
                  <c:v>-0.2</c:v>
                </c:pt>
                <c:pt idx="486">
                  <c:v>-0.2</c:v>
                </c:pt>
                <c:pt idx="487">
                  <c:v>-0.2</c:v>
                </c:pt>
                <c:pt idx="488">
                  <c:v>-0.2</c:v>
                </c:pt>
                <c:pt idx="489">
                  <c:v>-0.2</c:v>
                </c:pt>
                <c:pt idx="490">
                  <c:v>-0.2</c:v>
                </c:pt>
                <c:pt idx="491">
                  <c:v>-0.2</c:v>
                </c:pt>
                <c:pt idx="492">
                  <c:v>-0.2</c:v>
                </c:pt>
                <c:pt idx="493">
                  <c:v>-0.2</c:v>
                </c:pt>
                <c:pt idx="494">
                  <c:v>-0.2</c:v>
                </c:pt>
                <c:pt idx="495">
                  <c:v>-0.2</c:v>
                </c:pt>
                <c:pt idx="496">
                  <c:v>-0.2</c:v>
                </c:pt>
                <c:pt idx="497">
                  <c:v>-0.2</c:v>
                </c:pt>
                <c:pt idx="498">
                  <c:v>-0.2</c:v>
                </c:pt>
                <c:pt idx="49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CD-4352-B20A-242E1F7D3F0D}"/>
            </c:ext>
          </c:extLst>
        </c:ser>
        <c:ser>
          <c:idx val="3"/>
          <c:order val="3"/>
          <c:tx>
            <c:v>Chord line</c:v>
          </c:tx>
          <c:spPr>
            <a:ln w="317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Data4!$B$1:$B$500</c:f>
              <c:numCache>
                <c:formatCode>0.00000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Data4!$X$1:$X$500</c:f>
              <c:numCache>
                <c:formatCode>General</c:formatCode>
                <c:ptCount val="5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3A-4005-BD1E-2653D1E89E61}"/>
            </c:ext>
          </c:extLst>
        </c:ser>
        <c:ser>
          <c:idx val="4"/>
          <c:order val="4"/>
          <c:tx>
            <c:v>Leading-edge Radius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Data4!$AC$1:$AC$50</c:f>
              <c:numCache>
                <c:formatCode>0.000</c:formatCode>
                <c:ptCount val="50"/>
                <c:pt idx="0">
                  <c:v>2.4033595171310661E-2</c:v>
                </c:pt>
                <c:pt idx="1">
                  <c:v>2.3933859289405182E-2</c:v>
                </c:pt>
                <c:pt idx="2">
                  <c:v>2.3636289304112285E-2</c:v>
                </c:pt>
                <c:pt idx="3">
                  <c:v>2.3145771306363711E-2</c:v>
                </c:pt>
                <c:pt idx="4">
                  <c:v>2.2470359588121391E-2</c:v>
                </c:pt>
                <c:pt idx="5">
                  <c:v>2.1621144391126102E-2</c:v>
                </c:pt>
                <c:pt idx="6">
                  <c:v>2.0612069805434681E-2</c:v>
                </c:pt>
                <c:pt idx="7">
                  <c:v>1.9459704807846812E-2</c:v>
                </c:pt>
                <c:pt idx="8">
                  <c:v>1.8182971199764034E-2</c:v>
                </c:pt>
                <c:pt idx="9">
                  <c:v>1.6802832911733862E-2</c:v>
                </c:pt>
                <c:pt idx="10">
                  <c:v>1.5341951776289772E-2</c:v>
                </c:pt>
                <c:pt idx="11">
                  <c:v>1.3824315421287512E-2</c:v>
                </c:pt>
                <c:pt idx="12">
                  <c:v>1.2274843393718904E-2</c:v>
                </c:pt>
                <c:pt idx="13">
                  <c:v>1.071897798143915E-2</c:v>
                </c:pt>
                <c:pt idx="14">
                  <c:v>9.1822664515036675E-3</c:v>
                </c:pt>
                <c:pt idx="15">
                  <c:v>7.6899415647493129E-3</c:v>
                </c:pt>
                <c:pt idx="16">
                  <c:v>6.2665072545590424E-3</c:v>
                </c:pt>
                <c:pt idx="17">
                  <c:v>4.9353362729532176E-3</c:v>
                </c:pt>
                <c:pt idx="18">
                  <c:v>3.7182864106475983E-3</c:v>
                </c:pt>
                <c:pt idx="19">
                  <c:v>2.6353415927340817E-3</c:v>
                </c:pt>
                <c:pt idx="20">
                  <c:v>1.7042837431831815E-3</c:v>
                </c:pt>
                <c:pt idx="21">
                  <c:v>9.4040080614404061E-4</c:v>
                </c:pt>
                <c:pt idx="22">
                  <c:v>3.562357183241585E-4</c:v>
                </c:pt>
                <c:pt idx="23">
                  <c:v>-3.8619545684578765E-5</c:v>
                </c:pt>
                <c:pt idx="24">
                  <c:v>-2.3768147336351026E-4</c:v>
                </c:pt>
                <c:pt idx="25">
                  <c:v>-2.3768147336351297E-4</c:v>
                </c:pt>
                <c:pt idx="26">
                  <c:v>-3.8619545684585508E-5</c:v>
                </c:pt>
                <c:pt idx="27">
                  <c:v>3.5623571832414907E-4</c:v>
                </c:pt>
                <c:pt idx="28">
                  <c:v>9.4040080614402706E-4</c:v>
                </c:pt>
                <c:pt idx="29">
                  <c:v>1.7042837431831652E-3</c:v>
                </c:pt>
                <c:pt idx="30">
                  <c:v>2.6353415927340613E-3</c:v>
                </c:pt>
                <c:pt idx="31">
                  <c:v>3.7182864106475766E-3</c:v>
                </c:pt>
                <c:pt idx="32">
                  <c:v>4.9353362729531976E-3</c:v>
                </c:pt>
                <c:pt idx="33">
                  <c:v>6.2665072545590251E-3</c:v>
                </c:pt>
                <c:pt idx="34">
                  <c:v>7.6899415647492973E-3</c:v>
                </c:pt>
                <c:pt idx="35">
                  <c:v>9.1822664515036571E-3</c:v>
                </c:pt>
                <c:pt idx="36">
                  <c:v>1.0718977981439145E-2</c:v>
                </c:pt>
                <c:pt idx="37">
                  <c:v>1.2274843393718902E-2</c:v>
                </c:pt>
                <c:pt idx="38">
                  <c:v>1.3824315421287517E-2</c:v>
                </c:pt>
                <c:pt idx="39">
                  <c:v>1.5341951776289782E-2</c:v>
                </c:pt>
                <c:pt idx="40">
                  <c:v>1.680283291173388E-2</c:v>
                </c:pt>
                <c:pt idx="41">
                  <c:v>1.8182971199764052E-2</c:v>
                </c:pt>
                <c:pt idx="42">
                  <c:v>1.9459704807846832E-2</c:v>
                </c:pt>
                <c:pt idx="43">
                  <c:v>2.0612069805434705E-2</c:v>
                </c:pt>
                <c:pt idx="44">
                  <c:v>2.1621144391126123E-2</c:v>
                </c:pt>
                <c:pt idx="45">
                  <c:v>2.2470359588121415E-2</c:v>
                </c:pt>
                <c:pt idx="46">
                  <c:v>2.3145771306363729E-2</c:v>
                </c:pt>
                <c:pt idx="47">
                  <c:v>2.3636289304112296E-2</c:v>
                </c:pt>
                <c:pt idx="48">
                  <c:v>2.3933859289405189E-2</c:v>
                </c:pt>
                <c:pt idx="49">
                  <c:v>2.4033595171310661E-2</c:v>
                </c:pt>
              </c:numCache>
            </c:numRef>
          </c:xVal>
          <c:yVal>
            <c:numRef>
              <c:f>Data4!$AD$1:$AD$50</c:f>
              <c:numCache>
                <c:formatCode>0.000</c:formatCode>
                <c:ptCount val="5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3A-4005-BD1E-2653D1E8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05648"/>
        <c:axId val="1341910448"/>
      </c:scatterChart>
      <c:valAx>
        <c:axId val="1341905648"/>
        <c:scaling>
          <c:orientation val="minMax"/>
          <c:max val="1.05"/>
          <c:min val="-5.000000000000001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1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All dimensions are nomalized by the chord length c</a:t>
                </a:r>
              </a:p>
            </c:rich>
          </c:tx>
          <c:layout>
            <c:manualLayout>
              <c:xMode val="edge"/>
              <c:yMode val="edge"/>
              <c:x val="0.74484902283964127"/>
              <c:y val="0.937640545885318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out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10448"/>
        <c:crosses val="autoZero"/>
        <c:crossBetween val="midCat"/>
        <c:majorUnit val="0.1"/>
        <c:minorUnit val="5.000000000000001E-2"/>
      </c:valAx>
      <c:valAx>
        <c:axId val="1341910448"/>
        <c:scaling>
          <c:orientation val="minMax"/>
          <c:max val="0.2"/>
          <c:min val="-0.1500000000000000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000" sourceLinked="1"/>
        <c:majorTickMark val="none"/>
        <c:minorTickMark val="out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05648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NACA </a:t>
            </a:r>
            <a:r>
              <a:rPr lang="en-GB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16-Series Airfoil</a:t>
            </a:r>
          </a:p>
        </c:rich>
      </c:tx>
      <c:layout>
        <c:manualLayout>
          <c:xMode val="edge"/>
          <c:yMode val="edge"/>
          <c:x val="0.41349147656243784"/>
          <c:y val="9.49818240351983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0678977315836663E-2"/>
          <c:y val="0.1288310418648522"/>
          <c:w val="0.97833381995783208"/>
          <c:h val="0.76188965351835014"/>
        </c:manualLayout>
      </c:layout>
      <c:scatterChart>
        <c:scatterStyle val="smoothMarker"/>
        <c:varyColors val="0"/>
        <c:ser>
          <c:idx val="0"/>
          <c:order val="0"/>
          <c:tx>
            <c:v>Mean Camber Line</c:v>
          </c:tx>
          <c:spPr>
            <a:ln w="31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Data5!$B$1:$B$500</c:f>
              <c:numCache>
                <c:formatCode>0.00000</c:formatCode>
                <c:ptCount val="500"/>
                <c:pt idx="0">
                  <c:v>0</c:v>
                </c:pt>
                <c:pt idx="1">
                  <c:v>9.9091688398611488E-6</c:v>
                </c:pt>
                <c:pt idx="2">
                  <c:v>3.9636282592903083E-5</c:v>
                </c:pt>
                <c:pt idx="3">
                  <c:v>8.9180162975155408E-5</c:v>
                </c:pt>
                <c:pt idx="4">
                  <c:v>1.5853884623195924E-4</c:v>
                </c:pt>
                <c:pt idx="5">
                  <c:v>2.4770958321568282E-4</c:v>
                </c:pt>
                <c:pt idx="6">
                  <c:v>3.566888394948009E-4</c:v>
                </c:pt>
                <c:pt idx="7">
                  <c:v>4.8547229549383841E-4</c:v>
                </c:pt>
                <c:pt idx="8">
                  <c:v>6.3405484666484435E-4</c:v>
                </c:pt>
                <c:pt idx="9">
                  <c:v>8.0243060368939689E-4</c:v>
                </c:pt>
                <c:pt idx="10">
                  <c:v>9.9059289271236084E-4</c:v>
                </c:pt>
                <c:pt idx="11">
                  <c:v>1.1985342556060652E-3</c:v>
                </c:pt>
                <c:pt idx="12">
                  <c:v>1.4262464502662886E-3</c:v>
                </c:pt>
                <c:pt idx="13">
                  <c:v>1.6737204509387205E-3</c:v>
                </c:pt>
                <c:pt idx="14">
                  <c:v>1.9409464485766748E-3</c:v>
                </c:pt>
                <c:pt idx="15">
                  <c:v>2.2279138512300567E-3</c:v>
                </c:pt>
                <c:pt idx="16">
                  <c:v>2.534611284465027E-3</c:v>
                </c:pt>
                <c:pt idx="17">
                  <c:v>2.8610265918151412E-3</c:v>
                </c:pt>
                <c:pt idx="18">
                  <c:v>3.2071468352626864E-3</c:v>
                </c:pt>
                <c:pt idx="19">
                  <c:v>3.5729582957520489E-3</c:v>
                </c:pt>
                <c:pt idx="20">
                  <c:v>3.9584464737330016E-3</c:v>
                </c:pt>
                <c:pt idx="21">
                  <c:v>4.3635960897359105E-3</c:v>
                </c:pt>
                <c:pt idx="22">
                  <c:v>4.7883910849768618E-3</c:v>
                </c:pt>
                <c:pt idx="23">
                  <c:v>5.232814621994597E-3</c:v>
                </c:pt>
                <c:pt idx="24">
                  <c:v>5.6968490853176457E-3</c:v>
                </c:pt>
                <c:pt idx="25">
                  <c:v>6.1804760821626559E-3</c:v>
                </c:pt>
                <c:pt idx="26">
                  <c:v>6.6836764431632556E-3</c:v>
                </c:pt>
                <c:pt idx="27">
                  <c:v>7.2064302231302224E-3</c:v>
                </c:pt>
                <c:pt idx="28">
                  <c:v>7.7487167018416292E-3</c:v>
                </c:pt>
                <c:pt idx="29">
                  <c:v>8.3105143848644092E-3</c:v>
                </c:pt>
                <c:pt idx="30">
                  <c:v>8.8918010044061191E-3</c:v>
                </c:pt>
                <c:pt idx="31">
                  <c:v>9.4925535201977329E-3</c:v>
                </c:pt>
                <c:pt idx="32">
                  <c:v>1.0112748120406856E-2</c:v>
                </c:pt>
                <c:pt idx="33">
                  <c:v>1.075236022258147E-2</c:v>
                </c:pt>
                <c:pt idx="34">
                  <c:v>1.1411364474624264E-2</c:v>
                </c:pt>
                <c:pt idx="35">
                  <c:v>1.2089734755797665E-2</c:v>
                </c:pt>
                <c:pt idx="36">
                  <c:v>1.2787444177759066E-2</c:v>
                </c:pt>
                <c:pt idx="37">
                  <c:v>1.3504465085626582E-2</c:v>
                </c:pt>
                <c:pt idx="38">
                  <c:v>1.4240769059075342E-2</c:v>
                </c:pt>
                <c:pt idx="39">
                  <c:v>1.4996326913463753E-2</c:v>
                </c:pt>
                <c:pt idx="40">
                  <c:v>1.5771108700990411E-2</c:v>
                </c:pt>
                <c:pt idx="41">
                  <c:v>1.656508371188109E-2</c:v>
                </c:pt>
                <c:pt idx="42">
                  <c:v>1.737822047560611E-2</c:v>
                </c:pt>
                <c:pt idx="43">
                  <c:v>1.8210486762127498E-2</c:v>
                </c:pt>
                <c:pt idx="44">
                  <c:v>1.9061849583176638E-2</c:v>
                </c:pt>
                <c:pt idx="45">
                  <c:v>1.9932275193561888E-2</c:v>
                </c:pt>
                <c:pt idx="46">
                  <c:v>2.0821729092505736E-2</c:v>
                </c:pt>
                <c:pt idx="47">
                  <c:v>2.1730176025012815E-2</c:v>
                </c:pt>
                <c:pt idx="48">
                  <c:v>2.2657579983267062E-2</c:v>
                </c:pt>
                <c:pt idx="49">
                  <c:v>2.360390420805869E-2</c:v>
                </c:pt>
                <c:pt idx="50">
                  <c:v>2.4569111190241799E-2</c:v>
                </c:pt>
                <c:pt idx="51">
                  <c:v>2.5553162672220409E-2</c:v>
                </c:pt>
                <c:pt idx="52">
                  <c:v>2.6556019649465523E-2</c:v>
                </c:pt>
                <c:pt idx="53">
                  <c:v>2.7577642372060673E-2</c:v>
                </c:pt>
                <c:pt idx="54">
                  <c:v>2.86179903462776E-2</c:v>
                </c:pt>
                <c:pt idx="55">
                  <c:v>2.9677022336181469E-2</c:v>
                </c:pt>
                <c:pt idx="56">
                  <c:v>3.0754696365265011E-2</c:v>
                </c:pt>
                <c:pt idx="57">
                  <c:v>3.1850969718112687E-2</c:v>
                </c:pt>
                <c:pt idx="58">
                  <c:v>3.2965798942093449E-2</c:v>
                </c:pt>
                <c:pt idx="59">
                  <c:v>3.4099139849083304E-2</c:v>
                </c:pt>
                <c:pt idx="60">
                  <c:v>3.525094751721658E-2</c:v>
                </c:pt>
                <c:pt idx="61">
                  <c:v>3.6421176292666779E-2</c:v>
                </c:pt>
                <c:pt idx="62">
                  <c:v>3.7609779791455689E-2</c:v>
                </c:pt>
                <c:pt idx="63">
                  <c:v>3.8816710901292406E-2</c:v>
                </c:pt>
                <c:pt idx="64">
                  <c:v>4.0041921783440293E-2</c:v>
                </c:pt>
                <c:pt idx="65">
                  <c:v>4.1285363874613346E-2</c:v>
                </c:pt>
                <c:pt idx="66">
                  <c:v>4.2546987888901155E-2</c:v>
                </c:pt>
                <c:pt idx="67">
                  <c:v>4.382674381972218E-2</c:v>
                </c:pt>
                <c:pt idx="68">
                  <c:v>4.5124580941806103E-2</c:v>
                </c:pt>
                <c:pt idx="69">
                  <c:v>4.6440447813204166E-2</c:v>
                </c:pt>
                <c:pt idx="70">
                  <c:v>4.7774292277328378E-2</c:v>
                </c:pt>
                <c:pt idx="71">
                  <c:v>4.9126061465018855E-2</c:v>
                </c:pt>
                <c:pt idx="72">
                  <c:v>5.0495701796638981E-2</c:v>
                </c:pt>
                <c:pt idx="73">
                  <c:v>5.1883158984199651E-2</c:v>
                </c:pt>
                <c:pt idx="74">
                  <c:v>5.3288378033510775E-2</c:v>
                </c:pt>
                <c:pt idx="75">
                  <c:v>5.4711303246361032E-2</c:v>
                </c:pt>
                <c:pt idx="76">
                  <c:v>5.6151878222725771E-2</c:v>
                </c:pt>
                <c:pt idx="77">
                  <c:v>5.7610045863002224E-2</c:v>
                </c:pt>
                <c:pt idx="78">
                  <c:v>5.9085748370273083E-2</c:v>
                </c:pt>
                <c:pt idx="79">
                  <c:v>6.0578927252597115E-2</c:v>
                </c:pt>
                <c:pt idx="80">
                  <c:v>6.2089523325327745E-2</c:v>
                </c:pt>
                <c:pt idx="81">
                  <c:v>6.3617476713458798E-2</c:v>
                </c:pt>
                <c:pt idx="82">
                  <c:v>6.5162726853997877E-2</c:v>
                </c:pt>
                <c:pt idx="83">
                  <c:v>6.672521249836677E-2</c:v>
                </c:pt>
                <c:pt idx="84">
                  <c:v>6.8304871714829296E-2</c:v>
                </c:pt>
                <c:pt idx="85">
                  <c:v>6.9901641890945942E-2</c:v>
                </c:pt>
                <c:pt idx="86">
                  <c:v>7.1515459736055498E-2</c:v>
                </c:pt>
                <c:pt idx="87">
                  <c:v>7.3146261283784042E-2</c:v>
                </c:pt>
                <c:pt idx="88">
                  <c:v>7.4793981894580031E-2</c:v>
                </c:pt>
                <c:pt idx="89">
                  <c:v>7.6458556258276578E-2</c:v>
                </c:pt>
                <c:pt idx="90">
                  <c:v>7.8139918396679942E-2</c:v>
                </c:pt>
                <c:pt idx="91">
                  <c:v>7.9838001666184821E-2</c:v>
                </c:pt>
                <c:pt idx="92">
                  <c:v>8.1552738760416077E-2</c:v>
                </c:pt>
                <c:pt idx="93">
                  <c:v>8.3284061712896151E-2</c:v>
                </c:pt>
                <c:pt idx="94">
                  <c:v>8.5031901899739193E-2</c:v>
                </c:pt>
                <c:pt idx="95">
                  <c:v>8.6796190042371102E-2</c:v>
                </c:pt>
                <c:pt idx="96">
                  <c:v>8.8576856210275556E-2</c:v>
                </c:pt>
                <c:pt idx="97">
                  <c:v>9.0373829823765794E-2</c:v>
                </c:pt>
                <c:pt idx="98">
                  <c:v>9.2187039656781988E-2</c:v>
                </c:pt>
                <c:pt idx="99">
                  <c:v>9.4016413839714708E-2</c:v>
                </c:pt>
                <c:pt idx="100">
                  <c:v>9.5861879862253307E-2</c:v>
                </c:pt>
                <c:pt idx="101">
                  <c:v>9.7723364576260074E-2</c:v>
                </c:pt>
                <c:pt idx="102">
                  <c:v>9.9600794198669851E-2</c:v>
                </c:pt>
                <c:pt idx="103">
                  <c:v>0.1014940943144142</c:v>
                </c:pt>
                <c:pt idx="104">
                  <c:v>0.10340318987937097</c:v>
                </c:pt>
                <c:pt idx="105">
                  <c:v>0.10532800522333907</c:v>
                </c:pt>
                <c:pt idx="106">
                  <c:v>0.10726846405303753</c:v>
                </c:pt>
                <c:pt idx="107">
                  <c:v>0.10922448945512975</c:v>
                </c:pt>
                <c:pt idx="108">
                  <c:v>0.11119600389927187</c:v>
                </c:pt>
                <c:pt idx="109">
                  <c:v>0.11318292924118578</c:v>
                </c:pt>
                <c:pt idx="110">
                  <c:v>0.11518518672575695</c:v>
                </c:pt>
                <c:pt idx="111">
                  <c:v>0.11720269699015529</c:v>
                </c:pt>
                <c:pt idx="112">
                  <c:v>0.11923538006698148</c:v>
                </c:pt>
                <c:pt idx="113">
                  <c:v>0.12128315538743634</c:v>
                </c:pt>
                <c:pt idx="114">
                  <c:v>0.12334594178451425</c:v>
                </c:pt>
                <c:pt idx="115">
                  <c:v>0.12542365749622042</c:v>
                </c:pt>
                <c:pt idx="116">
                  <c:v>0.12751622016881176</c:v>
                </c:pt>
                <c:pt idx="117">
                  <c:v>0.12962354686006083</c:v>
                </c:pt>
                <c:pt idx="118">
                  <c:v>0.13174555404254384</c:v>
                </c:pt>
                <c:pt idx="119">
                  <c:v>0.13388215760695088</c:v>
                </c:pt>
                <c:pt idx="120">
                  <c:v>0.13603327286542016</c:v>
                </c:pt>
                <c:pt idx="121">
                  <c:v>0.13819881455489452</c:v>
                </c:pt>
                <c:pt idx="122">
                  <c:v>0.14037869684050097</c:v>
                </c:pt>
                <c:pt idx="123">
                  <c:v>0.1425728333189531</c:v>
                </c:pt>
                <c:pt idx="124">
                  <c:v>0.14478113702197559</c:v>
                </c:pt>
                <c:pt idx="125">
                  <c:v>0.14700352041975151</c:v>
                </c:pt>
                <c:pt idx="126">
                  <c:v>0.14923989542439159</c:v>
                </c:pt>
                <c:pt idx="127">
                  <c:v>0.15149017339342569</c:v>
                </c:pt>
                <c:pt idx="128">
                  <c:v>0.15375426513331653</c:v>
                </c:pt>
                <c:pt idx="129">
                  <c:v>0.15603208090299492</c:v>
                </c:pt>
                <c:pt idx="130">
                  <c:v>0.15832353041741654</c:v>
                </c:pt>
                <c:pt idx="131">
                  <c:v>0.1606285228511411</c:v>
                </c:pt>
                <c:pt idx="132">
                  <c:v>0.1629469668419315</c:v>
                </c:pt>
                <c:pt idx="133">
                  <c:v>0.16527877049437611</c:v>
                </c:pt>
                <c:pt idx="134">
                  <c:v>0.16762384138353059</c:v>
                </c:pt>
                <c:pt idx="135">
                  <c:v>0.16998208655858127</c:v>
                </c:pt>
                <c:pt idx="136">
                  <c:v>0.17235341254652992</c:v>
                </c:pt>
                <c:pt idx="137">
                  <c:v>0.17473772535589804</c:v>
                </c:pt>
                <c:pt idx="138">
                  <c:v>0.17713493048045287</c:v>
                </c:pt>
                <c:pt idx="139">
                  <c:v>0.17954493290295315</c:v>
                </c:pt>
                <c:pt idx="140">
                  <c:v>0.18196763709891517</c:v>
                </c:pt>
                <c:pt idx="141">
                  <c:v>0.18440294704039933</c:v>
                </c:pt>
                <c:pt idx="142">
                  <c:v>0.18685076619981611</c:v>
                </c:pt>
                <c:pt idx="143">
                  <c:v>0.18931099755375197</c:v>
                </c:pt>
                <c:pt idx="144">
                  <c:v>0.19178354358681554</c:v>
                </c:pt>
                <c:pt idx="145">
                  <c:v>0.1942683062955024</c:v>
                </c:pt>
                <c:pt idx="146">
                  <c:v>0.19676518719207969</c:v>
                </c:pt>
                <c:pt idx="147">
                  <c:v>0.19927408730849</c:v>
                </c:pt>
                <c:pt idx="148">
                  <c:v>0.20179490720027371</c:v>
                </c:pt>
                <c:pt idx="149">
                  <c:v>0.20432754695051125</c:v>
                </c:pt>
                <c:pt idx="150">
                  <c:v>0.20687190617378309</c:v>
                </c:pt>
                <c:pt idx="151">
                  <c:v>0.20942788402014861</c:v>
                </c:pt>
                <c:pt idx="152">
                  <c:v>0.21199537917914374</c:v>
                </c:pt>
                <c:pt idx="153">
                  <c:v>0.21457428988379634</c:v>
                </c:pt>
                <c:pt idx="154">
                  <c:v>0.21716451391466002</c:v>
                </c:pt>
                <c:pt idx="155">
                  <c:v>0.21976594860386583</c:v>
                </c:pt>
                <c:pt idx="156">
                  <c:v>0.22237849083919142</c:v>
                </c:pt>
                <c:pt idx="157">
                  <c:v>0.22500203706814847</c:v>
                </c:pt>
                <c:pt idx="158">
                  <c:v>0.22763648330208675</c:v>
                </c:pt>
                <c:pt idx="159">
                  <c:v>0.23028172512031608</c:v>
                </c:pt>
                <c:pt idx="160">
                  <c:v>0.23293765767424529</c:v>
                </c:pt>
                <c:pt idx="161">
                  <c:v>0.23560417569153802</c:v>
                </c:pt>
                <c:pt idx="162">
                  <c:v>0.23828117348028521</c:v>
                </c:pt>
                <c:pt idx="163">
                  <c:v>0.24096854493319464</c:v>
                </c:pt>
                <c:pt idx="164">
                  <c:v>0.24366618353179648</c:v>
                </c:pt>
                <c:pt idx="165">
                  <c:v>0.24637398235066521</c:v>
                </c:pt>
                <c:pt idx="166">
                  <c:v>0.2490918340616583</c:v>
                </c:pt>
                <c:pt idx="167">
                  <c:v>0.25181963093816961</c:v>
                </c:pt>
                <c:pt idx="168">
                  <c:v>0.25455726485940006</c:v>
                </c:pt>
                <c:pt idx="169">
                  <c:v>0.25730462731464265</c:v>
                </c:pt>
                <c:pt idx="170">
                  <c:v>0.26006160940758349</c:v>
                </c:pt>
                <c:pt idx="171">
                  <c:v>0.26282810186061856</c:v>
                </c:pt>
                <c:pt idx="172">
                  <c:v>0.26560399501918452</c:v>
                </c:pt>
                <c:pt idx="173">
                  <c:v>0.26838917885610541</c:v>
                </c:pt>
                <c:pt idx="174">
                  <c:v>0.27118354297595382</c:v>
                </c:pt>
                <c:pt idx="175">
                  <c:v>0.27398697661942611</c:v>
                </c:pt>
                <c:pt idx="176">
                  <c:v>0.27679936866773314</c:v>
                </c:pt>
                <c:pt idx="177">
                  <c:v>0.27962060764700436</c:v>
                </c:pt>
                <c:pt idx="178">
                  <c:v>0.2824505817327061</c:v>
                </c:pt>
                <c:pt idx="179">
                  <c:v>0.28528917875407439</c:v>
                </c:pt>
                <c:pt idx="180">
                  <c:v>0.28813628619856047</c:v>
                </c:pt>
                <c:pt idx="181">
                  <c:v>0.29099179121629093</c:v>
                </c:pt>
                <c:pt idx="182">
                  <c:v>0.29385558062454042</c:v>
                </c:pt>
                <c:pt idx="183">
                  <c:v>0.29672754091221787</c:v>
                </c:pt>
                <c:pt idx="184">
                  <c:v>0.29960755824436569</c:v>
                </c:pt>
                <c:pt idx="185">
                  <c:v>0.30249551846667189</c:v>
                </c:pt>
                <c:pt idx="186">
                  <c:v>0.30539130710999463</c:v>
                </c:pt>
                <c:pt idx="187">
                  <c:v>0.30829480939489962</c:v>
                </c:pt>
                <c:pt idx="188">
                  <c:v>0.31120591023620925</c:v>
                </c:pt>
                <c:pt idx="189">
                  <c:v>0.31412449424756461</c:v>
                </c:pt>
                <c:pt idx="190">
                  <c:v>0.31705044574599883</c:v>
                </c:pt>
                <c:pt idx="191">
                  <c:v>0.31998364875652208</c:v>
                </c:pt>
                <c:pt idx="192">
                  <c:v>0.32292398701671898</c:v>
                </c:pt>
                <c:pt idx="193">
                  <c:v>0.32587134398135642</c:v>
                </c:pt>
                <c:pt idx="194">
                  <c:v>0.32882560282700324</c:v>
                </c:pt>
                <c:pt idx="195">
                  <c:v>0.33178664645666067</c:v>
                </c:pt>
                <c:pt idx="196">
                  <c:v>0.33475435750440363</c:v>
                </c:pt>
                <c:pt idx="197">
                  <c:v>0.33772861834003265</c:v>
                </c:pt>
                <c:pt idx="198">
                  <c:v>0.34070931107373681</c:v>
                </c:pt>
                <c:pt idx="199">
                  <c:v>0.34369631756076557</c:v>
                </c:pt>
                <c:pt idx="200">
                  <c:v>0.34668951940611281</c:v>
                </c:pt>
                <c:pt idx="201">
                  <c:v>0.34968879796920838</c:v>
                </c:pt>
                <c:pt idx="202">
                  <c:v>0.35269403436862179</c:v>
                </c:pt>
                <c:pt idx="203">
                  <c:v>0.35570510948677336</c:v>
                </c:pt>
                <c:pt idx="204">
                  <c:v>0.35872190397465631</c:v>
                </c:pt>
                <c:pt idx="205">
                  <c:v>0.36174429825656684</c:v>
                </c:pt>
                <c:pt idx="206">
                  <c:v>0.3647721725348439</c:v>
                </c:pt>
                <c:pt idx="207">
                  <c:v>0.36780540679461771</c:v>
                </c:pt>
                <c:pt idx="208">
                  <c:v>0.37084388080856684</c:v>
                </c:pt>
                <c:pt idx="209">
                  <c:v>0.37388747414168289</c:v>
                </c:pt>
                <c:pt idx="210">
                  <c:v>0.37693606615604525</c:v>
                </c:pt>
                <c:pt idx="211">
                  <c:v>0.37998953601560176</c:v>
                </c:pt>
                <c:pt idx="212">
                  <c:v>0.38304776269095892</c:v>
                </c:pt>
                <c:pt idx="213">
                  <c:v>0.38611062496417881</c:v>
                </c:pt>
                <c:pt idx="214">
                  <c:v>0.38917800143358394</c:v>
                </c:pt>
                <c:pt idx="215">
                  <c:v>0.39224977051856891</c:v>
                </c:pt>
                <c:pt idx="216">
                  <c:v>0.39532581046441984</c:v>
                </c:pt>
                <c:pt idx="217">
                  <c:v>0.39840599934713983</c:v>
                </c:pt>
                <c:pt idx="218">
                  <c:v>0.40149021507828209</c:v>
                </c:pt>
                <c:pt idx="219">
                  <c:v>0.40457833540978921</c:v>
                </c:pt>
                <c:pt idx="220">
                  <c:v>0.40767023793883778</c:v>
                </c:pt>
                <c:pt idx="221">
                  <c:v>0.41076580011269126</c:v>
                </c:pt>
                <c:pt idx="222">
                  <c:v>0.41386489923355663</c:v>
                </c:pt>
                <c:pt idx="223">
                  <c:v>0.41696741246344804</c:v>
                </c:pt>
                <c:pt idx="224">
                  <c:v>0.42007321682905585</c:v>
                </c:pt>
                <c:pt idx="225">
                  <c:v>0.42318218922662082</c:v>
                </c:pt>
                <c:pt idx="226">
                  <c:v>0.42629420642681332</c:v>
                </c:pt>
                <c:pt idx="227">
                  <c:v>0.42940914507961764</c:v>
                </c:pt>
                <c:pt idx="228">
                  <c:v>0.43252688171922182</c:v>
                </c:pt>
                <c:pt idx="229">
                  <c:v>0.43564729276891079</c:v>
                </c:pt>
                <c:pt idx="230">
                  <c:v>0.43877025454596486</c:v>
                </c:pt>
                <c:pt idx="231">
                  <c:v>0.44189564326656183</c:v>
                </c:pt>
                <c:pt idx="232">
                  <c:v>0.44502333505068348</c:v>
                </c:pt>
                <c:pt idx="233">
                  <c:v>0.44815320592702612</c:v>
                </c:pt>
                <c:pt idx="234">
                  <c:v>0.4512851318379138</c:v>
                </c:pt>
                <c:pt idx="235">
                  <c:v>0.45441898864421604</c:v>
                </c:pt>
                <c:pt idx="236">
                  <c:v>0.45755465213026802</c:v>
                </c:pt>
                <c:pt idx="237">
                  <c:v>0.46069199800879396</c:v>
                </c:pt>
                <c:pt idx="238">
                  <c:v>0.46383090192583382</c:v>
                </c:pt>
                <c:pt idx="239">
                  <c:v>0.46697123946567209</c:v>
                </c:pt>
                <c:pt idx="240">
                  <c:v>0.47011288615576918</c:v>
                </c:pt>
                <c:pt idx="241">
                  <c:v>0.47325571747169526</c:v>
                </c:pt>
                <c:pt idx="242">
                  <c:v>0.47639960884206567</c:v>
                </c:pt>
                <c:pt idx="243">
                  <c:v>0.4795444356534786</c:v>
                </c:pt>
                <c:pt idx="244">
                  <c:v>0.48269007325545488</c:v>
                </c:pt>
                <c:pt idx="245">
                  <c:v>0.48583639696537795</c:v>
                </c:pt>
                <c:pt idx="246">
                  <c:v>0.4889832820734365</c:v>
                </c:pt>
                <c:pt idx="247">
                  <c:v>0.49213060384756707</c:v>
                </c:pt>
                <c:pt idx="248">
                  <c:v>0.49527823753839817</c:v>
                </c:pt>
                <c:pt idx="249">
                  <c:v>0.49842605838419507</c:v>
                </c:pt>
                <c:pt idx="250">
                  <c:v>0.50157394161580482</c:v>
                </c:pt>
                <c:pt idx="251">
                  <c:v>0.50472176246160183</c:v>
                </c:pt>
                <c:pt idx="252">
                  <c:v>0.50786939615243298</c:v>
                </c:pt>
                <c:pt idx="253">
                  <c:v>0.51101671792656345</c:v>
                </c:pt>
                <c:pt idx="254">
                  <c:v>0.51416360303462194</c:v>
                </c:pt>
                <c:pt idx="255">
                  <c:v>0.51730992674454512</c:v>
                </c:pt>
                <c:pt idx="256">
                  <c:v>0.52045556434652129</c:v>
                </c:pt>
                <c:pt idx="257">
                  <c:v>0.52360039115793444</c:v>
                </c:pt>
                <c:pt idx="258">
                  <c:v>0.52674428252830463</c:v>
                </c:pt>
                <c:pt idx="259">
                  <c:v>0.5298871138442306</c:v>
                </c:pt>
                <c:pt idx="260">
                  <c:v>0.53302876053432768</c:v>
                </c:pt>
                <c:pt idx="261">
                  <c:v>0.53616909807416602</c:v>
                </c:pt>
                <c:pt idx="262">
                  <c:v>0.5393080019912061</c:v>
                </c:pt>
                <c:pt idx="263">
                  <c:v>0.54244534786973198</c:v>
                </c:pt>
                <c:pt idx="264">
                  <c:v>0.54558101135578396</c:v>
                </c:pt>
                <c:pt idx="265">
                  <c:v>0.54871486816208614</c:v>
                </c:pt>
                <c:pt idx="266">
                  <c:v>0.55184679407297388</c:v>
                </c:pt>
                <c:pt idx="267">
                  <c:v>0.55497666494931641</c:v>
                </c:pt>
                <c:pt idx="268">
                  <c:v>0.55810435673343828</c:v>
                </c:pt>
                <c:pt idx="269">
                  <c:v>0.56122974545403514</c:v>
                </c:pt>
                <c:pt idx="270">
                  <c:v>0.5643527072310891</c:v>
                </c:pt>
                <c:pt idx="271">
                  <c:v>0.56747311828077796</c:v>
                </c:pt>
                <c:pt idx="272">
                  <c:v>0.57059085492038231</c:v>
                </c:pt>
                <c:pt idx="273">
                  <c:v>0.57370579357318674</c:v>
                </c:pt>
                <c:pt idx="274">
                  <c:v>0.57681781077337912</c:v>
                </c:pt>
                <c:pt idx="275">
                  <c:v>0.57992678317094404</c:v>
                </c:pt>
                <c:pt idx="276">
                  <c:v>0.58303258753655196</c:v>
                </c:pt>
                <c:pt idx="277">
                  <c:v>0.58613510076644337</c:v>
                </c:pt>
                <c:pt idx="278">
                  <c:v>0.58923419988730874</c:v>
                </c:pt>
                <c:pt idx="279">
                  <c:v>0.59232976206116217</c:v>
                </c:pt>
                <c:pt idx="280">
                  <c:v>0.59542166459021073</c:v>
                </c:pt>
                <c:pt idx="281">
                  <c:v>0.59850978492171769</c:v>
                </c:pt>
                <c:pt idx="282">
                  <c:v>0.60159400065285995</c:v>
                </c:pt>
                <c:pt idx="283">
                  <c:v>0.60467418953558016</c:v>
                </c:pt>
                <c:pt idx="284">
                  <c:v>0.60775022948143098</c:v>
                </c:pt>
                <c:pt idx="285">
                  <c:v>0.61082199856641595</c:v>
                </c:pt>
                <c:pt idx="286">
                  <c:v>0.61388937503582108</c:v>
                </c:pt>
                <c:pt idx="287">
                  <c:v>0.61695223730904103</c:v>
                </c:pt>
                <c:pt idx="288">
                  <c:v>0.6200104639843983</c:v>
                </c:pt>
                <c:pt idx="289">
                  <c:v>0.62306393384395475</c:v>
                </c:pt>
                <c:pt idx="290">
                  <c:v>0.626112525858317</c:v>
                </c:pt>
                <c:pt idx="291">
                  <c:v>0.62915611919143311</c:v>
                </c:pt>
                <c:pt idx="292">
                  <c:v>0.63219459320538207</c:v>
                </c:pt>
                <c:pt idx="293">
                  <c:v>0.63522782746515594</c:v>
                </c:pt>
                <c:pt idx="294">
                  <c:v>0.63825570174343316</c:v>
                </c:pt>
                <c:pt idx="295">
                  <c:v>0.64127809602534369</c:v>
                </c:pt>
                <c:pt idx="296">
                  <c:v>0.64429489051322653</c:v>
                </c:pt>
                <c:pt idx="297">
                  <c:v>0.64730596563137821</c:v>
                </c:pt>
                <c:pt idx="298">
                  <c:v>0.65031120203079151</c:v>
                </c:pt>
                <c:pt idx="299">
                  <c:v>0.65331048059388719</c:v>
                </c:pt>
                <c:pt idx="300">
                  <c:v>0.65630368243923431</c:v>
                </c:pt>
                <c:pt idx="301">
                  <c:v>0.65929068892626308</c:v>
                </c:pt>
                <c:pt idx="302">
                  <c:v>0.66227138165996713</c:v>
                </c:pt>
                <c:pt idx="303">
                  <c:v>0.66524564249559626</c:v>
                </c:pt>
                <c:pt idx="304">
                  <c:v>0.66821335354333922</c:v>
                </c:pt>
                <c:pt idx="305">
                  <c:v>0.67117439717299676</c:v>
                </c:pt>
                <c:pt idx="306">
                  <c:v>0.67412865601864358</c:v>
                </c:pt>
                <c:pt idx="307">
                  <c:v>0.67707601298328102</c:v>
                </c:pt>
                <c:pt idx="308">
                  <c:v>0.68001635124347781</c:v>
                </c:pt>
                <c:pt idx="309">
                  <c:v>0.68294955425400117</c:v>
                </c:pt>
                <c:pt idx="310">
                  <c:v>0.68587550575243539</c:v>
                </c:pt>
                <c:pt idx="311">
                  <c:v>0.68879408976379075</c:v>
                </c:pt>
                <c:pt idx="312">
                  <c:v>0.69170519060510038</c:v>
                </c:pt>
                <c:pt idx="313">
                  <c:v>0.69460869289000526</c:v>
                </c:pt>
                <c:pt idx="314">
                  <c:v>0.697504481533328</c:v>
                </c:pt>
                <c:pt idx="315">
                  <c:v>0.70039244175563431</c:v>
                </c:pt>
                <c:pt idx="316">
                  <c:v>0.70327245908778213</c:v>
                </c:pt>
                <c:pt idx="317">
                  <c:v>0.70614441937545946</c:v>
                </c:pt>
                <c:pt idx="318">
                  <c:v>0.70900820878370907</c:v>
                </c:pt>
                <c:pt idx="319">
                  <c:v>0.71186371380143942</c:v>
                </c:pt>
                <c:pt idx="320">
                  <c:v>0.71471082124592566</c:v>
                </c:pt>
                <c:pt idx="321">
                  <c:v>0.71754941826729379</c:v>
                </c:pt>
                <c:pt idx="322">
                  <c:v>0.72037939235299564</c:v>
                </c:pt>
                <c:pt idx="323">
                  <c:v>0.72320063133226686</c:v>
                </c:pt>
                <c:pt idx="324">
                  <c:v>0.72601302338057372</c:v>
                </c:pt>
                <c:pt idx="325">
                  <c:v>0.72881645702404607</c:v>
                </c:pt>
                <c:pt idx="326">
                  <c:v>0.73161082114389431</c:v>
                </c:pt>
                <c:pt idx="327">
                  <c:v>0.73439600498081559</c:v>
                </c:pt>
                <c:pt idx="328">
                  <c:v>0.73717189813938133</c:v>
                </c:pt>
                <c:pt idx="329">
                  <c:v>0.73993839059241651</c:v>
                </c:pt>
                <c:pt idx="330">
                  <c:v>0.74269537268535735</c:v>
                </c:pt>
                <c:pt idx="331">
                  <c:v>0.74544273514059989</c:v>
                </c:pt>
                <c:pt idx="332">
                  <c:v>0.74818036906183039</c:v>
                </c:pt>
                <c:pt idx="333">
                  <c:v>0.75090816593834164</c:v>
                </c:pt>
                <c:pt idx="334">
                  <c:v>0.75362601764933479</c:v>
                </c:pt>
                <c:pt idx="335">
                  <c:v>0.75633381646820341</c:v>
                </c:pt>
                <c:pt idx="336">
                  <c:v>0.75903145506680525</c:v>
                </c:pt>
                <c:pt idx="337">
                  <c:v>0.76171882651971456</c:v>
                </c:pt>
                <c:pt idx="338">
                  <c:v>0.76439582430846209</c:v>
                </c:pt>
                <c:pt idx="339">
                  <c:v>0.76706234232575465</c:v>
                </c:pt>
                <c:pt idx="340">
                  <c:v>0.76971827487968403</c:v>
                </c:pt>
                <c:pt idx="341">
                  <c:v>0.77236351669791325</c:v>
                </c:pt>
                <c:pt idx="342">
                  <c:v>0.77499796293185153</c:v>
                </c:pt>
                <c:pt idx="343">
                  <c:v>0.77762150916080852</c:v>
                </c:pt>
                <c:pt idx="344">
                  <c:v>0.78023405139613411</c:v>
                </c:pt>
                <c:pt idx="345">
                  <c:v>0.78283548608533993</c:v>
                </c:pt>
                <c:pt idx="346">
                  <c:v>0.78542571011620343</c:v>
                </c:pt>
                <c:pt idx="347">
                  <c:v>0.78800462082085621</c:v>
                </c:pt>
                <c:pt idx="348">
                  <c:v>0.79057211597985133</c:v>
                </c:pt>
                <c:pt idx="349">
                  <c:v>0.79312809382621685</c:v>
                </c:pt>
                <c:pt idx="350">
                  <c:v>0.79567245304948864</c:v>
                </c:pt>
                <c:pt idx="351">
                  <c:v>0.79820509279972629</c:v>
                </c:pt>
                <c:pt idx="352">
                  <c:v>0.80072591269150994</c:v>
                </c:pt>
                <c:pt idx="353">
                  <c:v>0.80323481280792031</c:v>
                </c:pt>
                <c:pt idx="354">
                  <c:v>0.8057316937044976</c:v>
                </c:pt>
                <c:pt idx="355">
                  <c:v>0.8082164564131844</c:v>
                </c:pt>
                <c:pt idx="356">
                  <c:v>0.81068900244624797</c:v>
                </c:pt>
                <c:pt idx="357">
                  <c:v>0.81314923380018378</c:v>
                </c:pt>
                <c:pt idx="358">
                  <c:v>0.81559705295960072</c:v>
                </c:pt>
                <c:pt idx="359">
                  <c:v>0.81803236290108483</c:v>
                </c:pt>
                <c:pt idx="360">
                  <c:v>0.82045506709704696</c:v>
                </c:pt>
                <c:pt idx="361">
                  <c:v>0.82286506951954708</c:v>
                </c:pt>
                <c:pt idx="362">
                  <c:v>0.82526227464410196</c:v>
                </c:pt>
                <c:pt idx="363">
                  <c:v>0.82764658745347019</c:v>
                </c:pt>
                <c:pt idx="364">
                  <c:v>0.83001791344141862</c:v>
                </c:pt>
                <c:pt idx="365">
                  <c:v>0.83237615861646941</c:v>
                </c:pt>
                <c:pt idx="366">
                  <c:v>0.83472122950562377</c:v>
                </c:pt>
                <c:pt idx="367">
                  <c:v>0.83705303315806845</c:v>
                </c:pt>
                <c:pt idx="368">
                  <c:v>0.83937147714885874</c:v>
                </c:pt>
                <c:pt idx="369">
                  <c:v>0.84167646958258346</c:v>
                </c:pt>
                <c:pt idx="370">
                  <c:v>0.84396791909700508</c:v>
                </c:pt>
                <c:pt idx="371">
                  <c:v>0.84624573486668342</c:v>
                </c:pt>
                <c:pt idx="372">
                  <c:v>0.84850982660657426</c:v>
                </c:pt>
                <c:pt idx="373">
                  <c:v>0.85076010457560836</c:v>
                </c:pt>
                <c:pt idx="374">
                  <c:v>0.85299647958024849</c:v>
                </c:pt>
                <c:pt idx="375">
                  <c:v>0.8552188629780243</c:v>
                </c:pt>
                <c:pt idx="376">
                  <c:v>0.8574271666810469</c:v>
                </c:pt>
                <c:pt idx="377">
                  <c:v>0.85962130315949881</c:v>
                </c:pt>
                <c:pt idx="378">
                  <c:v>0.86180118544510542</c:v>
                </c:pt>
                <c:pt idx="379">
                  <c:v>0.86396672713457978</c:v>
                </c:pt>
                <c:pt idx="380">
                  <c:v>0.86611784239304912</c:v>
                </c:pt>
                <c:pt idx="381">
                  <c:v>0.86825444595745616</c:v>
                </c:pt>
                <c:pt idx="382">
                  <c:v>0.87037645313993917</c:v>
                </c:pt>
                <c:pt idx="383">
                  <c:v>0.87248377983118819</c:v>
                </c:pt>
                <c:pt idx="384">
                  <c:v>0.87457634250377958</c:v>
                </c:pt>
                <c:pt idx="385">
                  <c:v>0.87665405821548581</c:v>
                </c:pt>
                <c:pt idx="386">
                  <c:v>0.8787168446125635</c:v>
                </c:pt>
                <c:pt idx="387">
                  <c:v>0.88076461993301847</c:v>
                </c:pt>
                <c:pt idx="388">
                  <c:v>0.8827973030098446</c:v>
                </c:pt>
                <c:pt idx="389">
                  <c:v>0.88481481327424305</c:v>
                </c:pt>
                <c:pt idx="390">
                  <c:v>0.88681707075881411</c:v>
                </c:pt>
                <c:pt idx="391">
                  <c:v>0.88880399610072813</c:v>
                </c:pt>
                <c:pt idx="392">
                  <c:v>0.89077551054487025</c:v>
                </c:pt>
                <c:pt idx="393">
                  <c:v>0.89273153594696253</c:v>
                </c:pt>
                <c:pt idx="394">
                  <c:v>0.89467199477666082</c:v>
                </c:pt>
                <c:pt idx="395">
                  <c:v>0.89659681012062897</c:v>
                </c:pt>
                <c:pt idx="396">
                  <c:v>0.89850590568558575</c:v>
                </c:pt>
                <c:pt idx="397">
                  <c:v>0.90039920580133004</c:v>
                </c:pt>
                <c:pt idx="398">
                  <c:v>0.90227663542373993</c:v>
                </c:pt>
                <c:pt idx="399">
                  <c:v>0.90413812013774664</c:v>
                </c:pt>
                <c:pt idx="400">
                  <c:v>0.9059835861602854</c:v>
                </c:pt>
                <c:pt idx="401">
                  <c:v>0.9078129603432179</c:v>
                </c:pt>
                <c:pt idx="402">
                  <c:v>0.90962617017623426</c:v>
                </c:pt>
                <c:pt idx="403">
                  <c:v>0.91142314378972433</c:v>
                </c:pt>
                <c:pt idx="404">
                  <c:v>0.91320380995762895</c:v>
                </c:pt>
                <c:pt idx="405">
                  <c:v>0.91496809810026081</c:v>
                </c:pt>
                <c:pt idx="406">
                  <c:v>0.91671593828710374</c:v>
                </c:pt>
                <c:pt idx="407">
                  <c:v>0.91844726123958387</c:v>
                </c:pt>
                <c:pt idx="408">
                  <c:v>0.92016199833381507</c:v>
                </c:pt>
                <c:pt idx="409">
                  <c:v>0.92186008160332</c:v>
                </c:pt>
                <c:pt idx="410">
                  <c:v>0.92354144374172342</c:v>
                </c:pt>
                <c:pt idx="411">
                  <c:v>0.92520601810542002</c:v>
                </c:pt>
                <c:pt idx="412">
                  <c:v>0.9268537387162159</c:v>
                </c:pt>
                <c:pt idx="413">
                  <c:v>0.92848454026394456</c:v>
                </c:pt>
                <c:pt idx="414">
                  <c:v>0.93009835810905406</c:v>
                </c:pt>
                <c:pt idx="415">
                  <c:v>0.93169512828517065</c:v>
                </c:pt>
                <c:pt idx="416">
                  <c:v>0.93327478750163317</c:v>
                </c:pt>
                <c:pt idx="417">
                  <c:v>0.93483727314600207</c:v>
                </c:pt>
                <c:pt idx="418">
                  <c:v>0.93638252328654126</c:v>
                </c:pt>
                <c:pt idx="419">
                  <c:v>0.9379104766746722</c:v>
                </c:pt>
                <c:pt idx="420">
                  <c:v>0.93942107274740294</c:v>
                </c:pt>
                <c:pt idx="421">
                  <c:v>0.94091425162972686</c:v>
                </c:pt>
                <c:pt idx="422">
                  <c:v>0.94238995413699778</c:v>
                </c:pt>
                <c:pt idx="423">
                  <c:v>0.94384812177727417</c:v>
                </c:pt>
                <c:pt idx="424">
                  <c:v>0.94528869675363891</c:v>
                </c:pt>
                <c:pt idx="425">
                  <c:v>0.94671162196648917</c:v>
                </c:pt>
                <c:pt idx="426">
                  <c:v>0.94811684101580029</c:v>
                </c:pt>
                <c:pt idx="427">
                  <c:v>0.94950429820336102</c:v>
                </c:pt>
                <c:pt idx="428">
                  <c:v>0.95087393853498114</c:v>
                </c:pt>
                <c:pt idx="429">
                  <c:v>0.95222570772267157</c:v>
                </c:pt>
                <c:pt idx="430">
                  <c:v>0.95355955218679578</c:v>
                </c:pt>
                <c:pt idx="431">
                  <c:v>0.95487541905819395</c:v>
                </c:pt>
                <c:pt idx="432">
                  <c:v>0.95617325618027782</c:v>
                </c:pt>
                <c:pt idx="433">
                  <c:v>0.9574530121110989</c:v>
                </c:pt>
                <c:pt idx="434">
                  <c:v>0.95871463612538665</c:v>
                </c:pt>
                <c:pt idx="435">
                  <c:v>0.95995807821655976</c:v>
                </c:pt>
                <c:pt idx="436">
                  <c:v>0.96118328909870754</c:v>
                </c:pt>
                <c:pt idx="437">
                  <c:v>0.96239022020854426</c:v>
                </c:pt>
                <c:pt idx="438">
                  <c:v>0.96357882370733328</c:v>
                </c:pt>
                <c:pt idx="439">
                  <c:v>0.96474905248278331</c:v>
                </c:pt>
                <c:pt idx="440">
                  <c:v>0.9659008601509167</c:v>
                </c:pt>
                <c:pt idx="441">
                  <c:v>0.9670342010579065</c:v>
                </c:pt>
                <c:pt idx="442">
                  <c:v>0.96814903028188737</c:v>
                </c:pt>
                <c:pt idx="443">
                  <c:v>0.96924530363473493</c:v>
                </c:pt>
                <c:pt idx="444">
                  <c:v>0.97032297766381859</c:v>
                </c:pt>
                <c:pt idx="445">
                  <c:v>0.97138200965372234</c:v>
                </c:pt>
                <c:pt idx="446">
                  <c:v>0.97242235762793938</c:v>
                </c:pt>
                <c:pt idx="447">
                  <c:v>0.97344398035053437</c:v>
                </c:pt>
                <c:pt idx="448">
                  <c:v>0.97444683732777948</c:v>
                </c:pt>
                <c:pt idx="449">
                  <c:v>0.97543088880975826</c:v>
                </c:pt>
                <c:pt idx="450">
                  <c:v>0.97639609579194131</c:v>
                </c:pt>
                <c:pt idx="451">
                  <c:v>0.97734242001673288</c:v>
                </c:pt>
                <c:pt idx="452">
                  <c:v>0.97826982397498718</c:v>
                </c:pt>
                <c:pt idx="453">
                  <c:v>0.97917827090749432</c:v>
                </c:pt>
                <c:pt idx="454">
                  <c:v>0.98006772480643811</c:v>
                </c:pt>
                <c:pt idx="455">
                  <c:v>0.98093815041682331</c:v>
                </c:pt>
                <c:pt idx="456">
                  <c:v>0.98178951323787245</c:v>
                </c:pt>
                <c:pt idx="457">
                  <c:v>0.98262177952439389</c:v>
                </c:pt>
                <c:pt idx="458">
                  <c:v>0.98343491628811885</c:v>
                </c:pt>
                <c:pt idx="459">
                  <c:v>0.98422889129900959</c:v>
                </c:pt>
                <c:pt idx="460">
                  <c:v>0.98500367308653625</c:v>
                </c:pt>
                <c:pt idx="461">
                  <c:v>0.98575923094092466</c:v>
                </c:pt>
                <c:pt idx="462">
                  <c:v>0.98649553491437336</c:v>
                </c:pt>
                <c:pt idx="463">
                  <c:v>0.98721255582224088</c:v>
                </c:pt>
                <c:pt idx="464">
                  <c:v>0.98791026524420245</c:v>
                </c:pt>
                <c:pt idx="465">
                  <c:v>0.98858863552537568</c:v>
                </c:pt>
                <c:pt idx="466">
                  <c:v>0.98924763977741859</c:v>
                </c:pt>
                <c:pt idx="467">
                  <c:v>0.98988725187959314</c:v>
                </c:pt>
                <c:pt idx="468">
                  <c:v>0.99050744647980227</c:v>
                </c:pt>
                <c:pt idx="469">
                  <c:v>0.99110819899559388</c:v>
                </c:pt>
                <c:pt idx="470">
                  <c:v>0.99168948561513559</c:v>
                </c:pt>
                <c:pt idx="471">
                  <c:v>0.99225128329815826</c:v>
                </c:pt>
                <c:pt idx="472">
                  <c:v>0.99279356977686972</c:v>
                </c:pt>
                <c:pt idx="473">
                  <c:v>0.99331632355683674</c:v>
                </c:pt>
                <c:pt idx="474">
                  <c:v>0.99381952391783734</c:v>
                </c:pt>
                <c:pt idx="475">
                  <c:v>0.99430315091468235</c:v>
                </c:pt>
                <c:pt idx="476">
                  <c:v>0.99476718537800535</c:v>
                </c:pt>
                <c:pt idx="477">
                  <c:v>0.99521160891502314</c:v>
                </c:pt>
                <c:pt idx="478">
                  <c:v>0.99563640391026409</c:v>
                </c:pt>
                <c:pt idx="479">
                  <c:v>0.996041553526267</c:v>
                </c:pt>
                <c:pt idx="480">
                  <c:v>0.99642704170424801</c:v>
                </c:pt>
                <c:pt idx="481">
                  <c:v>0.9967928531647372</c:v>
                </c:pt>
                <c:pt idx="482">
                  <c:v>0.9971389734081848</c:v>
                </c:pt>
                <c:pt idx="483">
                  <c:v>0.99746538871553492</c:v>
                </c:pt>
                <c:pt idx="484">
                  <c:v>0.99777208614877</c:v>
                </c:pt>
                <c:pt idx="485">
                  <c:v>0.99805905355142333</c:v>
                </c:pt>
                <c:pt idx="486">
                  <c:v>0.99832627954906128</c:v>
                </c:pt>
                <c:pt idx="487">
                  <c:v>0.99857375354973366</c:v>
                </c:pt>
                <c:pt idx="488">
                  <c:v>0.99880146574439399</c:v>
                </c:pt>
                <c:pt idx="489">
                  <c:v>0.99900940710728769</c:v>
                </c:pt>
                <c:pt idx="490">
                  <c:v>0.99919756939631066</c:v>
                </c:pt>
                <c:pt idx="491">
                  <c:v>0.99936594515333521</c:v>
                </c:pt>
                <c:pt idx="492">
                  <c:v>0.99951452770450611</c:v>
                </c:pt>
                <c:pt idx="493">
                  <c:v>0.9996433111605052</c:v>
                </c:pt>
                <c:pt idx="494">
                  <c:v>0.99975229041678437</c:v>
                </c:pt>
                <c:pt idx="495">
                  <c:v>0.99984146115376804</c:v>
                </c:pt>
                <c:pt idx="496">
                  <c:v>0.99991081983702479</c:v>
                </c:pt>
                <c:pt idx="497">
                  <c:v>0.99996036371740704</c:v>
                </c:pt>
                <c:pt idx="498">
                  <c:v>0.99999009083116008</c:v>
                </c:pt>
                <c:pt idx="499">
                  <c:v>1</c:v>
                </c:pt>
              </c:numCache>
            </c:numRef>
          </c:xVal>
          <c:yVal>
            <c:numRef>
              <c:f>Data5!$Y$1:$Y$500</c:f>
              <c:numCache>
                <c:formatCode>0.00000</c:formatCode>
                <c:ptCount val="50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  <c:pt idx="50">
                  <c:v>-0.2</c:v>
                </c:pt>
                <c:pt idx="51">
                  <c:v>-0.2</c:v>
                </c:pt>
                <c:pt idx="52">
                  <c:v>-0.2</c:v>
                </c:pt>
                <c:pt idx="53">
                  <c:v>-0.2</c:v>
                </c:pt>
                <c:pt idx="54">
                  <c:v>-0.2</c:v>
                </c:pt>
                <c:pt idx="55">
                  <c:v>-0.2</c:v>
                </c:pt>
                <c:pt idx="56">
                  <c:v>-0.2</c:v>
                </c:pt>
                <c:pt idx="57">
                  <c:v>-0.2</c:v>
                </c:pt>
                <c:pt idx="58">
                  <c:v>-0.2</c:v>
                </c:pt>
                <c:pt idx="59">
                  <c:v>-0.2</c:v>
                </c:pt>
                <c:pt idx="60">
                  <c:v>-0.2</c:v>
                </c:pt>
                <c:pt idx="61">
                  <c:v>-0.2</c:v>
                </c:pt>
                <c:pt idx="62">
                  <c:v>-0.2</c:v>
                </c:pt>
                <c:pt idx="63">
                  <c:v>-0.2</c:v>
                </c:pt>
                <c:pt idx="64">
                  <c:v>-0.2</c:v>
                </c:pt>
                <c:pt idx="65">
                  <c:v>-0.2</c:v>
                </c:pt>
                <c:pt idx="66">
                  <c:v>-0.2</c:v>
                </c:pt>
                <c:pt idx="67">
                  <c:v>-0.2</c:v>
                </c:pt>
                <c:pt idx="68">
                  <c:v>-0.2</c:v>
                </c:pt>
                <c:pt idx="69">
                  <c:v>-0.2</c:v>
                </c:pt>
                <c:pt idx="70">
                  <c:v>-0.2</c:v>
                </c:pt>
                <c:pt idx="71">
                  <c:v>-0.2</c:v>
                </c:pt>
                <c:pt idx="72">
                  <c:v>-0.2</c:v>
                </c:pt>
                <c:pt idx="73">
                  <c:v>-0.2</c:v>
                </c:pt>
                <c:pt idx="74">
                  <c:v>-0.2</c:v>
                </c:pt>
                <c:pt idx="75">
                  <c:v>-0.2</c:v>
                </c:pt>
                <c:pt idx="76">
                  <c:v>-0.2</c:v>
                </c:pt>
                <c:pt idx="77">
                  <c:v>-0.2</c:v>
                </c:pt>
                <c:pt idx="78">
                  <c:v>-0.2</c:v>
                </c:pt>
                <c:pt idx="79">
                  <c:v>-0.2</c:v>
                </c:pt>
                <c:pt idx="80">
                  <c:v>-0.2</c:v>
                </c:pt>
                <c:pt idx="81">
                  <c:v>-0.2</c:v>
                </c:pt>
                <c:pt idx="82">
                  <c:v>-0.2</c:v>
                </c:pt>
                <c:pt idx="83">
                  <c:v>-0.2</c:v>
                </c:pt>
                <c:pt idx="84">
                  <c:v>-0.2</c:v>
                </c:pt>
                <c:pt idx="85">
                  <c:v>-0.2</c:v>
                </c:pt>
                <c:pt idx="86">
                  <c:v>-0.2</c:v>
                </c:pt>
                <c:pt idx="87">
                  <c:v>-0.2</c:v>
                </c:pt>
                <c:pt idx="88">
                  <c:v>-0.2</c:v>
                </c:pt>
                <c:pt idx="89">
                  <c:v>-0.2</c:v>
                </c:pt>
                <c:pt idx="90">
                  <c:v>-0.2</c:v>
                </c:pt>
                <c:pt idx="91">
                  <c:v>-0.2</c:v>
                </c:pt>
                <c:pt idx="92">
                  <c:v>-0.2</c:v>
                </c:pt>
                <c:pt idx="93">
                  <c:v>-0.2</c:v>
                </c:pt>
                <c:pt idx="94">
                  <c:v>-0.2</c:v>
                </c:pt>
                <c:pt idx="95">
                  <c:v>-0.2</c:v>
                </c:pt>
                <c:pt idx="96">
                  <c:v>-0.2</c:v>
                </c:pt>
                <c:pt idx="97">
                  <c:v>-0.2</c:v>
                </c:pt>
                <c:pt idx="98">
                  <c:v>-0.2</c:v>
                </c:pt>
                <c:pt idx="99">
                  <c:v>-0.2</c:v>
                </c:pt>
                <c:pt idx="100">
                  <c:v>-0.2</c:v>
                </c:pt>
                <c:pt idx="101">
                  <c:v>-0.2</c:v>
                </c:pt>
                <c:pt idx="102">
                  <c:v>-0.2</c:v>
                </c:pt>
                <c:pt idx="103">
                  <c:v>-0.2</c:v>
                </c:pt>
                <c:pt idx="104">
                  <c:v>-0.2</c:v>
                </c:pt>
                <c:pt idx="105">
                  <c:v>-0.2</c:v>
                </c:pt>
                <c:pt idx="106">
                  <c:v>-0.2</c:v>
                </c:pt>
                <c:pt idx="107">
                  <c:v>-0.2</c:v>
                </c:pt>
                <c:pt idx="108">
                  <c:v>-0.2</c:v>
                </c:pt>
                <c:pt idx="109">
                  <c:v>-0.2</c:v>
                </c:pt>
                <c:pt idx="110">
                  <c:v>-0.2</c:v>
                </c:pt>
                <c:pt idx="111">
                  <c:v>-0.2</c:v>
                </c:pt>
                <c:pt idx="112">
                  <c:v>-0.2</c:v>
                </c:pt>
                <c:pt idx="113">
                  <c:v>-0.2</c:v>
                </c:pt>
                <c:pt idx="114">
                  <c:v>-0.2</c:v>
                </c:pt>
                <c:pt idx="115">
                  <c:v>-0.2</c:v>
                </c:pt>
                <c:pt idx="116">
                  <c:v>-0.2</c:v>
                </c:pt>
                <c:pt idx="117">
                  <c:v>-0.2</c:v>
                </c:pt>
                <c:pt idx="118">
                  <c:v>-0.2</c:v>
                </c:pt>
                <c:pt idx="119">
                  <c:v>-0.2</c:v>
                </c:pt>
                <c:pt idx="120">
                  <c:v>-0.2</c:v>
                </c:pt>
                <c:pt idx="121">
                  <c:v>-0.2</c:v>
                </c:pt>
                <c:pt idx="122">
                  <c:v>-0.2</c:v>
                </c:pt>
                <c:pt idx="123">
                  <c:v>-0.2</c:v>
                </c:pt>
                <c:pt idx="124">
                  <c:v>-0.2</c:v>
                </c:pt>
                <c:pt idx="125">
                  <c:v>-0.2</c:v>
                </c:pt>
                <c:pt idx="126">
                  <c:v>-0.2</c:v>
                </c:pt>
                <c:pt idx="127">
                  <c:v>-0.2</c:v>
                </c:pt>
                <c:pt idx="128">
                  <c:v>-0.2</c:v>
                </c:pt>
                <c:pt idx="129">
                  <c:v>-0.2</c:v>
                </c:pt>
                <c:pt idx="130">
                  <c:v>-0.2</c:v>
                </c:pt>
                <c:pt idx="131">
                  <c:v>-0.2</c:v>
                </c:pt>
                <c:pt idx="132">
                  <c:v>-0.2</c:v>
                </c:pt>
                <c:pt idx="133">
                  <c:v>-0.2</c:v>
                </c:pt>
                <c:pt idx="134">
                  <c:v>-0.2</c:v>
                </c:pt>
                <c:pt idx="135">
                  <c:v>-0.2</c:v>
                </c:pt>
                <c:pt idx="136">
                  <c:v>-0.2</c:v>
                </c:pt>
                <c:pt idx="137">
                  <c:v>-0.2</c:v>
                </c:pt>
                <c:pt idx="138">
                  <c:v>-0.2</c:v>
                </c:pt>
                <c:pt idx="139">
                  <c:v>-0.2</c:v>
                </c:pt>
                <c:pt idx="140">
                  <c:v>-0.2</c:v>
                </c:pt>
                <c:pt idx="141">
                  <c:v>-0.2</c:v>
                </c:pt>
                <c:pt idx="142">
                  <c:v>-0.2</c:v>
                </c:pt>
                <c:pt idx="143">
                  <c:v>-0.2</c:v>
                </c:pt>
                <c:pt idx="144">
                  <c:v>-0.2</c:v>
                </c:pt>
                <c:pt idx="145">
                  <c:v>-0.2</c:v>
                </c:pt>
                <c:pt idx="146">
                  <c:v>-0.2</c:v>
                </c:pt>
                <c:pt idx="147">
                  <c:v>-0.2</c:v>
                </c:pt>
                <c:pt idx="148">
                  <c:v>-0.2</c:v>
                </c:pt>
                <c:pt idx="149">
                  <c:v>-0.2</c:v>
                </c:pt>
                <c:pt idx="150">
                  <c:v>-0.2</c:v>
                </c:pt>
                <c:pt idx="151">
                  <c:v>-0.2</c:v>
                </c:pt>
                <c:pt idx="152">
                  <c:v>-0.2</c:v>
                </c:pt>
                <c:pt idx="153">
                  <c:v>-0.2</c:v>
                </c:pt>
                <c:pt idx="154">
                  <c:v>-0.2</c:v>
                </c:pt>
                <c:pt idx="155">
                  <c:v>-0.2</c:v>
                </c:pt>
                <c:pt idx="156">
                  <c:v>-0.2</c:v>
                </c:pt>
                <c:pt idx="157">
                  <c:v>-0.2</c:v>
                </c:pt>
                <c:pt idx="158">
                  <c:v>-0.2</c:v>
                </c:pt>
                <c:pt idx="159">
                  <c:v>-0.2</c:v>
                </c:pt>
                <c:pt idx="160">
                  <c:v>-0.2</c:v>
                </c:pt>
                <c:pt idx="161">
                  <c:v>-0.2</c:v>
                </c:pt>
                <c:pt idx="162">
                  <c:v>-0.2</c:v>
                </c:pt>
                <c:pt idx="163">
                  <c:v>-0.2</c:v>
                </c:pt>
                <c:pt idx="164">
                  <c:v>-0.2</c:v>
                </c:pt>
                <c:pt idx="165">
                  <c:v>-0.2</c:v>
                </c:pt>
                <c:pt idx="166">
                  <c:v>-0.2</c:v>
                </c:pt>
                <c:pt idx="167">
                  <c:v>-0.2</c:v>
                </c:pt>
                <c:pt idx="168">
                  <c:v>-0.2</c:v>
                </c:pt>
                <c:pt idx="169">
                  <c:v>-0.2</c:v>
                </c:pt>
                <c:pt idx="170">
                  <c:v>-0.2</c:v>
                </c:pt>
                <c:pt idx="171">
                  <c:v>-0.2</c:v>
                </c:pt>
                <c:pt idx="172">
                  <c:v>-0.2</c:v>
                </c:pt>
                <c:pt idx="173">
                  <c:v>-0.2</c:v>
                </c:pt>
                <c:pt idx="174">
                  <c:v>-0.2</c:v>
                </c:pt>
                <c:pt idx="175">
                  <c:v>-0.2</c:v>
                </c:pt>
                <c:pt idx="176">
                  <c:v>-0.2</c:v>
                </c:pt>
                <c:pt idx="177">
                  <c:v>-0.2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-0.2</c:v>
                </c:pt>
                <c:pt idx="183">
                  <c:v>-0.2</c:v>
                </c:pt>
                <c:pt idx="184">
                  <c:v>-0.2</c:v>
                </c:pt>
                <c:pt idx="185">
                  <c:v>-0.2</c:v>
                </c:pt>
                <c:pt idx="186">
                  <c:v>-0.2</c:v>
                </c:pt>
                <c:pt idx="187">
                  <c:v>-0.2</c:v>
                </c:pt>
                <c:pt idx="188">
                  <c:v>-0.2</c:v>
                </c:pt>
                <c:pt idx="189">
                  <c:v>-0.2</c:v>
                </c:pt>
                <c:pt idx="190">
                  <c:v>-0.2</c:v>
                </c:pt>
                <c:pt idx="191">
                  <c:v>-0.2</c:v>
                </c:pt>
                <c:pt idx="192">
                  <c:v>-0.2</c:v>
                </c:pt>
                <c:pt idx="193">
                  <c:v>-0.2</c:v>
                </c:pt>
                <c:pt idx="194">
                  <c:v>-0.2</c:v>
                </c:pt>
                <c:pt idx="195">
                  <c:v>-0.2</c:v>
                </c:pt>
                <c:pt idx="196">
                  <c:v>-0.2</c:v>
                </c:pt>
                <c:pt idx="197">
                  <c:v>-0.2</c:v>
                </c:pt>
                <c:pt idx="198">
                  <c:v>-0.2</c:v>
                </c:pt>
                <c:pt idx="199">
                  <c:v>-0.2</c:v>
                </c:pt>
                <c:pt idx="200">
                  <c:v>-0.2</c:v>
                </c:pt>
                <c:pt idx="201">
                  <c:v>-0.2</c:v>
                </c:pt>
                <c:pt idx="202">
                  <c:v>-0.2</c:v>
                </c:pt>
                <c:pt idx="203">
                  <c:v>-0.2</c:v>
                </c:pt>
                <c:pt idx="204">
                  <c:v>-0.2</c:v>
                </c:pt>
                <c:pt idx="205">
                  <c:v>-0.2</c:v>
                </c:pt>
                <c:pt idx="206">
                  <c:v>-0.2</c:v>
                </c:pt>
                <c:pt idx="207">
                  <c:v>-0.2</c:v>
                </c:pt>
                <c:pt idx="208">
                  <c:v>-0.2</c:v>
                </c:pt>
                <c:pt idx="209">
                  <c:v>-0.2</c:v>
                </c:pt>
                <c:pt idx="210">
                  <c:v>-0.2</c:v>
                </c:pt>
                <c:pt idx="211">
                  <c:v>-0.2</c:v>
                </c:pt>
                <c:pt idx="212">
                  <c:v>-0.2</c:v>
                </c:pt>
                <c:pt idx="213">
                  <c:v>-0.2</c:v>
                </c:pt>
                <c:pt idx="214">
                  <c:v>-0.2</c:v>
                </c:pt>
                <c:pt idx="215">
                  <c:v>-0.2</c:v>
                </c:pt>
                <c:pt idx="216">
                  <c:v>-0.2</c:v>
                </c:pt>
                <c:pt idx="217">
                  <c:v>-0.2</c:v>
                </c:pt>
                <c:pt idx="218">
                  <c:v>-0.2</c:v>
                </c:pt>
                <c:pt idx="219">
                  <c:v>-0.2</c:v>
                </c:pt>
                <c:pt idx="220">
                  <c:v>-0.2</c:v>
                </c:pt>
                <c:pt idx="221">
                  <c:v>-0.2</c:v>
                </c:pt>
                <c:pt idx="222">
                  <c:v>-0.2</c:v>
                </c:pt>
                <c:pt idx="223">
                  <c:v>-0.2</c:v>
                </c:pt>
                <c:pt idx="224">
                  <c:v>-0.2</c:v>
                </c:pt>
                <c:pt idx="225">
                  <c:v>-0.2</c:v>
                </c:pt>
                <c:pt idx="226">
                  <c:v>-0.2</c:v>
                </c:pt>
                <c:pt idx="227">
                  <c:v>-0.2</c:v>
                </c:pt>
                <c:pt idx="228">
                  <c:v>-0.2</c:v>
                </c:pt>
                <c:pt idx="229">
                  <c:v>-0.2</c:v>
                </c:pt>
                <c:pt idx="230">
                  <c:v>-0.2</c:v>
                </c:pt>
                <c:pt idx="231">
                  <c:v>-0.2</c:v>
                </c:pt>
                <c:pt idx="232">
                  <c:v>-0.2</c:v>
                </c:pt>
                <c:pt idx="233">
                  <c:v>-0.2</c:v>
                </c:pt>
                <c:pt idx="234">
                  <c:v>-0.2</c:v>
                </c:pt>
                <c:pt idx="235">
                  <c:v>-0.2</c:v>
                </c:pt>
                <c:pt idx="236">
                  <c:v>-0.2</c:v>
                </c:pt>
                <c:pt idx="237">
                  <c:v>-0.2</c:v>
                </c:pt>
                <c:pt idx="238">
                  <c:v>-0.2</c:v>
                </c:pt>
                <c:pt idx="239">
                  <c:v>-0.2</c:v>
                </c:pt>
                <c:pt idx="240">
                  <c:v>-0.2</c:v>
                </c:pt>
                <c:pt idx="241">
                  <c:v>-0.2</c:v>
                </c:pt>
                <c:pt idx="242">
                  <c:v>-0.2</c:v>
                </c:pt>
                <c:pt idx="243">
                  <c:v>-0.2</c:v>
                </c:pt>
                <c:pt idx="244">
                  <c:v>-0.2</c:v>
                </c:pt>
                <c:pt idx="245">
                  <c:v>-0.2</c:v>
                </c:pt>
                <c:pt idx="246">
                  <c:v>-0.2</c:v>
                </c:pt>
                <c:pt idx="247">
                  <c:v>-0.2</c:v>
                </c:pt>
                <c:pt idx="248">
                  <c:v>-0.2</c:v>
                </c:pt>
                <c:pt idx="249">
                  <c:v>-0.2</c:v>
                </c:pt>
                <c:pt idx="250">
                  <c:v>-0.2</c:v>
                </c:pt>
                <c:pt idx="251">
                  <c:v>-0.2</c:v>
                </c:pt>
                <c:pt idx="252">
                  <c:v>-0.2</c:v>
                </c:pt>
                <c:pt idx="253">
                  <c:v>-0.2</c:v>
                </c:pt>
                <c:pt idx="254">
                  <c:v>-0.2</c:v>
                </c:pt>
                <c:pt idx="255">
                  <c:v>-0.2</c:v>
                </c:pt>
                <c:pt idx="256">
                  <c:v>-0.2</c:v>
                </c:pt>
                <c:pt idx="257">
                  <c:v>-0.2</c:v>
                </c:pt>
                <c:pt idx="258">
                  <c:v>-0.2</c:v>
                </c:pt>
                <c:pt idx="259">
                  <c:v>-0.2</c:v>
                </c:pt>
                <c:pt idx="260">
                  <c:v>-0.2</c:v>
                </c:pt>
                <c:pt idx="261">
                  <c:v>-0.2</c:v>
                </c:pt>
                <c:pt idx="262">
                  <c:v>-0.2</c:v>
                </c:pt>
                <c:pt idx="263">
                  <c:v>-0.2</c:v>
                </c:pt>
                <c:pt idx="264">
                  <c:v>-0.2</c:v>
                </c:pt>
                <c:pt idx="265">
                  <c:v>-0.2</c:v>
                </c:pt>
                <c:pt idx="266">
                  <c:v>-0.2</c:v>
                </c:pt>
                <c:pt idx="267">
                  <c:v>-0.2</c:v>
                </c:pt>
                <c:pt idx="268">
                  <c:v>-0.2</c:v>
                </c:pt>
                <c:pt idx="269">
                  <c:v>-0.2</c:v>
                </c:pt>
                <c:pt idx="270">
                  <c:v>-0.2</c:v>
                </c:pt>
                <c:pt idx="271">
                  <c:v>-0.2</c:v>
                </c:pt>
                <c:pt idx="272">
                  <c:v>-0.2</c:v>
                </c:pt>
                <c:pt idx="273">
                  <c:v>-0.2</c:v>
                </c:pt>
                <c:pt idx="274">
                  <c:v>-0.2</c:v>
                </c:pt>
                <c:pt idx="275">
                  <c:v>-0.2</c:v>
                </c:pt>
                <c:pt idx="276">
                  <c:v>-0.2</c:v>
                </c:pt>
                <c:pt idx="277">
                  <c:v>-0.2</c:v>
                </c:pt>
                <c:pt idx="278">
                  <c:v>-0.2</c:v>
                </c:pt>
                <c:pt idx="279">
                  <c:v>-0.2</c:v>
                </c:pt>
                <c:pt idx="280">
                  <c:v>-0.2</c:v>
                </c:pt>
                <c:pt idx="281">
                  <c:v>-0.2</c:v>
                </c:pt>
                <c:pt idx="282">
                  <c:v>-0.2</c:v>
                </c:pt>
                <c:pt idx="283">
                  <c:v>-0.2</c:v>
                </c:pt>
                <c:pt idx="284">
                  <c:v>-0.2</c:v>
                </c:pt>
                <c:pt idx="285">
                  <c:v>-0.2</c:v>
                </c:pt>
                <c:pt idx="286">
                  <c:v>-0.2</c:v>
                </c:pt>
                <c:pt idx="287">
                  <c:v>-0.2</c:v>
                </c:pt>
                <c:pt idx="288">
                  <c:v>-0.2</c:v>
                </c:pt>
                <c:pt idx="289">
                  <c:v>-0.2</c:v>
                </c:pt>
                <c:pt idx="290">
                  <c:v>-0.2</c:v>
                </c:pt>
                <c:pt idx="291">
                  <c:v>-0.2</c:v>
                </c:pt>
                <c:pt idx="292">
                  <c:v>-0.2</c:v>
                </c:pt>
                <c:pt idx="293">
                  <c:v>-0.2</c:v>
                </c:pt>
                <c:pt idx="294">
                  <c:v>-0.2</c:v>
                </c:pt>
                <c:pt idx="295">
                  <c:v>-0.2</c:v>
                </c:pt>
                <c:pt idx="296">
                  <c:v>-0.2</c:v>
                </c:pt>
                <c:pt idx="297">
                  <c:v>-0.2</c:v>
                </c:pt>
                <c:pt idx="298">
                  <c:v>-0.2</c:v>
                </c:pt>
                <c:pt idx="299">
                  <c:v>-0.2</c:v>
                </c:pt>
                <c:pt idx="300">
                  <c:v>-0.2</c:v>
                </c:pt>
                <c:pt idx="301">
                  <c:v>-0.2</c:v>
                </c:pt>
                <c:pt idx="302">
                  <c:v>-0.2</c:v>
                </c:pt>
                <c:pt idx="303">
                  <c:v>-0.2</c:v>
                </c:pt>
                <c:pt idx="304">
                  <c:v>-0.2</c:v>
                </c:pt>
                <c:pt idx="305">
                  <c:v>-0.2</c:v>
                </c:pt>
                <c:pt idx="306">
                  <c:v>-0.2</c:v>
                </c:pt>
                <c:pt idx="307">
                  <c:v>-0.2</c:v>
                </c:pt>
                <c:pt idx="308">
                  <c:v>-0.2</c:v>
                </c:pt>
                <c:pt idx="309">
                  <c:v>-0.2</c:v>
                </c:pt>
                <c:pt idx="310">
                  <c:v>-0.2</c:v>
                </c:pt>
                <c:pt idx="311">
                  <c:v>-0.2</c:v>
                </c:pt>
                <c:pt idx="312">
                  <c:v>-0.2</c:v>
                </c:pt>
                <c:pt idx="313">
                  <c:v>-0.2</c:v>
                </c:pt>
                <c:pt idx="314">
                  <c:v>-0.2</c:v>
                </c:pt>
                <c:pt idx="315">
                  <c:v>-0.2</c:v>
                </c:pt>
                <c:pt idx="316">
                  <c:v>-0.2</c:v>
                </c:pt>
                <c:pt idx="317">
                  <c:v>-0.2</c:v>
                </c:pt>
                <c:pt idx="318">
                  <c:v>-0.2</c:v>
                </c:pt>
                <c:pt idx="319">
                  <c:v>-0.2</c:v>
                </c:pt>
                <c:pt idx="320">
                  <c:v>-0.2</c:v>
                </c:pt>
                <c:pt idx="321">
                  <c:v>-0.2</c:v>
                </c:pt>
                <c:pt idx="322">
                  <c:v>-0.2</c:v>
                </c:pt>
                <c:pt idx="323">
                  <c:v>-0.2</c:v>
                </c:pt>
                <c:pt idx="324">
                  <c:v>-0.2</c:v>
                </c:pt>
                <c:pt idx="325">
                  <c:v>-0.2</c:v>
                </c:pt>
                <c:pt idx="326">
                  <c:v>-0.2</c:v>
                </c:pt>
                <c:pt idx="327">
                  <c:v>-0.2</c:v>
                </c:pt>
                <c:pt idx="328">
                  <c:v>-0.2</c:v>
                </c:pt>
                <c:pt idx="329">
                  <c:v>-0.2</c:v>
                </c:pt>
                <c:pt idx="330">
                  <c:v>-0.2</c:v>
                </c:pt>
                <c:pt idx="331">
                  <c:v>-0.2</c:v>
                </c:pt>
                <c:pt idx="332">
                  <c:v>-0.2</c:v>
                </c:pt>
                <c:pt idx="333">
                  <c:v>-0.2</c:v>
                </c:pt>
                <c:pt idx="334">
                  <c:v>-0.2</c:v>
                </c:pt>
                <c:pt idx="335">
                  <c:v>-0.2</c:v>
                </c:pt>
                <c:pt idx="336">
                  <c:v>-0.2</c:v>
                </c:pt>
                <c:pt idx="337">
                  <c:v>-0.2</c:v>
                </c:pt>
                <c:pt idx="338">
                  <c:v>-0.2</c:v>
                </c:pt>
                <c:pt idx="339">
                  <c:v>-0.2</c:v>
                </c:pt>
                <c:pt idx="340">
                  <c:v>-0.2</c:v>
                </c:pt>
                <c:pt idx="341">
                  <c:v>-0.2</c:v>
                </c:pt>
                <c:pt idx="342">
                  <c:v>-0.2</c:v>
                </c:pt>
                <c:pt idx="343">
                  <c:v>-0.2</c:v>
                </c:pt>
                <c:pt idx="344">
                  <c:v>-0.2</c:v>
                </c:pt>
                <c:pt idx="345">
                  <c:v>-0.2</c:v>
                </c:pt>
                <c:pt idx="346">
                  <c:v>-0.2</c:v>
                </c:pt>
                <c:pt idx="347">
                  <c:v>-0.2</c:v>
                </c:pt>
                <c:pt idx="348">
                  <c:v>-0.2</c:v>
                </c:pt>
                <c:pt idx="349">
                  <c:v>-0.2</c:v>
                </c:pt>
                <c:pt idx="350">
                  <c:v>-0.2</c:v>
                </c:pt>
                <c:pt idx="351">
                  <c:v>-0.2</c:v>
                </c:pt>
                <c:pt idx="352">
                  <c:v>-0.2</c:v>
                </c:pt>
                <c:pt idx="353">
                  <c:v>-0.2</c:v>
                </c:pt>
                <c:pt idx="354">
                  <c:v>-0.2</c:v>
                </c:pt>
                <c:pt idx="355">
                  <c:v>-0.2</c:v>
                </c:pt>
                <c:pt idx="356">
                  <c:v>-0.2</c:v>
                </c:pt>
                <c:pt idx="357">
                  <c:v>-0.2</c:v>
                </c:pt>
                <c:pt idx="358">
                  <c:v>-0.2</c:v>
                </c:pt>
                <c:pt idx="359">
                  <c:v>-0.2</c:v>
                </c:pt>
                <c:pt idx="360">
                  <c:v>-0.2</c:v>
                </c:pt>
                <c:pt idx="361">
                  <c:v>-0.2</c:v>
                </c:pt>
                <c:pt idx="362">
                  <c:v>-0.2</c:v>
                </c:pt>
                <c:pt idx="363">
                  <c:v>-0.2</c:v>
                </c:pt>
                <c:pt idx="364">
                  <c:v>-0.2</c:v>
                </c:pt>
                <c:pt idx="365">
                  <c:v>-0.2</c:v>
                </c:pt>
                <c:pt idx="366">
                  <c:v>-0.2</c:v>
                </c:pt>
                <c:pt idx="367">
                  <c:v>-0.2</c:v>
                </c:pt>
                <c:pt idx="368">
                  <c:v>-0.2</c:v>
                </c:pt>
                <c:pt idx="369">
                  <c:v>-0.2</c:v>
                </c:pt>
                <c:pt idx="370">
                  <c:v>-0.2</c:v>
                </c:pt>
                <c:pt idx="371">
                  <c:v>-0.2</c:v>
                </c:pt>
                <c:pt idx="372">
                  <c:v>-0.2</c:v>
                </c:pt>
                <c:pt idx="373">
                  <c:v>-0.2</c:v>
                </c:pt>
                <c:pt idx="374">
                  <c:v>-0.2</c:v>
                </c:pt>
                <c:pt idx="375">
                  <c:v>-0.2</c:v>
                </c:pt>
                <c:pt idx="376">
                  <c:v>-0.2</c:v>
                </c:pt>
                <c:pt idx="377">
                  <c:v>-0.2</c:v>
                </c:pt>
                <c:pt idx="378">
                  <c:v>-0.2</c:v>
                </c:pt>
                <c:pt idx="379">
                  <c:v>-0.2</c:v>
                </c:pt>
                <c:pt idx="380">
                  <c:v>-0.2</c:v>
                </c:pt>
                <c:pt idx="381">
                  <c:v>-0.2</c:v>
                </c:pt>
                <c:pt idx="382">
                  <c:v>-0.2</c:v>
                </c:pt>
                <c:pt idx="383">
                  <c:v>-0.2</c:v>
                </c:pt>
                <c:pt idx="384">
                  <c:v>-0.2</c:v>
                </c:pt>
                <c:pt idx="385">
                  <c:v>-0.2</c:v>
                </c:pt>
                <c:pt idx="386">
                  <c:v>-0.2</c:v>
                </c:pt>
                <c:pt idx="387">
                  <c:v>-0.2</c:v>
                </c:pt>
                <c:pt idx="388">
                  <c:v>-0.2</c:v>
                </c:pt>
                <c:pt idx="389">
                  <c:v>-0.2</c:v>
                </c:pt>
                <c:pt idx="390">
                  <c:v>-0.2</c:v>
                </c:pt>
                <c:pt idx="391">
                  <c:v>-0.2</c:v>
                </c:pt>
                <c:pt idx="392">
                  <c:v>-0.2</c:v>
                </c:pt>
                <c:pt idx="393">
                  <c:v>-0.2</c:v>
                </c:pt>
                <c:pt idx="394">
                  <c:v>-0.2</c:v>
                </c:pt>
                <c:pt idx="395">
                  <c:v>-0.2</c:v>
                </c:pt>
                <c:pt idx="396">
                  <c:v>-0.2</c:v>
                </c:pt>
                <c:pt idx="397">
                  <c:v>-0.2</c:v>
                </c:pt>
                <c:pt idx="398">
                  <c:v>-0.2</c:v>
                </c:pt>
                <c:pt idx="399">
                  <c:v>-0.2</c:v>
                </c:pt>
                <c:pt idx="400">
                  <c:v>-0.2</c:v>
                </c:pt>
                <c:pt idx="401">
                  <c:v>-0.2</c:v>
                </c:pt>
                <c:pt idx="402">
                  <c:v>-0.2</c:v>
                </c:pt>
                <c:pt idx="403">
                  <c:v>-0.2</c:v>
                </c:pt>
                <c:pt idx="404">
                  <c:v>-0.2</c:v>
                </c:pt>
                <c:pt idx="405">
                  <c:v>-0.2</c:v>
                </c:pt>
                <c:pt idx="406">
                  <c:v>-0.2</c:v>
                </c:pt>
                <c:pt idx="407">
                  <c:v>-0.2</c:v>
                </c:pt>
                <c:pt idx="408">
                  <c:v>-0.2</c:v>
                </c:pt>
                <c:pt idx="409">
                  <c:v>-0.2</c:v>
                </c:pt>
                <c:pt idx="410">
                  <c:v>-0.2</c:v>
                </c:pt>
                <c:pt idx="411">
                  <c:v>-0.2</c:v>
                </c:pt>
                <c:pt idx="412">
                  <c:v>-0.2</c:v>
                </c:pt>
                <c:pt idx="413">
                  <c:v>-0.2</c:v>
                </c:pt>
                <c:pt idx="414">
                  <c:v>-0.2</c:v>
                </c:pt>
                <c:pt idx="415">
                  <c:v>-0.2</c:v>
                </c:pt>
                <c:pt idx="416">
                  <c:v>-0.2</c:v>
                </c:pt>
                <c:pt idx="417">
                  <c:v>-0.2</c:v>
                </c:pt>
                <c:pt idx="418">
                  <c:v>-0.2</c:v>
                </c:pt>
                <c:pt idx="419">
                  <c:v>-0.2</c:v>
                </c:pt>
                <c:pt idx="420">
                  <c:v>-0.2</c:v>
                </c:pt>
                <c:pt idx="421">
                  <c:v>-0.2</c:v>
                </c:pt>
                <c:pt idx="422">
                  <c:v>-0.2</c:v>
                </c:pt>
                <c:pt idx="423">
                  <c:v>-0.2</c:v>
                </c:pt>
                <c:pt idx="424">
                  <c:v>-0.2</c:v>
                </c:pt>
                <c:pt idx="425">
                  <c:v>-0.2</c:v>
                </c:pt>
                <c:pt idx="426">
                  <c:v>-0.2</c:v>
                </c:pt>
                <c:pt idx="427">
                  <c:v>-0.2</c:v>
                </c:pt>
                <c:pt idx="428">
                  <c:v>-0.2</c:v>
                </c:pt>
                <c:pt idx="429">
                  <c:v>-0.2</c:v>
                </c:pt>
                <c:pt idx="430">
                  <c:v>-0.2</c:v>
                </c:pt>
                <c:pt idx="431">
                  <c:v>-0.2</c:v>
                </c:pt>
                <c:pt idx="432">
                  <c:v>-0.2</c:v>
                </c:pt>
                <c:pt idx="433">
                  <c:v>-0.2</c:v>
                </c:pt>
                <c:pt idx="434">
                  <c:v>-0.2</c:v>
                </c:pt>
                <c:pt idx="435">
                  <c:v>-0.2</c:v>
                </c:pt>
                <c:pt idx="436">
                  <c:v>-0.2</c:v>
                </c:pt>
                <c:pt idx="437">
                  <c:v>-0.2</c:v>
                </c:pt>
                <c:pt idx="438">
                  <c:v>-0.2</c:v>
                </c:pt>
                <c:pt idx="439">
                  <c:v>-0.2</c:v>
                </c:pt>
                <c:pt idx="440">
                  <c:v>-0.2</c:v>
                </c:pt>
                <c:pt idx="441">
                  <c:v>-0.2</c:v>
                </c:pt>
                <c:pt idx="442">
                  <c:v>-0.2</c:v>
                </c:pt>
                <c:pt idx="443">
                  <c:v>-0.2</c:v>
                </c:pt>
                <c:pt idx="444">
                  <c:v>-0.2</c:v>
                </c:pt>
                <c:pt idx="445">
                  <c:v>-0.2</c:v>
                </c:pt>
                <c:pt idx="446">
                  <c:v>-0.2</c:v>
                </c:pt>
                <c:pt idx="447">
                  <c:v>-0.2</c:v>
                </c:pt>
                <c:pt idx="448">
                  <c:v>-0.2</c:v>
                </c:pt>
                <c:pt idx="449">
                  <c:v>-0.2</c:v>
                </c:pt>
                <c:pt idx="450">
                  <c:v>-0.2</c:v>
                </c:pt>
                <c:pt idx="451">
                  <c:v>-0.2</c:v>
                </c:pt>
                <c:pt idx="452">
                  <c:v>-0.2</c:v>
                </c:pt>
                <c:pt idx="453">
                  <c:v>-0.2</c:v>
                </c:pt>
                <c:pt idx="454">
                  <c:v>-0.2</c:v>
                </c:pt>
                <c:pt idx="455">
                  <c:v>-0.2</c:v>
                </c:pt>
                <c:pt idx="456">
                  <c:v>-0.2</c:v>
                </c:pt>
                <c:pt idx="457">
                  <c:v>-0.2</c:v>
                </c:pt>
                <c:pt idx="458">
                  <c:v>-0.2</c:v>
                </c:pt>
                <c:pt idx="459">
                  <c:v>-0.2</c:v>
                </c:pt>
                <c:pt idx="460">
                  <c:v>-0.2</c:v>
                </c:pt>
                <c:pt idx="461">
                  <c:v>-0.2</c:v>
                </c:pt>
                <c:pt idx="462">
                  <c:v>-0.2</c:v>
                </c:pt>
                <c:pt idx="463">
                  <c:v>-0.2</c:v>
                </c:pt>
                <c:pt idx="464">
                  <c:v>-0.2</c:v>
                </c:pt>
                <c:pt idx="465">
                  <c:v>-0.2</c:v>
                </c:pt>
                <c:pt idx="466">
                  <c:v>-0.2</c:v>
                </c:pt>
                <c:pt idx="467">
                  <c:v>-0.2</c:v>
                </c:pt>
                <c:pt idx="468">
                  <c:v>-0.2</c:v>
                </c:pt>
                <c:pt idx="469">
                  <c:v>-0.2</c:v>
                </c:pt>
                <c:pt idx="470">
                  <c:v>-0.2</c:v>
                </c:pt>
                <c:pt idx="471">
                  <c:v>-0.2</c:v>
                </c:pt>
                <c:pt idx="472">
                  <c:v>-0.2</c:v>
                </c:pt>
                <c:pt idx="473">
                  <c:v>-0.2</c:v>
                </c:pt>
                <c:pt idx="474">
                  <c:v>-0.2</c:v>
                </c:pt>
                <c:pt idx="475">
                  <c:v>-0.2</c:v>
                </c:pt>
                <c:pt idx="476">
                  <c:v>-0.2</c:v>
                </c:pt>
                <c:pt idx="477">
                  <c:v>-0.2</c:v>
                </c:pt>
                <c:pt idx="478">
                  <c:v>-0.2</c:v>
                </c:pt>
                <c:pt idx="479">
                  <c:v>-0.2</c:v>
                </c:pt>
                <c:pt idx="480">
                  <c:v>-0.2</c:v>
                </c:pt>
                <c:pt idx="481">
                  <c:v>-0.2</c:v>
                </c:pt>
                <c:pt idx="482">
                  <c:v>-0.2</c:v>
                </c:pt>
                <c:pt idx="483">
                  <c:v>-0.2</c:v>
                </c:pt>
                <c:pt idx="484">
                  <c:v>-0.2</c:v>
                </c:pt>
                <c:pt idx="485">
                  <c:v>-0.2</c:v>
                </c:pt>
                <c:pt idx="486">
                  <c:v>-0.2</c:v>
                </c:pt>
                <c:pt idx="487">
                  <c:v>-0.2</c:v>
                </c:pt>
                <c:pt idx="488">
                  <c:v>-0.2</c:v>
                </c:pt>
                <c:pt idx="489">
                  <c:v>-0.2</c:v>
                </c:pt>
                <c:pt idx="490">
                  <c:v>-0.2</c:v>
                </c:pt>
                <c:pt idx="491">
                  <c:v>-0.2</c:v>
                </c:pt>
                <c:pt idx="492">
                  <c:v>-0.2</c:v>
                </c:pt>
                <c:pt idx="493">
                  <c:v>-0.2</c:v>
                </c:pt>
                <c:pt idx="494">
                  <c:v>-0.2</c:v>
                </c:pt>
                <c:pt idx="495">
                  <c:v>-0.2</c:v>
                </c:pt>
                <c:pt idx="496">
                  <c:v>-0.2</c:v>
                </c:pt>
                <c:pt idx="497">
                  <c:v>-0.2</c:v>
                </c:pt>
                <c:pt idx="498">
                  <c:v>-0.2</c:v>
                </c:pt>
                <c:pt idx="49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3F-4D1F-9AD0-B349A85400BD}"/>
            </c:ext>
          </c:extLst>
        </c:ser>
        <c:ser>
          <c:idx val="1"/>
          <c:order val="1"/>
          <c:tx>
            <c:v>Upper Camber</c:v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Data5!$G$1:$G$500</c:f>
              <c:numCache>
                <c:formatCode>0.00000</c:formatCode>
                <c:ptCount val="500"/>
                <c:pt idx="0">
                  <c:v>0</c:v>
                </c:pt>
                <c:pt idx="1">
                  <c:v>-1.7968100782354441E-5</c:v>
                </c:pt>
                <c:pt idx="2">
                  <c:v>-1.6072239732426887E-5</c:v>
                </c:pt>
                <c:pt idx="3">
                  <c:v>5.6899493631851038E-6</c:v>
                </c:pt>
                <c:pt idx="4">
                  <c:v>4.7320035823615261E-5</c:v>
                </c:pt>
                <c:pt idx="5">
                  <c:v>1.0881879185460698E-4</c:v>
                </c:pt>
                <c:pt idx="6">
                  <c:v>1.9018619236547848E-4</c:v>
                </c:pt>
                <c:pt idx="7">
                  <c:v>2.9142141482186288E-4</c:v>
                </c:pt>
                <c:pt idx="8">
                  <c:v>4.125228391346768E-4</c:v>
                </c:pt>
                <c:pt idx="9">
                  <c:v>5.5348804758454067E-4</c:v>
                </c:pt>
                <c:pt idx="10">
                  <c:v>7.1431382478258864E-4</c:v>
                </c:pt>
                <c:pt idx="11">
                  <c:v>8.949961576665633E-4</c:v>
                </c:pt>
                <c:pt idx="12">
                  <c:v>1.0955302355333198E-3</c:v>
                </c:pt>
                <c:pt idx="13">
                  <c:v>1.315910450106574E-3</c:v>
                </c:pt>
                <c:pt idx="14">
                  <c:v>1.5561303956405041E-3</c:v>
                </c:pt>
                <c:pt idx="15">
                  <c:v>1.8161828690591768E-3</c:v>
                </c:pt>
                <c:pt idx="16">
                  <c:v>2.0960598701312435E-3</c:v>
                </c:pt>
                <c:pt idx="17">
                  <c:v>2.3957526016805475E-3</c:v>
                </c:pt>
                <c:pt idx="18">
                  <c:v>2.7152514698314135E-3</c:v>
                </c:pt>
                <c:pt idx="19">
                  <c:v>3.054546084290228E-3</c:v>
                </c:pt>
                <c:pt idx="20">
                  <c:v>3.413625258661299E-3</c:v>
                </c:pt>
                <c:pt idx="21">
                  <c:v>3.7924770107987567E-3</c:v>
                </c:pt>
                <c:pt idx="22">
                  <c:v>4.191088563192562E-3</c:v>
                </c:pt>
                <c:pt idx="23">
                  <c:v>4.6094463433902829E-3</c:v>
                </c:pt>
                <c:pt idx="24">
                  <c:v>5.0475359844530535E-3</c:v>
                </c:pt>
                <c:pt idx="25">
                  <c:v>5.5053423254465359E-3</c:v>
                </c:pt>
                <c:pt idx="26">
                  <c:v>5.9828494119661723E-3</c:v>
                </c:pt>
                <c:pt idx="27">
                  <c:v>6.4800404966973467E-3</c:v>
                </c:pt>
                <c:pt idx="28">
                  <c:v>6.996898040009079E-3</c:v>
                </c:pt>
                <c:pt idx="29">
                  <c:v>7.5334037105825131E-3</c:v>
                </c:pt>
                <c:pt idx="30">
                  <c:v>8.0895383860729118E-3</c:v>
                </c:pt>
                <c:pt idx="31">
                  <c:v>8.6652821538058325E-3</c:v>
                </c:pt>
                <c:pt idx="32">
                  <c:v>9.2606143115067721E-3</c:v>
                </c:pt>
                <c:pt idx="33">
                  <c:v>9.8755133680642586E-3</c:v>
                </c:pt>
                <c:pt idx="34">
                  <c:v>1.0509957044326296E-2</c:v>
                </c:pt>
                <c:pt idx="35">
                  <c:v>1.1163922273930158E-2</c:v>
                </c:pt>
                <c:pt idx="36">
                  <c:v>1.1837385204164871E-2</c:v>
                </c:pt>
                <c:pt idx="37">
                  <c:v>1.2530321196866612E-2</c:v>
                </c:pt>
                <c:pt idx="38">
                  <c:v>1.3242704829346814E-2</c:v>
                </c:pt>
                <c:pt idx="39">
                  <c:v>1.3974509895352366E-2</c:v>
                </c:pt>
                <c:pt idx="40">
                  <c:v>1.4725709406058328E-2</c:v>
                </c:pt>
                <c:pt idx="41">
                  <c:v>1.5496275591092516E-2</c:v>
                </c:pt>
                <c:pt idx="42">
                  <c:v>1.6286179899592062E-2</c:v>
                </c:pt>
                <c:pt idx="43">
                  <c:v>1.7095393001291231E-2</c:v>
                </c:pt>
                <c:pt idx="44">
                  <c:v>1.7923884787641019E-2</c:v>
                </c:pt>
                <c:pt idx="45">
                  <c:v>1.877162437295983E-2</c:v>
                </c:pt>
                <c:pt idx="46">
                  <c:v>1.9638580095614692E-2</c:v>
                </c:pt>
                <c:pt idx="47">
                  <c:v>2.0524719519234121E-2</c:v>
                </c:pt>
                <c:pt idx="48">
                  <c:v>2.1430009433950768E-2</c:v>
                </c:pt>
                <c:pt idx="49">
                  <c:v>2.2354415857674378E-2</c:v>
                </c:pt>
                <c:pt idx="50">
                  <c:v>2.3297904037395671E-2</c:v>
                </c:pt>
                <c:pt idx="51">
                  <c:v>2.4260438450518798E-2</c:v>
                </c:pt>
                <c:pt idx="52">
                  <c:v>2.5241982806224809E-2</c:v>
                </c:pt>
                <c:pt idx="53">
                  <c:v>2.624250004686339E-2</c:v>
                </c:pt>
                <c:pt idx="54">
                  <c:v>2.7261952349374403E-2</c:v>
                </c:pt>
                <c:pt idx="55">
                  <c:v>2.8300301126738408E-2</c:v>
                </c:pt>
                <c:pt idx="56">
                  <c:v>2.9357507029455422E-2</c:v>
                </c:pt>
                <c:pt idx="57">
                  <c:v>3.0433529947052833E-2</c:v>
                </c:pt>
                <c:pt idx="58">
                  <c:v>3.1528329009620888E-2</c:v>
                </c:pt>
                <c:pt idx="59">
                  <c:v>3.264186258937677E-2</c:v>
                </c:pt>
                <c:pt idx="60">
                  <c:v>3.3774088302256054E-2</c:v>
                </c:pt>
                <c:pt idx="61">
                  <c:v>3.4924963009532177E-2</c:v>
                </c:pt>
                <c:pt idx="62">
                  <c:v>3.6094442819462509E-2</c:v>
                </c:pt>
                <c:pt idx="63">
                  <c:v>3.7282483088962481E-2</c:v>
                </c:pt>
                <c:pt idx="64">
                  <c:v>3.8489038425305669E-2</c:v>
                </c:pt>
                <c:pt idx="65">
                  <c:v>3.9714062687851048E-2</c:v>
                </c:pt>
                <c:pt idx="66">
                  <c:v>4.095750898979663E-2</c:v>
                </c:pt>
                <c:pt idx="67">
                  <c:v>4.2219329699958869E-2</c:v>
                </c:pt>
                <c:pt idx="68">
                  <c:v>4.3499476444578543E-2</c:v>
                </c:pt>
                <c:pt idx="69">
                  <c:v>4.4797900109151904E-2</c:v>
                </c:pt>
                <c:pt idx="70">
                  <c:v>4.6114550840287698E-2</c:v>
                </c:pt>
                <c:pt idx="71">
                  <c:v>4.7449378047589377E-2</c:v>
                </c:pt>
                <c:pt idx="72">
                  <c:v>4.8802330405561839E-2</c:v>
                </c:pt>
                <c:pt idx="73">
                  <c:v>5.0173355855544027E-2</c:v>
                </c:pt>
                <c:pt idx="74">
                  <c:v>5.1562401607665287E-2</c:v>
                </c:pt>
                <c:pt idx="75">
                  <c:v>5.2969414142826375E-2</c:v>
                </c:pt>
                <c:pt idx="76">
                  <c:v>5.439433921470499E-2</c:v>
                </c:pt>
                <c:pt idx="77">
                  <c:v>5.5837121851784736E-2</c:v>
                </c:pt>
                <c:pt idx="78">
                  <c:v>5.7297706359408555E-2</c:v>
                </c:pt>
                <c:pt idx="79">
                  <c:v>5.877603632185513E-2</c:v>
                </c:pt>
                <c:pt idx="80">
                  <c:v>6.0272054604439115E-2</c:v>
                </c:pt>
                <c:pt idx="81">
                  <c:v>6.1785703355634332E-2</c:v>
                </c:pt>
                <c:pt idx="82">
                  <c:v>6.3316924009220191E-2</c:v>
                </c:pt>
                <c:pt idx="83">
                  <c:v>6.4865657286450731E-2</c:v>
                </c:pt>
                <c:pt idx="84">
                  <c:v>6.643184319824666E-2</c:v>
                </c:pt>
                <c:pt idx="85">
                  <c:v>6.8015421047409472E-2</c:v>
                </c:pt>
                <c:pt idx="86">
                  <c:v>6.9616329430857965E-2</c:v>
                </c:pt>
                <c:pt idx="87">
                  <c:v>7.123450624188743E-2</c:v>
                </c:pt>
                <c:pt idx="88">
                  <c:v>7.2869888672450034E-2</c:v>
                </c:pt>
                <c:pt idx="89">
                  <c:v>7.4522413215457592E-2</c:v>
                </c:pt>
                <c:pt idx="90">
                  <c:v>7.6192015667105706E-2</c:v>
                </c:pt>
                <c:pt idx="91">
                  <c:v>7.7878631129219694E-2</c:v>
                </c:pt>
                <c:pt idx="92">
                  <c:v>7.9582194011621976E-2</c:v>
                </c:pt>
                <c:pt idx="93">
                  <c:v>8.1302638034520203E-2</c:v>
                </c:pt>
                <c:pt idx="94">
                  <c:v>8.303989623091694E-2</c:v>
                </c:pt>
                <c:pt idx="95">
                  <c:v>8.4793900949040407E-2</c:v>
                </c:pt>
                <c:pt idx="96">
                  <c:v>8.6564583854795901E-2</c:v>
                </c:pt>
                <c:pt idx="97">
                  <c:v>8.8351875934238128E-2</c:v>
                </c:pt>
                <c:pt idx="98">
                  <c:v>9.0155707496063955E-2</c:v>
                </c:pt>
                <c:pt idx="99">
                  <c:v>9.1976008174126184E-2</c:v>
                </c:pt>
                <c:pt idx="100">
                  <c:v>9.3812706929967266E-2</c:v>
                </c:pt>
                <c:pt idx="101">
                  <c:v>9.5665732055373764E-2</c:v>
                </c:pt>
                <c:pt idx="102">
                  <c:v>9.7535011174951308E-2</c:v>
                </c:pt>
                <c:pt idx="103">
                  <c:v>9.9420471248719097E-2</c:v>
                </c:pt>
                <c:pt idx="104">
                  <c:v>0.10132203857472508</c:v>
                </c:pt>
                <c:pt idx="105">
                  <c:v>0.10323963879168124</c:v>
                </c:pt>
                <c:pt idx="106">
                  <c:v>0.10517319688161872</c:v>
                </c:pt>
                <c:pt idx="107">
                  <c:v>0.10712263717256312</c:v>
                </c:pt>
                <c:pt idx="108">
                  <c:v>0.10908788334122954</c:v>
                </c:pt>
                <c:pt idx="109">
                  <c:v>0.11106885841573759</c:v>
                </c:pt>
                <c:pt idx="110">
                  <c:v>0.11306548477834673</c:v>
                </c:pt>
                <c:pt idx="111">
                  <c:v>0.11507768416821049</c:v>
                </c:pt>
                <c:pt idx="112">
                  <c:v>0.1171053776841517</c:v>
                </c:pt>
                <c:pt idx="113">
                  <c:v>0.11914848578745679</c:v>
                </c:pt>
                <c:pt idx="114">
                  <c:v>0.12120692830469006</c:v>
                </c:pt>
                <c:pt idx="115">
                  <c:v>0.12328062443052792</c:v>
                </c:pt>
                <c:pt idx="116">
                  <c:v>0.1253694927306131</c:v>
                </c:pt>
                <c:pt idx="117">
                  <c:v>0.12747345114442832</c:v>
                </c:pt>
                <c:pt idx="118">
                  <c:v>0.12959241698819038</c:v>
                </c:pt>
                <c:pt idx="119">
                  <c:v>0.13172630695776363</c:v>
                </c:pt>
                <c:pt idx="120">
                  <c:v>0.13387503713159393</c:v>
                </c:pt>
                <c:pt idx="121">
                  <c:v>0.1360385229736622</c:v>
                </c:pt>
                <c:pt idx="122">
                  <c:v>0.13821667933645823</c:v>
                </c:pt>
                <c:pt idx="123">
                  <c:v>0.14040942046397481</c:v>
                </c:pt>
                <c:pt idx="124">
                  <c:v>0.14261665999472145</c:v>
                </c:pt>
                <c:pt idx="125">
                  <c:v>0.14483831096475908</c:v>
                </c:pt>
                <c:pt idx="126">
                  <c:v>0.14707428581075452</c:v>
                </c:pt>
                <c:pt idx="127">
                  <c:v>0.14932449637305556</c:v>
                </c:pt>
                <c:pt idx="128">
                  <c:v>0.15158885389878679</c:v>
                </c:pt>
                <c:pt idx="129">
                  <c:v>0.15386726904496573</c:v>
                </c:pt>
                <c:pt idx="130">
                  <c:v>0.15615965188163941</c:v>
                </c:pt>
                <c:pt idx="131">
                  <c:v>0.15846591189504286</c:v>
                </c:pt>
                <c:pt idx="132">
                  <c:v>0.16078595799077655</c:v>
                </c:pt>
                <c:pt idx="133">
                  <c:v>0.16311969849700747</c:v>
                </c:pt>
                <c:pt idx="134">
                  <c:v>0.16546704116768904</c:v>
                </c:pt>
                <c:pt idx="135">
                  <c:v>0.16782789318580343</c:v>
                </c:pt>
                <c:pt idx="136">
                  <c:v>0.17020216116662562</c:v>
                </c:pt>
                <c:pt idx="137">
                  <c:v>0.17258975116100783</c:v>
                </c:pt>
                <c:pt idx="138">
                  <c:v>0.17499056865868698</c:v>
                </c:pt>
                <c:pt idx="139">
                  <c:v>0.17740451859161327</c:v>
                </c:pt>
                <c:pt idx="140">
                  <c:v>0.1798315053373008</c:v>
                </c:pt>
                <c:pt idx="141">
                  <c:v>0.18227143272220089</c:v>
                </c:pt>
                <c:pt idx="142">
                  <c:v>0.18472420402509709</c:v>
                </c:pt>
                <c:pt idx="143">
                  <c:v>0.18718972198052286</c:v>
                </c:pt>
                <c:pt idx="144">
                  <c:v>0.18966788878220264</c:v>
                </c:pt>
                <c:pt idx="145">
                  <c:v>0.19215860608651478</c:v>
                </c:pt>
                <c:pt idx="146">
                  <c:v>0.19466177501597806</c:v>
                </c:pt>
                <c:pt idx="147">
                  <c:v>0.19717729616276147</c:v>
                </c:pt>
                <c:pt idx="148">
                  <c:v>0.19970506959221698</c:v>
                </c:pt>
                <c:pt idx="149">
                  <c:v>0.20224499484643663</c:v>
                </c:pt>
                <c:pt idx="150">
                  <c:v>0.20479697094783278</c:v>
                </c:pt>
                <c:pt idx="151">
                  <c:v>0.20736089640274238</c:v>
                </c:pt>
                <c:pt idx="152">
                  <c:v>0.20993666920505596</c:v>
                </c:pt>
                <c:pt idx="153">
                  <c:v>0.21252418683987048</c:v>
                </c:pt>
                <c:pt idx="154">
                  <c:v>0.21512334628716698</c:v>
                </c:pt>
                <c:pt idx="155">
                  <c:v>0.21773404402551302</c:v>
                </c:pt>
                <c:pt idx="156">
                  <c:v>0.22035617603579005</c:v>
                </c:pt>
                <c:pt idx="157">
                  <c:v>0.22298963780494624</c:v>
                </c:pt>
                <c:pt idx="158">
                  <c:v>0.22563432432977412</c:v>
                </c:pt>
                <c:pt idx="159">
                  <c:v>0.22829013012071461</c:v>
                </c:pt>
                <c:pt idx="160">
                  <c:v>0.23095694920568632</c:v>
                </c:pt>
                <c:pt idx="161">
                  <c:v>0.23363467513394129</c:v>
                </c:pt>
                <c:pt idx="162">
                  <c:v>0.23632320097994644</c:v>
                </c:pt>
                <c:pt idx="163">
                  <c:v>0.2390224193472921</c:v>
                </c:pt>
                <c:pt idx="164">
                  <c:v>0.24173222237262676</c:v>
                </c:pt>
                <c:pt idx="165">
                  <c:v>0.24445250172961877</c:v>
                </c:pt>
                <c:pt idx="166">
                  <c:v>0.24718314863294558</c:v>
                </c:pt>
                <c:pt idx="167">
                  <c:v>0.24992405384230926</c:v>
                </c:pt>
                <c:pt idx="168">
                  <c:v>0.25267510766648088</c:v>
                </c:pt>
                <c:pt idx="169">
                  <c:v>0.25543619996737116</c:v>
                </c:pt>
                <c:pt idx="170">
                  <c:v>0.25820722016413006</c:v>
                </c:pt>
                <c:pt idx="171">
                  <c:v>0.26098805723727414</c:v>
                </c:pt>
                <c:pt idx="172">
                  <c:v>0.2637785997328419</c:v>
                </c:pt>
                <c:pt idx="173">
                  <c:v>0.26657873576657809</c:v>
                </c:pt>
                <c:pt idx="174">
                  <c:v>0.26938835302814651</c:v>
                </c:pt>
                <c:pt idx="175">
                  <c:v>0.27220733878537123</c:v>
                </c:pt>
                <c:pt idx="176">
                  <c:v>0.27503557988850769</c:v>
                </c:pt>
                <c:pt idx="177">
                  <c:v>0.27787296277454238</c:v>
                </c:pt>
                <c:pt idx="178">
                  <c:v>0.28071937347152204</c:v>
                </c:pt>
                <c:pt idx="179">
                  <c:v>0.28357469760291265</c:v>
                </c:pt>
                <c:pt idx="180">
                  <c:v>0.28643882039198765</c:v>
                </c:pt>
                <c:pt idx="181">
                  <c:v>0.28931162666624699</c:v>
                </c:pt>
                <c:pt idx="182">
                  <c:v>0.29219300086186489</c:v>
                </c:pt>
                <c:pt idx="183">
                  <c:v>0.29508282702816896</c:v>
                </c:pt>
                <c:pt idx="184">
                  <c:v>0.29798098883214902</c:v>
                </c:pt>
                <c:pt idx="185">
                  <c:v>0.30088736956299672</c:v>
                </c:pt>
                <c:pt idx="186">
                  <c:v>0.30380185213667538</c:v>
                </c:pt>
                <c:pt idx="187">
                  <c:v>0.30672431910052095</c:v>
                </c:pt>
                <c:pt idx="188">
                  <c:v>0.30965465263787351</c:v>
                </c:pt>
                <c:pt idx="189">
                  <c:v>0.31259273457274017</c:v>
                </c:pt>
                <c:pt idx="190">
                  <c:v>0.31553844637448841</c:v>
                </c:pt>
                <c:pt idx="191">
                  <c:v>0.31849166916257082</c:v>
                </c:pt>
                <c:pt idx="192">
                  <c:v>0.32145228371128148</c:v>
                </c:pt>
                <c:pt idx="193">
                  <c:v>0.32442017045454291</c:v>
                </c:pt>
                <c:pt idx="194">
                  <c:v>0.32739520949072509</c:v>
                </c:pt>
                <c:pt idx="195">
                  <c:v>0.33037728058749533</c:v>
                </c:pt>
                <c:pt idx="196">
                  <c:v>0.33336626318670032</c:v>
                </c:pt>
                <c:pt idx="197">
                  <c:v>0.33636203640927875</c:v>
                </c:pt>
                <c:pt idx="198">
                  <c:v>0.33936447906020706</c:v>
                </c:pt>
                <c:pt idx="199">
                  <c:v>0.34237346963347437</c:v>
                </c:pt>
                <c:pt idx="200">
                  <c:v>0.34538888631709214</c:v>
                </c:pt>
                <c:pt idx="201">
                  <c:v>0.34841060699813203</c:v>
                </c:pt>
                <c:pt idx="202">
                  <c:v>0.35143850926779879</c:v>
                </c:pt>
                <c:pt idx="203">
                  <c:v>0.35447247042653168</c:v>
                </c:pt>
                <c:pt idx="204">
                  <c:v>0.35751236748913978</c:v>
                </c:pt>
                <c:pt idx="205">
                  <c:v>0.36055807718996724</c:v>
                </c:pt>
                <c:pt idx="206">
                  <c:v>0.36360947598809074</c:v>
                </c:pt>
                <c:pt idx="207">
                  <c:v>0.36666644007254867</c:v>
                </c:pt>
                <c:pt idx="208">
                  <c:v>0.36972884536760092</c:v>
                </c:pt>
                <c:pt idx="209">
                  <c:v>0.37279656753801993</c:v>
                </c:pt>
                <c:pt idx="210">
                  <c:v>0.37586948199441395</c:v>
                </c:pt>
                <c:pt idx="211">
                  <c:v>0.37894746389857986</c:v>
                </c:pt>
                <c:pt idx="212">
                  <c:v>0.38203038816888807</c:v>
                </c:pt>
                <c:pt idx="213">
                  <c:v>0.38511812948569779</c:v>
                </c:pt>
                <c:pt idx="214">
                  <c:v>0.38821056229680295</c:v>
                </c:pt>
                <c:pt idx="215">
                  <c:v>0.39130756082290841</c:v>
                </c:pt>
                <c:pt idx="216">
                  <c:v>0.39440899906313703</c:v>
                </c:pt>
                <c:pt idx="217">
                  <c:v>0.39751475080056614</c:v>
                </c:pt>
                <c:pt idx="218">
                  <c:v>0.40062468960779474</c:v>
                </c:pt>
                <c:pt idx="219">
                  <c:v>0.40373868885254022</c:v>
                </c:pt>
                <c:pt idx="220">
                  <c:v>0.40685662170326337</c:v>
                </c:pt>
                <c:pt idx="221">
                  <c:v>0.40997836113482511</c:v>
                </c:pt>
                <c:pt idx="222">
                  <c:v>0.4131037799341698</c:v>
                </c:pt>
                <c:pt idx="223">
                  <c:v>0.41623275070603866</c:v>
                </c:pt>
                <c:pt idx="224">
                  <c:v>0.41936514587871149</c:v>
                </c:pt>
                <c:pt idx="225">
                  <c:v>0.42250083770977631</c:v>
                </c:pt>
                <c:pt idx="226">
                  <c:v>0.42563969829192677</c:v>
                </c:pt>
                <c:pt idx="227">
                  <c:v>0.42878159955878736</c:v>
                </c:pt>
                <c:pt idx="228">
                  <c:v>0.43192641329076636</c:v>
                </c:pt>
                <c:pt idx="229">
                  <c:v>0.43507401112093447</c:v>
                </c:pt>
                <c:pt idx="230">
                  <c:v>0.438224264540931</c:v>
                </c:pt>
                <c:pt idx="231">
                  <c:v>0.44137704490689561</c:v>
                </c:pt>
                <c:pt idx="232">
                  <c:v>0.44453222344542614</c:v>
                </c:pt>
                <c:pt idx="233">
                  <c:v>0.44768967125956188</c:v>
                </c:pt>
                <c:pt idx="234">
                  <c:v>0.4508492593347912</c:v>
                </c:pt>
                <c:pt idx="235">
                  <c:v>0.45401085854508455</c:v>
                </c:pt>
                <c:pt idx="236">
                  <c:v>0.4571743396589506</c:v>
                </c:pt>
                <c:pt idx="237">
                  <c:v>0.46033957334551651</c:v>
                </c:pt>
                <c:pt idx="238">
                  <c:v>0.46350643018063165</c:v>
                </c:pt>
                <c:pt idx="239">
                  <c:v>0.46667478065299334</c:v>
                </c:pt>
                <c:pt idx="240">
                  <c:v>0.46984449517029497</c:v>
                </c:pt>
                <c:pt idx="241">
                  <c:v>0.47301544406539608</c:v>
                </c:pt>
                <c:pt idx="242">
                  <c:v>0.47618749760251283</c:v>
                </c:pt>
                <c:pt idx="243">
                  <c:v>0.47936052598342971</c:v>
                </c:pt>
                <c:pt idx="244">
                  <c:v>0.48253439935373144</c:v>
                </c:pt>
                <c:pt idx="245">
                  <c:v>0.48570898780905342</c:v>
                </c:pt>
                <c:pt idx="246">
                  <c:v>0.4888841614013521</c:v>
                </c:pt>
                <c:pt idx="247">
                  <c:v>0.49205979014519274</c:v>
                </c:pt>
                <c:pt idx="248">
                  <c:v>0.49523574402405535</c:v>
                </c:pt>
                <c:pt idx="249">
                  <c:v>0.49841189299665795</c:v>
                </c:pt>
                <c:pt idx="250">
                  <c:v>0.50158810700315759</c:v>
                </c:pt>
                <c:pt idx="251">
                  <c:v>0.50476425596102581</c:v>
                </c:pt>
                <c:pt idx="252">
                  <c:v>0.50794020973980203</c:v>
                </c:pt>
                <c:pt idx="253">
                  <c:v>0.511115838157289</c:v>
                </c:pt>
                <c:pt idx="254">
                  <c:v>0.51429101098617436</c:v>
                </c:pt>
                <c:pt idx="255">
                  <c:v>0.51746559796083702</c:v>
                </c:pt>
                <c:pt idx="256">
                  <c:v>0.52063946878420064</c:v>
                </c:pt>
                <c:pt idx="257">
                  <c:v>0.52381249313463285</c:v>
                </c:pt>
                <c:pt idx="258">
                  <c:v>0.5269845406728868</c:v>
                </c:pt>
                <c:pt idx="259">
                  <c:v>0.53015548104908961</c:v>
                </c:pt>
                <c:pt idx="260">
                  <c:v>0.53332518390977046</c:v>
                </c:pt>
                <c:pt idx="261">
                  <c:v>0.5364935189049308</c:v>
                </c:pt>
                <c:pt idx="262">
                  <c:v>0.53966035569515491</c:v>
                </c:pt>
                <c:pt idx="263">
                  <c:v>0.54282556395875947</c:v>
                </c:pt>
                <c:pt idx="264">
                  <c:v>0.54598901339898165</c:v>
                </c:pt>
                <c:pt idx="265">
                  <c:v>0.54915057375120224</c:v>
                </c:pt>
                <c:pt idx="266">
                  <c:v>0.55231011479020653</c:v>
                </c:pt>
                <c:pt idx="267">
                  <c:v>0.5554675063374771</c:v>
                </c:pt>
                <c:pt idx="268">
                  <c:v>0.55862261826852189</c:v>
                </c:pt>
                <c:pt idx="269">
                  <c:v>0.56177532052023105</c:v>
                </c:pt>
                <c:pt idx="270">
                  <c:v>0.56492548309826773</c:v>
                </c:pt>
                <c:pt idx="271">
                  <c:v>0.56807297608448437</c:v>
                </c:pt>
                <c:pt idx="272">
                  <c:v>0.57121766964436926</c:v>
                </c:pt>
                <c:pt idx="273">
                  <c:v>0.57435943403451661</c:v>
                </c:pt>
                <c:pt idx="274">
                  <c:v>0.57749813961012386</c:v>
                </c:pt>
                <c:pt idx="275">
                  <c:v>0.58063365683251122</c:v>
                </c:pt>
                <c:pt idx="276">
                  <c:v>0.58376585627666222</c:v>
                </c:pt>
                <c:pt idx="277">
                  <c:v>0.58689460863878584</c:v>
                </c:pt>
                <c:pt idx="278">
                  <c:v>0.59001978474389649</c:v>
                </c:pt>
                <c:pt idx="279">
                  <c:v>0.59314125555341179</c:v>
                </c:pt>
                <c:pt idx="280">
                  <c:v>0.59625889217276551</c:v>
                </c:pt>
                <c:pt idx="281">
                  <c:v>0.59937256585903509</c:v>
                </c:pt>
                <c:pt idx="282">
                  <c:v>0.60248214802858102</c:v>
                </c:pt>
                <c:pt idx="283">
                  <c:v>0.60558751026469804</c:v>
                </c:pt>
                <c:pt idx="284">
                  <c:v>0.60868852432527332</c:v>
                </c:pt>
                <c:pt idx="285">
                  <c:v>0.61178506215045592</c:v>
                </c:pt>
                <c:pt idx="286">
                  <c:v>0.61487699587032885</c:v>
                </c:pt>
                <c:pt idx="287">
                  <c:v>0.61796419781258627</c:v>
                </c:pt>
                <c:pt idx="288">
                  <c:v>0.62104654051021435</c:v>
                </c:pt>
                <c:pt idx="289">
                  <c:v>0.6241238967091709</c:v>
                </c:pt>
                <c:pt idx="290">
                  <c:v>0.62719613937606644</c:v>
                </c:pt>
                <c:pt idx="291">
                  <c:v>0.63026314170584097</c:v>
                </c:pt>
                <c:pt idx="292">
                  <c:v>0.63332477712943636</c:v>
                </c:pt>
                <c:pt idx="293">
                  <c:v>0.63638091932146412</c:v>
                </c:pt>
                <c:pt idx="294">
                  <c:v>0.63943144220786363</c:v>
                </c:pt>
                <c:pt idx="295">
                  <c:v>0.64247621997355164</c:v>
                </c:pt>
                <c:pt idx="296">
                  <c:v>0.64551512707005987</c:v>
                </c:pt>
                <c:pt idx="297">
                  <c:v>0.64854803822316098</c:v>
                </c:pt>
                <c:pt idx="298">
                  <c:v>0.65157482844047643</c:v>
                </c:pt>
                <c:pt idx="299">
                  <c:v>0.65459537301907167</c:v>
                </c:pt>
                <c:pt idx="300">
                  <c:v>0.65760954755302869</c:v>
                </c:pt>
                <c:pt idx="301">
                  <c:v>0.66061722794100219</c:v>
                </c:pt>
                <c:pt idx="302">
                  <c:v>0.66361829039375053</c:v>
                </c:pt>
                <c:pt idx="303">
                  <c:v>0.66661261144164463</c:v>
                </c:pt>
                <c:pt idx="304">
                  <c:v>0.66960006794215077</c:v>
                </c:pt>
                <c:pt idx="305">
                  <c:v>0.67258053708728582</c:v>
                </c:pt>
                <c:pt idx="306">
                  <c:v>0.67555389641104302</c:v>
                </c:pt>
                <c:pt idx="307">
                  <c:v>0.67852002379678811</c:v>
                </c:pt>
                <c:pt idx="308">
                  <c:v>0.68147879748462092</c:v>
                </c:pt>
                <c:pt idx="309">
                  <c:v>0.68443009607870386</c:v>
                </c:pt>
                <c:pt idx="310">
                  <c:v>0.68737379855455316</c:v>
                </c:pt>
                <c:pt idx="311">
                  <c:v>0.69030978426629308</c:v>
                </c:pt>
                <c:pt idx="312">
                  <c:v>0.69323793295386982</c:v>
                </c:pt>
                <c:pt idx="313">
                  <c:v>0.69615812475022387</c:v>
                </c:pt>
                <c:pt idx="314">
                  <c:v>0.6990702401884199</c:v>
                </c:pt>
                <c:pt idx="315">
                  <c:v>0.70197416020873082</c:v>
                </c:pt>
                <c:pt idx="316">
                  <c:v>0.70486976616567565</c:v>
                </c:pt>
                <c:pt idx="317">
                  <c:v>0.70775693983501009</c:v>
                </c:pt>
                <c:pt idx="318">
                  <c:v>0.71063556342066581</c:v>
                </c:pt>
                <c:pt idx="319">
                  <c:v>0.71350551956163843</c:v>
                </c:pt>
                <c:pt idx="320">
                  <c:v>0.71636669133882402</c:v>
                </c:pt>
                <c:pt idx="321">
                  <c:v>0.71921896228179727</c:v>
                </c:pt>
                <c:pt idx="322">
                  <c:v>0.72206221637553825</c:v>
                </c:pt>
                <c:pt idx="323">
                  <c:v>0.72489633806709597</c:v>
                </c:pt>
                <c:pt idx="324">
                  <c:v>0.72772121227219599</c:v>
                </c:pt>
                <c:pt idx="325">
                  <c:v>0.73053672438178696</c:v>
                </c:pt>
                <c:pt idx="326">
                  <c:v>0.7333427602685213</c:v>
                </c:pt>
                <c:pt idx="327">
                  <c:v>0.73613920629317675</c:v>
                </c:pt>
                <c:pt idx="328">
                  <c:v>0.73892594931100652</c:v>
                </c:pt>
                <c:pt idx="329">
                  <c:v>0.74170287667802992</c:v>
                </c:pt>
                <c:pt idx="330">
                  <c:v>0.74446987625724681</c:v>
                </c:pt>
                <c:pt idx="331">
                  <c:v>0.74722683642478804</c:v>
                </c:pt>
                <c:pt idx="332">
                  <c:v>0.74997364607599215</c:v>
                </c:pt>
                <c:pt idx="333">
                  <c:v>0.75271019463140976</c:v>
                </c:pt>
                <c:pt idx="334">
                  <c:v>0.75543637204273562</c:v>
                </c:pt>
                <c:pt idx="335">
                  <c:v>0.75815206879866337</c:v>
                </c:pt>
                <c:pt idx="336">
                  <c:v>0.76085717593066693</c:v>
                </c:pt>
                <c:pt idx="337">
                  <c:v>0.7635515850187008</c:v>
                </c:pt>
                <c:pt idx="338">
                  <c:v>0.76623518819682535</c:v>
                </c:pt>
                <c:pt idx="339">
                  <c:v>0.76890787815874861</c:v>
                </c:pt>
                <c:pt idx="340">
                  <c:v>0.77156954816329149</c:v>
                </c:pt>
                <c:pt idx="341">
                  <c:v>0.77422009203976561</c:v>
                </c:pt>
                <c:pt idx="342">
                  <c:v>0.77685940419327315</c:v>
                </c:pt>
                <c:pt idx="343">
                  <c:v>0.77948737960991887</c:v>
                </c:pt>
                <c:pt idx="344">
                  <c:v>0.78210391386193867</c:v>
                </c:pt>
                <c:pt idx="345">
                  <c:v>0.78470890311274188</c:v>
                </c:pt>
                <c:pt idx="346">
                  <c:v>0.78730224412186578</c:v>
                </c:pt>
                <c:pt idx="347">
                  <c:v>0.78988383424984432</c:v>
                </c:pt>
                <c:pt idx="348">
                  <c:v>0.79245357146298412</c:v>
                </c:pt>
                <c:pt idx="349">
                  <c:v>0.7950113543380557</c:v>
                </c:pt>
                <c:pt idx="350">
                  <c:v>0.7975570820668908</c:v>
                </c:pt>
                <c:pt idx="351">
                  <c:v>0.80009065446089078</c:v>
                </c:pt>
                <c:pt idx="352">
                  <c:v>0.80261197195544121</c:v>
                </c:pt>
                <c:pt idx="353">
                  <c:v>0.80512093561423681</c:v>
                </c:pt>
                <c:pt idx="354">
                  <c:v>0.80761744713351025</c:v>
                </c:pt>
                <c:pt idx="355">
                  <c:v>0.81010140884617021</c:v>
                </c:pt>
                <c:pt idx="356">
                  <c:v>0.81257272372584366</c:v>
                </c:pt>
                <c:pt idx="357">
                  <c:v>0.81503129539082331</c:v>
                </c:pt>
                <c:pt idx="358">
                  <c:v>0.81747702810792189</c:v>
                </c:pt>
                <c:pt idx="359">
                  <c:v>0.8199098267962277</c:v>
                </c:pt>
                <c:pt idx="360">
                  <c:v>0.82232959703076824</c:v>
                </c:pt>
                <c:pt idx="361">
                  <c:v>0.82473624504607412</c:v>
                </c:pt>
                <c:pt idx="362">
                  <c:v>0.82712967773964907</c:v>
                </c:pt>
                <c:pt idx="363">
                  <c:v>0.82950980267534125</c:v>
                </c:pt>
                <c:pt idx="364">
                  <c:v>0.83187652808661849</c:v>
                </c:pt>
                <c:pt idx="365">
                  <c:v>0.8342297628797477</c:v>
                </c:pt>
                <c:pt idx="366">
                  <c:v>0.8365694166368739</c:v>
                </c:pt>
                <c:pt idx="367">
                  <c:v>0.83889539961900528</c:v>
                </c:pt>
                <c:pt idx="368">
                  <c:v>0.84120762276889827</c:v>
                </c:pt>
                <c:pt idx="369">
                  <c:v>0.84350599771384771</c:v>
                </c:pt>
                <c:pt idx="370">
                  <c:v>0.84579043676837673</c:v>
                </c:pt>
                <c:pt idx="371">
                  <c:v>0.84806085293683275</c:v>
                </c:pt>
                <c:pt idx="372">
                  <c:v>0.85031715991588364</c:v>
                </c:pt>
                <c:pt idx="373">
                  <c:v>0.8525592720969184</c:v>
                </c:pt>
                <c:pt idx="374">
                  <c:v>0.85478710456835094</c:v>
                </c:pt>
                <c:pt idx="375">
                  <c:v>0.85700057311782663</c:v>
                </c:pt>
                <c:pt idx="376">
                  <c:v>0.85919959423433412</c:v>
                </c:pt>
                <c:pt idx="377">
                  <c:v>0.86138408511021947</c:v>
                </c:pt>
                <c:pt idx="378">
                  <c:v>0.86355396364310755</c:v>
                </c:pt>
                <c:pt idx="379">
                  <c:v>0.8657091484377244</c:v>
                </c:pt>
                <c:pt idx="380">
                  <c:v>0.86784955880762948</c:v>
                </c:pt>
                <c:pt idx="381">
                  <c:v>0.86997511477685052</c:v>
                </c:pt>
                <c:pt idx="382">
                  <c:v>0.87208573708142645</c:v>
                </c:pt>
                <c:pt idx="383">
                  <c:v>0.87418134717085716</c:v>
                </c:pt>
                <c:pt idx="384">
                  <c:v>0.87626186720946064</c:v>
                </c:pt>
                <c:pt idx="385">
                  <c:v>0.8783272200776383</c:v>
                </c:pt>
                <c:pt idx="386">
                  <c:v>0.8803773293730498</c:v>
                </c:pt>
                <c:pt idx="387">
                  <c:v>0.88241211941169817</c:v>
                </c:pt>
                <c:pt idx="388">
                  <c:v>0.88443151522892316</c:v>
                </c:pt>
                <c:pt idx="389">
                  <c:v>0.88643544258030971</c:v>
                </c:pt>
                <c:pt idx="390">
                  <c:v>0.88842382794250407</c:v>
                </c:pt>
                <c:pt idx="391">
                  <c:v>0.89039659851394792</c:v>
                </c:pt>
                <c:pt idx="392">
                  <c:v>0.89235368221552169</c:v>
                </c:pt>
                <c:pt idx="393">
                  <c:v>0.89429500769110715</c:v>
                </c:pt>
                <c:pt idx="394">
                  <c:v>0.8962205043080621</c:v>
                </c:pt>
                <c:pt idx="395">
                  <c:v>0.89813010215761624</c:v>
                </c:pt>
                <c:pt idx="396">
                  <c:v>0.90002373205518038</c:v>
                </c:pt>
                <c:pt idx="397">
                  <c:v>0.901901325540579</c:v>
                </c:pt>
                <c:pt idx="398">
                  <c:v>0.90376281487820054</c:v>
                </c:pt>
                <c:pt idx="399">
                  <c:v>0.90560813305706955</c:v>
                </c:pt>
                <c:pt idx="400">
                  <c:v>0.90743721379084352</c:v>
                </c:pt>
                <c:pt idx="401">
                  <c:v>0.90924999151772923</c:v>
                </c:pt>
                <c:pt idx="402">
                  <c:v>0.91104640140032966</c:v>
                </c:pt>
                <c:pt idx="403">
                  <c:v>0.912826379325412</c:v>
                </c:pt>
                <c:pt idx="404">
                  <c:v>0.91458986190360791</c:v>
                </c:pt>
                <c:pt idx="405">
                  <c:v>0.91633678646903882</c:v>
                </c:pt>
                <c:pt idx="406">
                  <c:v>0.91806709107887541</c:v>
                </c:pt>
                <c:pt idx="407">
                  <c:v>0.91978071451282595</c:v>
                </c:pt>
                <c:pt idx="408">
                  <c:v>0.92147759627255865</c:v>
                </c:pt>
                <c:pt idx="409">
                  <c:v>0.92315767658105985</c:v>
                </c:pt>
                <c:pt idx="410">
                  <c:v>0.92482089638192722</c:v>
                </c:pt>
                <c:pt idx="411">
                  <c:v>0.92646719733860006</c:v>
                </c:pt>
                <c:pt idx="412">
                  <c:v>0.92809652183353009</c:v>
                </c:pt>
                <c:pt idx="413">
                  <c:v>0.9297088129672928</c:v>
                </c:pt>
                <c:pt idx="414">
                  <c:v>0.93130401455763889</c:v>
                </c:pt>
                <c:pt idx="415">
                  <c:v>0.93288207113849297</c:v>
                </c:pt>
                <c:pt idx="416">
                  <c:v>0.93444292795889417</c:v>
                </c:pt>
                <c:pt idx="417">
                  <c:v>0.93598653098188622</c:v>
                </c:pt>
                <c:pt idx="418">
                  <c:v>0.93751282688335535</c:v>
                </c:pt>
                <c:pt idx="419">
                  <c:v>0.93902176305081742</c:v>
                </c:pt>
                <c:pt idx="420">
                  <c:v>0.94051328758215968</c:v>
                </c:pt>
                <c:pt idx="421">
                  <c:v>0.94198734928433236</c:v>
                </c:pt>
                <c:pt idx="422">
                  <c:v>0.94344389767199954</c:v>
                </c:pt>
                <c:pt idx="423">
                  <c:v>0.94488288296614331</c:v>
                </c:pt>
                <c:pt idx="424">
                  <c:v>0.94630425609263014</c:v>
                </c:pt>
                <c:pt idx="425">
                  <c:v>0.94770796868073448</c:v>
                </c:pt>
                <c:pt idx="426">
                  <c:v>0.94909397306162724</c:v>
                </c:pt>
                <c:pt idx="427">
                  <c:v>0.95046222226682586</c:v>
                </c:pt>
                <c:pt idx="428">
                  <c:v>0.95181267002661207</c:v>
                </c:pt>
                <c:pt idx="429">
                  <c:v>0.95314527076841571</c:v>
                </c:pt>
                <c:pt idx="430">
                  <c:v>0.95445997961516804</c:v>
                </c:pt>
                <c:pt idx="431">
                  <c:v>0.95575675238362667</c:v>
                </c:pt>
                <c:pt idx="432">
                  <c:v>0.9570355455826719</c:v>
                </c:pt>
                <c:pt idx="433">
                  <c:v>0.95829631641157931</c:v>
                </c:pt>
                <c:pt idx="434">
                  <c:v>0.95953902275826652</c:v>
                </c:pt>
                <c:pt idx="435">
                  <c:v>0.9607636231975204</c:v>
                </c:pt>
                <c:pt idx="436">
                  <c:v>0.96197007698920167</c:v>
                </c:pt>
                <c:pt idx="437">
                  <c:v>0.9631583440764333</c:v>
                </c:pt>
                <c:pt idx="438">
                  <c:v>0.96432838508377039</c:v>
                </c:pt>
                <c:pt idx="439">
                  <c:v>0.96548016131535663</c:v>
                </c:pt>
                <c:pt idx="440">
                  <c:v>0.9666136347530675</c:v>
                </c:pt>
                <c:pt idx="441">
                  <c:v>0.96772876805464059</c:v>
                </c:pt>
                <c:pt idx="442">
                  <c:v>0.96882552455179916</c:v>
                </c:pt>
                <c:pt idx="443">
                  <c:v>0.96990386824836483</c:v>
                </c:pt>
                <c:pt idx="444">
                  <c:v>0.97096376381836724</c:v>
                </c:pt>
                <c:pt idx="445">
                  <c:v>0.97200517660414598</c:v>
                </c:pt>
                <c:pt idx="446">
                  <c:v>0.97302807261445401</c:v>
                </c:pt>
                <c:pt idx="447">
                  <c:v>0.97403241852255551</c:v>
                </c:pt>
                <c:pt idx="448">
                  <c:v>0.97501818166432952</c:v>
                </c:pt>
                <c:pt idx="449">
                  <c:v>0.97598533003637156</c:v>
                </c:pt>
                <c:pt idx="450">
                  <c:v>0.97693383229410202</c:v>
                </c:pt>
                <c:pt idx="451">
                  <c:v>0.97786365774988038</c:v>
                </c:pt>
                <c:pt idx="452">
                  <c:v>0.97877477637112598</c:v>
                </c:pt>
                <c:pt idx="453">
                  <c:v>0.97966715877844768</c:v>
                </c:pt>
                <c:pt idx="454">
                  <c:v>0.98054077624378533</c:v>
                </c:pt>
                <c:pt idx="455">
                  <c:v>0.98139560068856346</c:v>
                </c:pt>
                <c:pt idx="456">
                  <c:v>0.98223160468185766</c:v>
                </c:pt>
                <c:pt idx="457">
                  <c:v>0.98304876143857778</c:v>
                </c:pt>
                <c:pt idx="458">
                  <c:v>0.98384704481766694</c:v>
                </c:pt>
                <c:pt idx="459">
                  <c:v>0.98462642932032063</c:v>
                </c:pt>
                <c:pt idx="460">
                  <c:v>0.98538689008822367</c:v>
                </c:pt>
                <c:pt idx="461">
                  <c:v>0.98612840290181081</c:v>
                </c:pt>
                <c:pt idx="462">
                  <c:v>0.98685094417854857</c:v>
                </c:pt>
                <c:pt idx="463">
                  <c:v>0.98755449097124248</c:v>
                </c:pt>
                <c:pt idx="464">
                  <c:v>0.9882390209663694</c:v>
                </c:pt>
                <c:pt idx="465">
                  <c:v>0.98890451248243683</c:v>
                </c:pt>
                <c:pt idx="466">
                  <c:v>0.98955094446837211</c:v>
                </c:pt>
                <c:pt idx="467">
                  <c:v>0.99017829650193889</c:v>
                </c:pt>
                <c:pt idx="468">
                  <c:v>0.99078654878818684</c:v>
                </c:pt>
                <c:pt idx="469">
                  <c:v>0.99137568215793248</c:v>
                </c:pt>
                <c:pt idx="470">
                  <c:v>0.99194567806627398</c:v>
                </c:pt>
                <c:pt idx="471">
                  <c:v>0.99249651859114052</c:v>
                </c:pt>
                <c:pt idx="472">
                  <c:v>0.99302818643187762</c:v>
                </c:pt>
                <c:pt idx="473">
                  <c:v>0.99354066490786896</c:v>
                </c:pt>
                <c:pt idx="474">
                  <c:v>0.99403393795719697</c:v>
                </c:pt>
                <c:pt idx="475">
                  <c:v>0.99450799013534308</c:v>
                </c:pt>
                <c:pt idx="476">
                  <c:v>0.99496280661392633</c:v>
                </c:pt>
                <c:pt idx="477">
                  <c:v>0.99539837317948521</c:v>
                </c:pt>
                <c:pt idx="478">
                  <c:v>0.99581467623230002</c:v>
                </c:pt>
                <c:pt idx="479">
                  <c:v>0.99621170278526017</c:v>
                </c:pt>
                <c:pt idx="480">
                  <c:v>0.9965894404627732</c:v>
                </c:pt>
                <c:pt idx="481">
                  <c:v>0.9969478774997208</c:v>
                </c:pt>
                <c:pt idx="482">
                  <c:v>0.99728700274045945</c:v>
                </c:pt>
                <c:pt idx="483">
                  <c:v>0.9976068056378673</c:v>
                </c:pt>
                <c:pt idx="484">
                  <c:v>0.99790727625243847</c:v>
                </c:pt>
                <c:pt idx="485">
                  <c:v>0.99818840525142627</c:v>
                </c:pt>
                <c:pt idx="486">
                  <c:v>0.99845018390803342</c:v>
                </c:pt>
                <c:pt idx="487">
                  <c:v>0.99869260410065219</c:v>
                </c:pt>
                <c:pt idx="488">
                  <c:v>0.99891565831215512</c:v>
                </c:pt>
                <c:pt idx="489">
                  <c:v>0.99911933962923416</c:v>
                </c:pt>
                <c:pt idx="490">
                  <c:v>0.99930364174179309</c:v>
                </c:pt>
                <c:pt idx="491">
                  <c:v>0.99946855894238917</c:v>
                </c:pt>
                <c:pt idx="492">
                  <c:v>0.99961408612572777</c:v>
                </c:pt>
                <c:pt idx="493">
                  <c:v>0.99974021878820951</c:v>
                </c:pt>
                <c:pt idx="494">
                  <c:v>0.99984695302752802</c:v>
                </c:pt>
                <c:pt idx="495">
                  <c:v>0.99993428554232255</c:v>
                </c:pt>
                <c:pt idx="496">
                  <c:v>1.0000022136318834</c:v>
                </c:pt>
                <c:pt idx="497">
                  <c:v>1.0000507351959091</c:v>
                </c:pt>
                <c:pt idx="498">
                  <c:v>1.000079848734319</c:v>
                </c:pt>
                <c:pt idx="499">
                  <c:v>1.0000895533471188</c:v>
                </c:pt>
              </c:numCache>
            </c:numRef>
          </c:xVal>
          <c:yVal>
            <c:numRef>
              <c:f>Data5!$H$1:$H$500</c:f>
              <c:numCache>
                <c:formatCode>0.00000</c:formatCode>
                <c:ptCount val="500"/>
                <c:pt idx="0">
                  <c:v>0</c:v>
                </c:pt>
                <c:pt idx="1">
                  <c:v>2.7976912820790363E-4</c:v>
                </c:pt>
                <c:pt idx="2">
                  <c:v>5.6109285948485342E-4</c:v>
                </c:pt>
                <c:pt idx="3">
                  <c:v>8.4396829708919044E-4</c:v>
                </c:pt>
                <c:pt idx="4">
                  <c:v>1.128392237140614E-3</c:v>
                </c:pt>
                <c:pt idx="5">
                  <c:v>1.4143611685921123E-3</c:v>
                </c:pt>
                <c:pt idx="6">
                  <c:v>1.7018712732191513E-3</c:v>
                </c:pt>
                <c:pt idx="7">
                  <c:v>1.9909184256242368E-3</c:v>
                </c:pt>
                <c:pt idx="8">
                  <c:v>2.2814981932590215E-3</c:v>
                </c:pt>
                <c:pt idx="9">
                  <c:v>2.5736058364615915E-3</c:v>
                </c:pt>
                <c:pt idx="10">
                  <c:v>2.8672363085117721E-3</c:v>
                </c:pt>
                <c:pt idx="11">
                  <c:v>3.1623842557019061E-3</c:v>
                </c:pt>
                <c:pt idx="12">
                  <c:v>3.4590440174256804E-3</c:v>
                </c:pt>
                <c:pt idx="13">
                  <c:v>3.7572096262829748E-3</c:v>
                </c:pt>
                <c:pt idx="14">
                  <c:v>4.0568748082021782E-3</c:v>
                </c:pt>
                <c:pt idx="15">
                  <c:v>4.3580329825799648E-3</c:v>
                </c:pt>
                <c:pt idx="16">
                  <c:v>4.6606772624381071E-3</c:v>
                </c:pt>
                <c:pt idx="17">
                  <c:v>4.9648004545983252E-3</c:v>
                </c:pt>
                <c:pt idx="18">
                  <c:v>5.2703950598741323E-3</c:v>
                </c:pt>
                <c:pt idx="19">
                  <c:v>5.5774532732816018E-3</c:v>
                </c:pt>
                <c:pt idx="20">
                  <c:v>5.8859669842673372E-3</c:v>
                </c:pt>
                <c:pt idx="21">
                  <c:v>6.1959277769556157E-3</c:v>
                </c:pt>
                <c:pt idx="22">
                  <c:v>6.5073269304132967E-3</c:v>
                </c:pt>
                <c:pt idx="23">
                  <c:v>6.8201554189342064E-3</c:v>
                </c:pt>
                <c:pt idx="24">
                  <c:v>7.1344039123420605E-3</c:v>
                </c:pt>
                <c:pt idx="25">
                  <c:v>7.4500627763129067E-3</c:v>
                </c:pt>
                <c:pt idx="26">
                  <c:v>7.7671220727168824E-3</c:v>
                </c:pt>
                <c:pt idx="27">
                  <c:v>8.0855715599801037E-3</c:v>
                </c:pt>
                <c:pt idx="28">
                  <c:v>8.4054006934661044E-3</c:v>
                </c:pt>
                <c:pt idx="29">
                  <c:v>8.7265986258780494E-3</c:v>
                </c:pt>
                <c:pt idx="30">
                  <c:v>9.0491542076812717E-3</c:v>
                </c:pt>
                <c:pt idx="31">
                  <c:v>9.3730559875469365E-3</c:v>
                </c:pt>
                <c:pt idx="32">
                  <c:v>9.6982922128168361E-3</c:v>
                </c:pt>
                <c:pt idx="33">
                  <c:v>1.0024850829989667E-2</c:v>
                </c:pt>
                <c:pt idx="34">
                  <c:v>1.0352719485229235E-2</c:v>
                </c:pt>
                <c:pt idx="35">
                  <c:v>1.068188552489489E-2</c:v>
                </c:pt>
                <c:pt idx="36">
                  <c:v>1.1012335996094422E-2</c:v>
                </c:pt>
                <c:pt idx="37">
                  <c:v>1.1344057647259823E-2</c:v>
                </c:pt>
                <c:pt idx="38">
                  <c:v>1.1677036928746403E-2</c:v>
                </c:pt>
                <c:pt idx="39">
                  <c:v>1.2011259993455257E-2</c:v>
                </c:pt>
                <c:pt idx="40">
                  <c:v>1.2346712697479912E-2</c:v>
                </c:pt>
                <c:pt idx="41">
                  <c:v>1.2683380600777193E-2</c:v>
                </c:pt>
                <c:pt idx="42">
                  <c:v>1.3021248967862865E-2</c:v>
                </c:pt>
                <c:pt idx="43">
                  <c:v>1.3360302768532235E-2</c:v>
                </c:pt>
                <c:pt idx="44">
                  <c:v>1.3700526678606389E-2</c:v>
                </c:pt>
                <c:pt idx="45">
                  <c:v>1.4041905080704267E-2</c:v>
                </c:pt>
                <c:pt idx="46">
                  <c:v>1.4384422065040859E-2</c:v>
                </c:pt>
                <c:pt idx="47">
                  <c:v>1.4728061430252458E-2</c:v>
                </c:pt>
                <c:pt idx="48">
                  <c:v>1.5072806684248678E-2</c:v>
                </c:pt>
                <c:pt idx="49">
                  <c:v>1.5418641045092081E-2</c:v>
                </c:pt>
                <c:pt idx="50">
                  <c:v>1.5765547441905982E-2</c:v>
                </c:pt>
                <c:pt idx="51">
                  <c:v>1.6113508515810199E-2</c:v>
                </c:pt>
                <c:pt idx="52">
                  <c:v>1.6462506620886143E-2</c:v>
                </c:pt>
                <c:pt idx="53">
                  <c:v>1.681252382517065E-2</c:v>
                </c:pt>
                <c:pt idx="54">
                  <c:v>1.716354191167984E-2</c:v>
                </c:pt>
                <c:pt idx="55">
                  <c:v>1.7515542379462963E-2</c:v>
                </c:pt>
                <c:pt idx="56">
                  <c:v>1.7868506444686814E-2</c:v>
                </c:pt>
                <c:pt idx="57">
                  <c:v>1.8222415041751264E-2</c:v>
                </c:pt>
                <c:pt idx="58">
                  <c:v>1.8577248824436104E-2</c:v>
                </c:pt>
                <c:pt idx="59">
                  <c:v>1.8932988167079966E-2</c:v>
                </c:pt>
                <c:pt idx="60">
                  <c:v>1.9289613165791517E-2</c:v>
                </c:pt>
                <c:pt idx="61">
                  <c:v>1.9647103639693582E-2</c:v>
                </c:pt>
                <c:pt idx="62">
                  <c:v>2.0005439132200417E-2</c:v>
                </c:pt>
                <c:pt idx="63">
                  <c:v>2.0364598912328918E-2</c:v>
                </c:pt>
                <c:pt idx="64">
                  <c:v>2.0724561976043866E-2</c:v>
                </c:pt>
                <c:pt idx="65">
                  <c:v>2.1085307047637933E-2</c:v>
                </c:pt>
                <c:pt idx="66">
                  <c:v>2.1446812581146883E-2</c:v>
                </c:pt>
                <c:pt idx="67">
                  <c:v>2.1809056761800113E-2</c:v>
                </c:pt>
                <c:pt idx="68">
                  <c:v>2.2172017507507556E-2</c:v>
                </c:pt>
                <c:pt idx="69">
                  <c:v>2.2535672470382864E-2</c:v>
                </c:pt>
                <c:pt idx="70">
                  <c:v>2.2899999038303656E-2</c:v>
                </c:pt>
                <c:pt idx="71">
                  <c:v>2.3264974336509182E-2</c:v>
                </c:pt>
                <c:pt idx="72">
                  <c:v>2.3630575229235749E-2</c:v>
                </c:pt>
                <c:pt idx="73">
                  <c:v>2.3996778321390695E-2</c:v>
                </c:pt>
                <c:pt idx="74">
                  <c:v>2.4363559960264874E-2</c:v>
                </c:pt>
                <c:pt idx="75">
                  <c:v>2.4730896237284573E-2</c:v>
                </c:pt>
                <c:pt idx="76">
                  <c:v>2.5098762989802979E-2</c:v>
                </c:pt>
                <c:pt idx="77">
                  <c:v>2.5467135802931765E-2</c:v>
                </c:pt>
                <c:pt idx="78">
                  <c:v>2.5835990011413269E-2</c:v>
                </c:pt>
                <c:pt idx="79">
                  <c:v>2.620530070153361E-2</c:v>
                </c:pt>
                <c:pt idx="80">
                  <c:v>2.6575042713077198E-2</c:v>
                </c:pt>
                <c:pt idx="81">
                  <c:v>2.6945190641323061E-2</c:v>
                </c:pt>
                <c:pt idx="82">
                  <c:v>2.7315718839083489E-2</c:v>
                </c:pt>
                <c:pt idx="83">
                  <c:v>2.7686601418785265E-2</c:v>
                </c:pt>
                <c:pt idx="84">
                  <c:v>2.8057812254593993E-2</c:v>
                </c:pt>
                <c:pt idx="85">
                  <c:v>2.8429324984581852E-2</c:v>
                </c:pt>
                <c:pt idx="86">
                  <c:v>2.8801113012939278E-2</c:v>
                </c:pt>
                <c:pt idx="87">
                  <c:v>2.9173149512230913E-2</c:v>
                </c:pt>
                <c:pt idx="88">
                  <c:v>2.9545407425696054E-2</c:v>
                </c:pt>
                <c:pt idx="89">
                  <c:v>2.9917859469594285E-2</c:v>
                </c:pt>
                <c:pt idx="90">
                  <c:v>3.0290478135596325E-2</c:v>
                </c:pt>
                <c:pt idx="91">
                  <c:v>3.0663235693220749E-2</c:v>
                </c:pt>
                <c:pt idx="92">
                  <c:v>3.1036104192316775E-2</c:v>
                </c:pt>
                <c:pt idx="93">
                  <c:v>3.1409055465593333E-2</c:v>
                </c:pt>
                <c:pt idx="94">
                  <c:v>3.1782061131195076E-2</c:v>
                </c:pt>
                <c:pt idx="95">
                  <c:v>3.2155092595325355E-2</c:v>
                </c:pt>
                <c:pt idx="96">
                  <c:v>3.2528121054916717E-2</c:v>
                </c:pt>
                <c:pt idx="97">
                  <c:v>3.2901117500348999E-2</c:v>
                </c:pt>
                <c:pt idx="98">
                  <c:v>3.3274052718215388E-2</c:v>
                </c:pt>
                <c:pt idx="99">
                  <c:v>3.3646897294136953E-2</c:v>
                </c:pt>
                <c:pt idx="100">
                  <c:v>3.4019621615625523E-2</c:v>
                </c:pt>
                <c:pt idx="101">
                  <c:v>3.4392195874995458E-2</c:v>
                </c:pt>
                <c:pt idx="102">
                  <c:v>3.476459007232461E-2</c:v>
                </c:pt>
                <c:pt idx="103">
                  <c:v>3.5136774018464378E-2</c:v>
                </c:pt>
                <c:pt idx="104">
                  <c:v>3.5508717338099391E-2</c:v>
                </c:pt>
                <c:pt idx="105">
                  <c:v>3.5880389472857016E-2</c:v>
                </c:pt>
                <c:pt idx="106">
                  <c:v>3.6251759684466672E-2</c:v>
                </c:pt>
                <c:pt idx="107">
                  <c:v>3.6622797057969406E-2</c:v>
                </c:pt>
                <c:pt idx="108">
                  <c:v>3.6993470504977699E-2</c:v>
                </c:pt>
                <c:pt idx="109">
                  <c:v>3.7363748766985713E-2</c:v>
                </c:pt>
                <c:pt idx="110">
                  <c:v>3.7733600418730362E-2</c:v>
                </c:pt>
                <c:pt idx="111">
                  <c:v>3.8102993871602785E-2</c:v>
                </c:pt>
                <c:pt idx="112">
                  <c:v>3.8471897377111056E-2</c:v>
                </c:pt>
                <c:pt idx="113">
                  <c:v>3.8840279030393644E-2</c:v>
                </c:pt>
                <c:pt idx="114">
                  <c:v>3.9208106773784016E-2</c:v>
                </c:pt>
                <c:pt idx="115">
                  <c:v>3.9575348400426341E-2</c:v>
                </c:pt>
                <c:pt idx="116">
                  <c:v>3.9941971557942463E-2</c:v>
                </c:pt>
                <c:pt idx="117">
                  <c:v>4.0307943752150022E-2</c:v>
                </c:pt>
                <c:pt idx="118">
                  <c:v>4.0673232350831937E-2</c:v>
                </c:pt>
                <c:pt idx="119">
                  <c:v>4.1037804587557083E-2</c:v>
                </c:pt>
                <c:pt idx="120">
                  <c:v>4.1401627565552303E-2</c:v>
                </c:pt>
                <c:pt idx="121">
                  <c:v>4.1764668261625615E-2</c:v>
                </c:pt>
                <c:pt idx="122">
                  <c:v>4.2126893530140666E-2</c:v>
                </c:pt>
                <c:pt idx="123">
                  <c:v>4.2488270107042377E-2</c:v>
                </c:pt>
                <c:pt idx="124">
                  <c:v>4.284876461393354E-2</c:v>
                </c:pt>
                <c:pt idx="125">
                  <c:v>4.3208343562202503E-2</c:v>
                </c:pt>
                <c:pt idx="126">
                  <c:v>4.3566973357201694E-2</c:v>
                </c:pt>
                <c:pt idx="127">
                  <c:v>4.3924620302476916E-2</c:v>
                </c:pt>
                <c:pt idx="128">
                  <c:v>4.4281250604047223E-2</c:v>
                </c:pt>
                <c:pt idx="129">
                  <c:v>4.463683037473521E-2</c:v>
                </c:pt>
                <c:pt idx="130">
                  <c:v>4.4991325638547561E-2</c:v>
                </c:pt>
                <c:pt idx="131">
                  <c:v>4.5344702335105708E-2</c:v>
                </c:pt>
                <c:pt idx="132">
                  <c:v>4.5696926324126162E-2</c:v>
                </c:pt>
                <c:pt idx="133">
                  <c:v>4.6047963389950666E-2</c:v>
                </c:pt>
                <c:pt idx="134">
                  <c:v>4.6397779246125426E-2</c:v>
                </c:pt>
                <c:pt idx="135">
                  <c:v>4.6746339540029463E-2</c:v>
                </c:pt>
                <c:pt idx="136">
                  <c:v>4.7093609857551927E-2</c:v>
                </c:pt>
                <c:pt idx="137">
                  <c:v>4.7439555727817412E-2</c:v>
                </c:pt>
                <c:pt idx="138">
                  <c:v>4.7784142627959728E-2</c:v>
                </c:pt>
                <c:pt idx="139">
                  <c:v>4.8127335987943241E-2</c:v>
                </c:pt>
                <c:pt idx="140">
                  <c:v>4.846910119543154E-2</c:v>
                </c:pt>
                <c:pt idx="141">
                  <c:v>4.8809403600703148E-2</c:v>
                </c:pt>
                <c:pt idx="142">
                  <c:v>4.9148208521613619E-2</c:v>
                </c:pt>
                <c:pt idx="143">
                  <c:v>4.948548124860383E-2</c:v>
                </c:pt>
                <c:pt idx="144">
                  <c:v>4.9821187049753884E-2</c:v>
                </c:pt>
                <c:pt idx="145">
                  <c:v>5.0155291175882091E-2</c:v>
                </c:pt>
                <c:pt idx="146">
                  <c:v>5.0487758865688598E-2</c:v>
                </c:pt>
                <c:pt idx="147">
                  <c:v>5.0818555350943262E-2</c:v>
                </c:pt>
                <c:pt idx="148">
                  <c:v>5.1147645861716801E-2</c:v>
                </c:pt>
                <c:pt idx="149">
                  <c:v>5.1474995631655265E-2</c:v>
                </c:pt>
                <c:pt idx="150">
                  <c:v>5.1800569903296782E-2</c:v>
                </c:pt>
                <c:pt idx="151">
                  <c:v>5.2124333933429967E-2</c:v>
                </c:pt>
                <c:pt idx="152">
                  <c:v>5.2446252998493814E-2</c:v>
                </c:pt>
                <c:pt idx="153">
                  <c:v>5.2766292400017824E-2</c:v>
                </c:pt>
                <c:pt idx="154">
                  <c:v>5.3084417470102174E-2</c:v>
                </c:pt>
                <c:pt idx="155">
                  <c:v>5.3400593576937008E-2</c:v>
                </c:pt>
                <c:pt idx="156">
                  <c:v>5.3714786130360015E-2</c:v>
                </c:pt>
                <c:pt idx="157">
                  <c:v>5.40269605874521E-2</c:v>
                </c:pt>
                <c:pt idx="158">
                  <c:v>5.4337082458169594E-2</c:v>
                </c:pt>
                <c:pt idx="159">
                  <c:v>5.4645117311012847E-2</c:v>
                </c:pt>
                <c:pt idx="160">
                  <c:v>5.4951030778730287E-2</c:v>
                </c:pt>
                <c:pt idx="161">
                  <c:v>5.5254788564056925E-2</c:v>
                </c:pt>
                <c:pt idx="162">
                  <c:v>5.5556356445486579E-2</c:v>
                </c:pt>
                <c:pt idx="163">
                  <c:v>5.5855700283077084E-2</c:v>
                </c:pt>
                <c:pt idx="164">
                  <c:v>5.6152786024287402E-2</c:v>
                </c:pt>
                <c:pt idx="165">
                  <c:v>5.6447579709845791E-2</c:v>
                </c:pt>
                <c:pt idx="166">
                  <c:v>5.6740047479648267E-2</c:v>
                </c:pt>
                <c:pt idx="167">
                  <c:v>5.7030155578686265E-2</c:v>
                </c:pt>
                <c:pt idx="168">
                  <c:v>5.7317870363002447E-2</c:v>
                </c:pt>
                <c:pt idx="169">
                  <c:v>5.7603158305673932E-2</c:v>
                </c:pt>
                <c:pt idx="170">
                  <c:v>5.7885986002821813E-2</c:v>
                </c:pt>
                <c:pt idx="171">
                  <c:v>5.8166320179645771E-2</c:v>
                </c:pt>
                <c:pt idx="172">
                  <c:v>5.8444127696483189E-2</c:v>
                </c:pt>
                <c:pt idx="173">
                  <c:v>5.8719375554891179E-2</c:v>
                </c:pt>
                <c:pt idx="174">
                  <c:v>5.8992030903750839E-2</c:v>
                </c:pt>
                <c:pt idx="175">
                  <c:v>5.9262061045392431E-2</c:v>
                </c:pt>
                <c:pt idx="176">
                  <c:v>5.9529433441740498E-2</c:v>
                </c:pt>
                <c:pt idx="177">
                  <c:v>5.9794115720477645E-2</c:v>
                </c:pt>
                <c:pt idx="178">
                  <c:v>6.0056075681225937E-2</c:v>
                </c:pt>
                <c:pt idx="179">
                  <c:v>6.0315281301744773E-2</c:v>
                </c:pt>
                <c:pt idx="180">
                  <c:v>6.0571700744143808E-2</c:v>
                </c:pt>
                <c:pt idx="181">
                  <c:v>6.0825302361110056E-2</c:v>
                </c:pt>
                <c:pt idx="182">
                  <c:v>6.107605470214772E-2</c:v>
                </c:pt>
                <c:pt idx="183">
                  <c:v>6.1323926519829618E-2</c:v>
                </c:pt>
                <c:pt idx="184">
                  <c:v>6.1568886776058679E-2</c:v>
                </c:pt>
                <c:pt idx="185">
                  <c:v>6.1810904648338806E-2</c:v>
                </c:pt>
                <c:pt idx="186">
                  <c:v>6.2049949536053174E-2</c:v>
                </c:pt>
                <c:pt idx="187">
                  <c:v>6.228599106674905E-2</c:v>
                </c:pt>
                <c:pt idx="188">
                  <c:v>6.2518999102427683E-2</c:v>
                </c:pt>
                <c:pt idx="189">
                  <c:v>6.2748943745837976E-2</c:v>
                </c:pt>
                <c:pt idx="190">
                  <c:v>6.2975795346772473E-2</c:v>
                </c:pt>
                <c:pt idx="191">
                  <c:v>6.3199524508364399E-2</c:v>
                </c:pt>
                <c:pt idx="192">
                  <c:v>6.3420102093384487E-2</c:v>
                </c:pt>
                <c:pt idx="193">
                  <c:v>6.3637499230535743E-2</c:v>
                </c:pt>
                <c:pt idx="194">
                  <c:v>6.3851687320745379E-2</c:v>
                </c:pt>
                <c:pt idx="195">
                  <c:v>6.4062638043451858E-2</c:v>
                </c:pt>
                <c:pt idx="196">
                  <c:v>6.4270323362886239E-2</c:v>
                </c:pt>
                <c:pt idx="197">
                  <c:v>6.4474715534345556E-2</c:v>
                </c:pt>
                <c:pt idx="198">
                  <c:v>6.4675787110457905E-2</c:v>
                </c:pt>
                <c:pt idx="199">
                  <c:v>6.4873510947436472E-2</c:v>
                </c:pt>
                <c:pt idx="200">
                  <c:v>6.5067860211322159E-2</c:v>
                </c:pt>
                <c:pt idx="201">
                  <c:v>6.5258808384212441E-2</c:v>
                </c:pt>
                <c:pt idx="202">
                  <c:v>6.5446329270475612E-2</c:v>
                </c:pt>
                <c:pt idx="203">
                  <c:v>6.5630397002948385E-2</c:v>
                </c:pt>
                <c:pt idx="204">
                  <c:v>6.5810986049115811E-2</c:v>
                </c:pt>
                <c:pt idx="205">
                  <c:v>6.598807121727128E-2</c:v>
                </c:pt>
                <c:pt idx="206">
                  <c:v>6.6161627662656028E-2</c:v>
                </c:pt>
                <c:pt idx="207">
                  <c:v>6.633163089357566E-2</c:v>
                </c:pt>
                <c:pt idx="208">
                  <c:v>6.6498056777492695E-2</c:v>
                </c:pt>
                <c:pt idx="209">
                  <c:v>6.6660881547093376E-2</c:v>
                </c:pt>
                <c:pt idx="210">
                  <c:v>6.6820081806327286E-2</c:v>
                </c:pt>
                <c:pt idx="211">
                  <c:v>6.6975634536417861E-2</c:v>
                </c:pt>
                <c:pt idx="212">
                  <c:v>6.7127517101842699E-2</c:v>
                </c:pt>
                <c:pt idx="213">
                  <c:v>6.7275707256281833E-2</c:v>
                </c:pt>
                <c:pt idx="214">
                  <c:v>6.7420183148531987E-2</c:v>
                </c:pt>
                <c:pt idx="215">
                  <c:v>6.7560923328386105E-2</c:v>
                </c:pt>
                <c:pt idx="216">
                  <c:v>6.7697906752475695E-2</c:v>
                </c:pt>
                <c:pt idx="217">
                  <c:v>6.7831112790074768E-2</c:v>
                </c:pt>
                <c:pt idx="218">
                  <c:v>6.7960521228863729E-2</c:v>
                </c:pt>
                <c:pt idx="219">
                  <c:v>6.8086112280651728E-2</c:v>
                </c:pt>
                <c:pt idx="220">
                  <c:v>6.8207866587055285E-2</c:v>
                </c:pt>
                <c:pt idx="221">
                  <c:v>6.832576522513259E-2</c:v>
                </c:pt>
                <c:pt idx="222">
                  <c:v>6.8439789712970656E-2</c:v>
                </c:pt>
                <c:pt idx="223">
                  <c:v>6.8549922015224779E-2</c:v>
                </c:pt>
                <c:pt idx="224">
                  <c:v>6.8656144548607967E-2</c:v>
                </c:pt>
                <c:pt idx="225">
                  <c:v>6.8758440187328962E-2</c:v>
                </c:pt>
                <c:pt idx="226">
                  <c:v>6.8856792268477462E-2</c:v>
                </c:pt>
                <c:pt idx="227">
                  <c:v>6.8951184597354387E-2</c:v>
                </c:pt>
                <c:pt idx="228">
                  <c:v>6.9041601452746224E-2</c:v>
                </c:pt>
                <c:pt idx="229">
                  <c:v>6.9128027592141261E-2</c:v>
                </c:pt>
                <c:pt idx="230">
                  <c:v>6.9210448256886548E-2</c:v>
                </c:pt>
                <c:pt idx="231">
                  <c:v>6.928884917728366E-2</c:v>
                </c:pt>
                <c:pt idx="232">
                  <c:v>6.9363216577621817E-2</c:v>
                </c:pt>
                <c:pt idx="233">
                  <c:v>6.9433537181146948E-2</c:v>
                </c:pt>
                <c:pt idx="234">
                  <c:v>6.949979821496452E-2</c:v>
                </c:pt>
                <c:pt idx="235">
                  <c:v>6.9561987414875376E-2</c:v>
                </c:pt>
                <c:pt idx="236">
                  <c:v>6.9620093030142244E-2</c:v>
                </c:pt>
                <c:pt idx="237">
                  <c:v>6.9674103828185924E-2</c:v>
                </c:pt>
                <c:pt idx="238">
                  <c:v>6.97240090992092E-2</c:v>
                </c:pt>
                <c:pt idx="239">
                  <c:v>6.9769798660747159E-2</c:v>
                </c:pt>
                <c:pt idx="240">
                  <c:v>6.9811462862142307E-2</c:v>
                </c:pt>
                <c:pt idx="241">
                  <c:v>6.9848992588942838E-2</c:v>
                </c:pt>
                <c:pt idx="242">
                  <c:v>6.9882379267222836E-2</c:v>
                </c:pt>
                <c:pt idx="243">
                  <c:v>6.9911614867822575E-2</c:v>
                </c:pt>
                <c:pt idx="244">
                  <c:v>6.9936691910507554E-2</c:v>
                </c:pt>
                <c:pt idx="245">
                  <c:v>6.995760346804486E-2</c:v>
                </c:pt>
                <c:pt idx="246">
                  <c:v>6.9974343170195102E-2</c:v>
                </c:pt>
                <c:pt idx="247">
                  <c:v>6.9986905207619007E-2</c:v>
                </c:pt>
                <c:pt idx="248">
                  <c:v>6.99952843356966E-2</c:v>
                </c:pt>
                <c:pt idx="249">
                  <c:v>6.9999475878257805E-2</c:v>
                </c:pt>
                <c:pt idx="250">
                  <c:v>6.9999475292638669E-2</c:v>
                </c:pt>
                <c:pt idx="251">
                  <c:v>6.9995268537772812E-2</c:v>
                </c:pt>
                <c:pt idx="252">
                  <c:v>6.998683213640039E-2</c:v>
                </c:pt>
                <c:pt idx="253">
                  <c:v>6.9974142856977589E-2</c:v>
                </c:pt>
                <c:pt idx="254">
                  <c:v>6.9957178162362396E-2</c:v>
                </c:pt>
                <c:pt idx="255">
                  <c:v>6.9935916219313873E-2</c:v>
                </c:pt>
                <c:pt idx="256">
                  <c:v>6.991033590786884E-2</c:v>
                </c:pt>
                <c:pt idx="257">
                  <c:v>6.988041683059297E-2</c:v>
                </c:pt>
                <c:pt idx="258">
                  <c:v>6.9846139321702388E-2</c:v>
                </c:pt>
                <c:pt idx="259">
                  <c:v>6.9807484456052477E-2</c:v>
                </c:pt>
                <c:pt idx="260">
                  <c:v>6.9764434057990043E-2</c:v>
                </c:pt>
                <c:pt idx="261">
                  <c:v>6.9716970710065954E-2</c:v>
                </c:pt>
                <c:pt idx="262">
                  <c:v>6.9665077761604327E-2</c:v>
                </c:pt>
                <c:pt idx="263">
                  <c:v>6.9608739337125081E-2</c:v>
                </c:pt>
                <c:pt idx="264">
                  <c:v>6.9547940344616657E-2</c:v>
                </c:pt>
                <c:pt idx="265">
                  <c:v>6.9482666483655198E-2</c:v>
                </c:pt>
                <c:pt idx="266">
                  <c:v>6.9412904253367297E-2</c:v>
                </c:pt>
                <c:pt idx="267">
                  <c:v>6.9338640960232942E-2</c:v>
                </c:pt>
                <c:pt idx="268">
                  <c:v>6.9259864725725165E-2</c:v>
                </c:pt>
                <c:pt idx="269">
                  <c:v>6.9176564493783899E-2</c:v>
                </c:pt>
                <c:pt idx="270">
                  <c:v>6.9088730038120147E-2</c:v>
                </c:pt>
                <c:pt idx="271">
                  <c:v>6.8996351969347905E-2</c:v>
                </c:pt>
                <c:pt idx="272">
                  <c:v>6.8899421741940664E-2</c:v>
                </c:pt>
                <c:pt idx="273">
                  <c:v>6.8797931661009559E-2</c:v>
                </c:pt>
                <c:pt idx="274">
                  <c:v>6.8691874888899856E-2</c:v>
                </c:pt>
                <c:pt idx="275">
                  <c:v>6.8581245451603573E-2</c:v>
                </c:pt>
                <c:pt idx="276">
                  <c:v>6.8466038244984734E-2</c:v>
                </c:pt>
                <c:pt idx="277">
                  <c:v>6.834624904081478E-2</c:v>
                </c:pt>
                <c:pt idx="278">
                  <c:v>6.8221874492615464E-2</c:v>
                </c:pt>
                <c:pt idx="279">
                  <c:v>6.8092912141306181E-2</c:v>
                </c:pt>
                <c:pt idx="280">
                  <c:v>6.7959360420653564E-2</c:v>
                </c:pt>
                <c:pt idx="281">
                  <c:v>6.7821218662520361E-2</c:v>
                </c:pt>
                <c:pt idx="282">
                  <c:v>6.7678487101911294E-2</c:v>
                </c:pt>
                <c:pt idx="283">
                  <c:v>6.7531166881813376E-2</c:v>
                </c:pt>
                <c:pt idx="284">
                  <c:v>6.7379260057828294E-2</c:v>
                </c:pt>
                <c:pt idx="285">
                  <c:v>6.7222769602594337E-2</c:v>
                </c:pt>
                <c:pt idx="286">
                  <c:v>6.706169940999579E-2</c:v>
                </c:pt>
                <c:pt idx="287">
                  <c:v>6.6896054299157612E-2</c:v>
                </c:pt>
                <c:pt idx="288">
                  <c:v>6.6725840018222821E-2</c:v>
                </c:pt>
                <c:pt idx="289">
                  <c:v>6.6551063247910949E-2</c:v>
                </c:pt>
                <c:pt idx="290">
                  <c:v>6.6371731604855239E-2</c:v>
                </c:pt>
                <c:pt idx="291">
                  <c:v>6.6187853644716715E-2</c:v>
                </c:pt>
                <c:pt idx="292">
                  <c:v>6.5999438865073118E-2</c:v>
                </c:pt>
                <c:pt idx="293">
                  <c:v>6.5806497708080891E-2</c:v>
                </c:pt>
                <c:pt idx="294">
                  <c:v>6.5609041562908532E-2</c:v>
                </c:pt>
                <c:pt idx="295">
                  <c:v>6.5407082767939551E-2</c:v>
                </c:pt>
                <c:pt idx="296">
                  <c:v>6.5200634612743016E-2</c:v>
                </c:pt>
                <c:pt idx="297">
                  <c:v>6.498971133981081E-2</c:v>
                </c:pt>
                <c:pt idx="298">
                  <c:v>6.4774328146059532E-2</c:v>
                </c:pt>
                <c:pt idx="299">
                  <c:v>6.4554501184095739E-2</c:v>
                </c:pt>
                <c:pt idx="300">
                  <c:v>6.4330247563243237E-2</c:v>
                </c:pt>
                <c:pt idx="301">
                  <c:v>6.4101585350331169E-2</c:v>
                </c:pt>
                <c:pt idx="302">
                  <c:v>6.3868533570241262E-2</c:v>
                </c:pt>
                <c:pt idx="303">
                  <c:v>6.3631112206213869E-2</c:v>
                </c:pt>
                <c:pt idx="304">
                  <c:v>6.3389342199910742E-2</c:v>
                </c:pt>
                <c:pt idx="305">
                  <c:v>6.3143245451234481E-2</c:v>
                </c:pt>
                <c:pt idx="306">
                  <c:v>6.2892844817902915E-2</c:v>
                </c:pt>
                <c:pt idx="307">
                  <c:v>6.2638164114778114E-2</c:v>
                </c:pt>
                <c:pt idx="308">
                  <c:v>6.2379228112949062E-2</c:v>
                </c:pt>
                <c:pt idx="309">
                  <c:v>6.2116062538567079E-2</c:v>
                </c:pt>
                <c:pt idx="310">
                  <c:v>6.1848694071433785E-2</c:v>
                </c:pt>
                <c:pt idx="311">
                  <c:v>6.1577150343340631E-2</c:v>
                </c:pt>
                <c:pt idx="312">
                  <c:v>6.1301459936159729E-2</c:v>
                </c:pt>
                <c:pt idx="313">
                  <c:v>6.1021652379685667E-2</c:v>
                </c:pt>
                <c:pt idx="314">
                  <c:v>6.0737758149227612E-2</c:v>
                </c:pt>
                <c:pt idx="315">
                  <c:v>6.0449808662951868E-2</c:v>
                </c:pt>
                <c:pt idx="316">
                  <c:v>6.015783627897453E-2</c:v>
                </c:pt>
                <c:pt idx="317">
                  <c:v>5.9861874292204131E-2</c:v>
                </c:pt>
                <c:pt idx="318">
                  <c:v>5.9561956930934024E-2</c:v>
                </c:pt>
                <c:pt idx="319">
                  <c:v>5.9258119353185326E-2</c:v>
                </c:pt>
                <c:pt idx="320">
                  <c:v>5.8950397642799524E-2</c:v>
                </c:pt>
                <c:pt idx="321">
                  <c:v>5.863882880528188E-2</c:v>
                </c:pt>
                <c:pt idx="322">
                  <c:v>5.8323450763395138E-2</c:v>
                </c:pt>
                <c:pt idx="323">
                  <c:v>5.80043023525047E-2</c:v>
                </c:pt>
                <c:pt idx="324">
                  <c:v>5.7681423315675003E-2</c:v>
                </c:pt>
                <c:pt idx="325">
                  <c:v>5.7354854298517985E-2</c:v>
                </c:pt>
                <c:pt idx="326">
                  <c:v>5.702463684379433E-2</c:v>
                </c:pt>
                <c:pt idx="327">
                  <c:v>5.6690813385767855E-2</c:v>
                </c:pt>
                <c:pt idx="328">
                  <c:v>5.6353427244314226E-2</c:v>
                </c:pt>
                <c:pt idx="329">
                  <c:v>5.6012522618784102E-2</c:v>
                </c:pt>
                <c:pt idx="330">
                  <c:v>5.5668144581622718E-2</c:v>
                </c:pt>
                <c:pt idx="331">
                  <c:v>5.5320339071745869E-2</c:v>
                </c:pt>
                <c:pt idx="332">
                  <c:v>5.4969152887673858E-2</c:v>
                </c:pt>
                <c:pt idx="333">
                  <c:v>5.461463368042465E-2</c:v>
                </c:pt>
                <c:pt idx="334">
                  <c:v>5.4256829946166929E-2</c:v>
                </c:pt>
                <c:pt idx="335">
                  <c:v>5.389579101863521E-2</c:v>
                </c:pt>
                <c:pt idx="336">
                  <c:v>5.3531567061307211E-2</c:v>
                </c:pt>
                <c:pt idx="337">
                  <c:v>5.316420905934631E-2</c:v>
                </c:pt>
                <c:pt idx="338">
                  <c:v>5.2793768811309191E-2</c:v>
                </c:pt>
                <c:pt idx="339">
                  <c:v>5.2420298920621625E-2</c:v>
                </c:pt>
                <c:pt idx="340">
                  <c:v>5.2043852786822747E-2</c:v>
                </c:pt>
                <c:pt idx="341">
                  <c:v>5.1664484596580837E-2</c:v>
                </c:pt>
                <c:pt idx="342">
                  <c:v>5.1282249314481304E-2</c:v>
                </c:pt>
                <c:pt idx="343">
                  <c:v>5.0897202673589659E-2</c:v>
                </c:pt>
                <c:pt idx="344">
                  <c:v>5.050940116579071E-2</c:v>
                </c:pt>
                <c:pt idx="345">
                  <c:v>5.0118902031906637E-2</c:v>
                </c:pt>
                <c:pt idx="346">
                  <c:v>4.9725763251595528E-2</c:v>
                </c:pt>
                <c:pt idx="347">
                  <c:v>4.9330043533032775E-2</c:v>
                </c:pt>
                <c:pt idx="348">
                  <c:v>4.8931802302377911E-2</c:v>
                </c:pt>
                <c:pt idx="349">
                  <c:v>4.853109969302831E-2</c:v>
                </c:pt>
                <c:pt idx="350">
                  <c:v>4.8127996534663084E-2</c:v>
                </c:pt>
                <c:pt idx="351">
                  <c:v>4.7722554342078977E-2</c:v>
                </c:pt>
                <c:pt idx="352">
                  <c:v>4.7314835303821308E-2</c:v>
                </c:pt>
                <c:pt idx="353">
                  <c:v>4.6904902270611684E-2</c:v>
                </c:pt>
                <c:pt idx="354">
                  <c:v>4.6492818743576317E-2</c:v>
                </c:pt>
                <c:pt idx="355">
                  <c:v>4.6078648862276424E-2</c:v>
                </c:pt>
                <c:pt idx="356">
                  <c:v>4.5662457392544473E-2</c:v>
                </c:pt>
                <c:pt idx="357">
                  <c:v>4.5244309714128433E-2</c:v>
                </c:pt>
                <c:pt idx="358">
                  <c:v>4.482427180814727E-2</c:v>
                </c:pt>
                <c:pt idx="359">
                  <c:v>4.4402410244360736E-2</c:v>
                </c:pt>
                <c:pt idx="360">
                  <c:v>4.397879216825578E-2</c:v>
                </c:pt>
                <c:pt idx="361">
                  <c:v>4.3553485287953754E-2</c:v>
                </c:pt>
                <c:pt idx="362">
                  <c:v>4.312655786094037E-2</c:v>
                </c:pt>
                <c:pt idx="363">
                  <c:v>4.2698078680622698E-2</c:v>
                </c:pt>
                <c:pt idx="364">
                  <c:v>4.2268117062715604E-2</c:v>
                </c:pt>
                <c:pt idx="365">
                  <c:v>4.1836742831461098E-2</c:v>
                </c:pt>
                <c:pt idx="366">
                  <c:v>4.1404026305684592E-2</c:v>
                </c:pt>
                <c:pt idx="367">
                  <c:v>4.0970038284690362E-2</c:v>
                </c:pt>
                <c:pt idx="368">
                  <c:v>4.0534850034000806E-2</c:v>
                </c:pt>
                <c:pt idx="369">
                  <c:v>4.0098533270942011E-2</c:v>
                </c:pt>
                <c:pt idx="370">
                  <c:v>3.9661160150080116E-2</c:v>
                </c:pt>
                <c:pt idx="371">
                  <c:v>3.9222803248511143E-2</c:v>
                </c:pt>
                <c:pt idx="372">
                  <c:v>3.8783535551008705E-2</c:v>
                </c:pt>
                <c:pt idx="373">
                  <c:v>3.8343430435032973E-2</c:v>
                </c:pt>
                <c:pt idx="374">
                  <c:v>3.79025616556046E-2</c:v>
                </c:pt>
                <c:pt idx="375">
                  <c:v>3.7461003330047538E-2</c:v>
                </c:pt>
                <c:pt idx="376">
                  <c:v>3.701882992260435E-2</c:v>
                </c:pt>
                <c:pt idx="377">
                  <c:v>3.6576116228928465E-2</c:v>
                </c:pt>
                <c:pt idx="378">
                  <c:v>3.6132937360456099E-2</c:v>
                </c:pt>
                <c:pt idx="379">
                  <c:v>3.5689368728663656E-2</c:v>
                </c:pt>
                <c:pt idx="380">
                  <c:v>3.5245486029212444E-2</c:v>
                </c:pt>
                <c:pt idx="381">
                  <c:v>3.4801365225986633E-2</c:v>
                </c:pt>
                <c:pt idx="382">
                  <c:v>3.4357082535027117E-2</c:v>
                </c:pt>
                <c:pt idx="383">
                  <c:v>3.3912714408366407E-2</c:v>
                </c:pt>
                <c:pt idx="384">
                  <c:v>3.3468337517767885E-2</c:v>
                </c:pt>
                <c:pt idx="385">
                  <c:v>3.3024028738374317E-2</c:v>
                </c:pt>
                <c:pt idx="386">
                  <c:v>3.2579865132269112E-2</c:v>
                </c:pt>
                <c:pt idx="387">
                  <c:v>3.2135923931954878E-2</c:v>
                </c:pt>
                <c:pt idx="388">
                  <c:v>3.1692282523754139E-2</c:v>
                </c:pt>
                <c:pt idx="389">
                  <c:v>3.1249018431134923E-2</c:v>
                </c:pt>
                <c:pt idx="390">
                  <c:v>3.080620929796743E-2</c:v>
                </c:pt>
                <c:pt idx="391">
                  <c:v>3.0363932871714516E-2</c:v>
                </c:pt>
                <c:pt idx="392">
                  <c:v>2.9922266986561467E-2</c:v>
                </c:pt>
                <c:pt idx="393">
                  <c:v>2.9481289546488619E-2</c:v>
                </c:pt>
                <c:pt idx="394">
                  <c:v>2.9041078508292021E-2</c:v>
                </c:pt>
                <c:pt idx="395">
                  <c:v>2.8601711864555492E-2</c:v>
                </c:pt>
                <c:pt idx="396">
                  <c:v>2.8163267626579912E-2</c:v>
                </c:pt>
                <c:pt idx="397">
                  <c:v>2.7725823807272842E-2</c:v>
                </c:pt>
                <c:pt idx="398">
                  <c:v>2.7289458404003687E-2</c:v>
                </c:pt>
                <c:pt idx="399">
                  <c:v>2.685424938142885E-2</c:v>
                </c:pt>
                <c:pt idx="400">
                  <c:v>2.6420274654290879E-2</c:v>
                </c:pt>
                <c:pt idx="401">
                  <c:v>2.5987612070197182E-2</c:v>
                </c:pt>
                <c:pt idx="402">
                  <c:v>2.5556339392380948E-2</c:v>
                </c:pt>
                <c:pt idx="403">
                  <c:v>2.5126534282451339E-2</c:v>
                </c:pt>
                <c:pt idx="404">
                  <c:v>2.4698274283134786E-2</c:v>
                </c:pt>
                <c:pt idx="405">
                  <c:v>2.4271636801014313E-2</c:v>
                </c:pt>
                <c:pt idx="406">
                  <c:v>2.3846699089269535E-2</c:v>
                </c:pt>
                <c:pt idx="407">
                  <c:v>2.3423538230423112E-2</c:v>
                </c:pt>
                <c:pt idx="408">
                  <c:v>2.3002231119097837E-2</c:v>
                </c:pt>
                <c:pt idx="409">
                  <c:v>2.2582854444788407E-2</c:v>
                </c:pt>
                <c:pt idx="410">
                  <c:v>2.2165484674653343E-2</c:v>
                </c:pt>
                <c:pt idx="411">
                  <c:v>2.1750198036330791E-2</c:v>
                </c:pt>
                <c:pt idx="412">
                  <c:v>2.1337070500783321E-2</c:v>
                </c:pt>
                <c:pt idx="413">
                  <c:v>2.092617776517549E-2</c:v>
                </c:pt>
                <c:pt idx="414">
                  <c:v>2.051759523579004E-2</c:v>
                </c:pt>
                <c:pt idx="415">
                  <c:v>2.0111398010985538E-2</c:v>
                </c:pt>
                <c:pt idx="416">
                  <c:v>1.9707660864201414E-2</c:v>
                </c:pt>
                <c:pt idx="417">
                  <c:v>1.930645822701417E-2</c:v>
                </c:pt>
                <c:pt idx="418">
                  <c:v>1.8907864172249308E-2</c:v>
                </c:pt>
                <c:pt idx="419">
                  <c:v>1.8511952397153794E-2</c:v>
                </c:pt>
                <c:pt idx="420">
                  <c:v>1.8118796206632818E-2</c:v>
                </c:pt>
                <c:pt idx="421">
                  <c:v>1.7728468496556529E-2</c:v>
                </c:pt>
                <c:pt idx="422">
                  <c:v>1.7341041737139417E-2</c:v>
                </c:pt>
                <c:pt idx="423">
                  <c:v>1.6956587956398754E-2</c:v>
                </c:pt>
                <c:pt idx="424">
                  <c:v>1.6575178723694628E-2</c:v>
                </c:pt>
                <c:pt idx="425">
                  <c:v>1.6196885133357444E-2</c:v>
                </c:pt>
                <c:pt idx="426">
                  <c:v>1.5821777788406106E-2</c:v>
                </c:pt>
                <c:pt idx="427">
                  <c:v>1.5449926784362054E-2</c:v>
                </c:pt>
                <c:pt idx="428">
                  <c:v>1.5081401693162895E-2</c:v>
                </c:pt>
                <c:pt idx="429">
                  <c:v>1.4716271547180153E-2</c:v>
                </c:pt>
                <c:pt idx="430">
                  <c:v>1.4354604823345482E-2</c:v>
                </c:pt>
                <c:pt idx="431">
                  <c:v>1.3996469427389207E-2</c:v>
                </c:pt>
                <c:pt idx="432">
                  <c:v>1.3641932678196019E-2</c:v>
                </c:pt>
                <c:pt idx="433">
                  <c:v>1.3291061292281015E-2</c:v>
                </c:pt>
                <c:pt idx="434">
                  <c:v>1.2943921368391443E-2</c:v>
                </c:pt>
                <c:pt idx="435">
                  <c:v>1.2600578372237084E-2</c:v>
                </c:pt>
                <c:pt idx="436">
                  <c:v>1.2261097121354262E-2</c:v>
                </c:pt>
                <c:pt idx="437">
                  <c:v>1.1925541770106778E-2</c:v>
                </c:pt>
                <c:pt idx="438">
                  <c:v>1.1593975794828499E-2</c:v>
                </c:pt>
                <c:pt idx="439">
                  <c:v>1.1266461979110898E-2</c:v>
                </c:pt>
                <c:pt idx="440">
                  <c:v>1.0943062399239679E-2</c:v>
                </c:pt>
                <c:pt idx="441">
                  <c:v>1.0623838409784909E-2</c:v>
                </c:pt>
                <c:pt idx="442">
                  <c:v>1.0308850629347395E-2</c:v>
                </c:pt>
                <c:pt idx="443">
                  <c:v>9.9981589264664314E-3</c:v>
                </c:pt>
                <c:pt idx="444">
                  <c:v>9.6918224056912524E-3</c:v>
                </c:pt>
                <c:pt idx="445">
                  <c:v>9.3898993938214652E-3</c:v>
                </c:pt>
                <c:pt idx="446">
                  <c:v>9.0924474263185361E-3</c:v>
                </c:pt>
                <c:pt idx="447">
                  <c:v>8.7995232338935418E-3</c:v>
                </c:pt>
                <c:pt idx="448">
                  <c:v>8.5111827292730698E-3</c:v>
                </c:pt>
                <c:pt idx="449">
                  <c:v>8.2274809941486112E-3</c:v>
                </c:pt>
                <c:pt idx="450">
                  <c:v>7.9484722663114848E-3</c:v>
                </c:pt>
                <c:pt idx="451">
                  <c:v>7.6742099269772861E-3</c:v>
                </c:pt>
                <c:pt idx="452">
                  <c:v>7.4047464883033338E-3</c:v>
                </c:pt>
                <c:pt idx="453">
                  <c:v>7.1401335811025583E-3</c:v>
                </c:pt>
                <c:pt idx="454">
                  <c:v>6.8804219427565146E-3</c:v>
                </c:pt>
                <c:pt idx="455">
                  <c:v>6.625661405331211E-3</c:v>
                </c:pt>
                <c:pt idx="456">
                  <c:v>6.375900883899212E-3</c:v>
                </c:pt>
                <c:pt idx="457">
                  <c:v>6.1311883650702424E-3</c:v>
                </c:pt>
                <c:pt idx="458">
                  <c:v>5.891570895734396E-3</c:v>
                </c:pt>
                <c:pt idx="459">
                  <c:v>5.657094572019925E-3</c:v>
                </c:pt>
                <c:pt idx="460">
                  <c:v>5.4278045284696548E-3</c:v>
                </c:pt>
                <c:pt idx="461">
                  <c:v>5.203744927437884E-3</c:v>
                </c:pt>
                <c:pt idx="462">
                  <c:v>4.9849589487113155E-3</c:v>
                </c:pt>
                <c:pt idx="463">
                  <c:v>4.7714887793563875E-3</c:v>
                </c:pt>
                <c:pt idx="464">
                  <c:v>4.563375603796019E-3</c:v>
                </c:pt>
                <c:pt idx="465">
                  <c:v>4.360659594118411E-3</c:v>
                </c:pt>
                <c:pt idx="466">
                  <c:v>4.1633799006196319E-3</c:v>
                </c:pt>
                <c:pt idx="467">
                  <c:v>3.9715746425844391E-3</c:v>
                </c:pt>
                <c:pt idx="468">
                  <c:v>3.7852808993054333E-3</c:v>
                </c:pt>
                <c:pt idx="469">
                  <c:v>3.6045347013448675E-3</c:v>
                </c:pt>
                <c:pt idx="470">
                  <c:v>3.4293710220403575E-3</c:v>
                </c:pt>
                <c:pt idx="471">
                  <c:v>3.259823769257297E-3</c:v>
                </c:pt>
                <c:pt idx="472">
                  <c:v>3.0959257773896763E-3</c:v>
                </c:pt>
                <c:pt idx="473">
                  <c:v>2.9377087996122499E-3</c:v>
                </c:pt>
                <c:pt idx="474">
                  <c:v>2.7852035003851482E-3</c:v>
                </c:pt>
                <c:pt idx="475">
                  <c:v>2.6384394482135655E-3</c:v>
                </c:pt>
                <c:pt idx="476">
                  <c:v>2.4974451086645579E-3</c:v>
                </c:pt>
                <c:pt idx="477">
                  <c:v>2.3622478376420872E-3</c:v>
                </c:pt>
                <c:pt idx="478">
                  <c:v>2.2328738749231411E-3</c:v>
                </c:pt>
                <c:pt idx="479">
                  <c:v>2.1093483379556284E-3</c:v>
                </c:pt>
                <c:pt idx="480">
                  <c:v>1.991695215920475E-3</c:v>
                </c:pt>
                <c:pt idx="481">
                  <c:v>1.8799373640591682E-3</c:v>
                </c:pt>
                <c:pt idx="482">
                  <c:v>1.7740964982680635E-3</c:v>
                </c:pt>
                <c:pt idx="483">
                  <c:v>1.6741931899616591E-3</c:v>
                </c:pt>
                <c:pt idx="484">
                  <c:v>1.5802468612052397E-3</c:v>
                </c:pt>
                <c:pt idx="485">
                  <c:v>1.4922757801188562E-3</c:v>
                </c:pt>
                <c:pt idx="486">
                  <c:v>1.410297056553572E-3</c:v>
                </c:pt>
                <c:pt idx="487">
                  <c:v>1.3343266380413871E-3</c:v>
                </c:pt>
                <c:pt idx="488">
                  <c:v>1.2643793060195393E-3</c:v>
                </c:pt>
                <c:pt idx="489">
                  <c:v>1.2004686723307658E-3</c:v>
                </c:pt>
                <c:pt idx="490">
                  <c:v>1.1426071759995289E-3</c:v>
                </c:pt>
                <c:pt idx="491">
                  <c:v>1.0908060802863224E-3</c:v>
                </c:pt>
                <c:pt idx="492">
                  <c:v>1.0450754700196772E-3</c:v>
                </c:pt>
                <c:pt idx="493">
                  <c:v>1.0054242492071976E-3</c:v>
                </c:pt>
                <c:pt idx="494">
                  <c:v>9.7186013892635117E-4</c:v>
                </c:pt>
                <c:pt idx="495">
                  <c:v>9.4438967549515614E-4</c:v>
                </c:pt>
                <c:pt idx="496">
                  <c:v>9.2301820892336857E-4</c:v>
                </c:pt>
                <c:pt idx="497">
                  <c:v>9.0774990164498124E-4</c:v>
                </c:pt>
                <c:pt idx="498">
                  <c:v>8.985877275318328E-4</c:v>
                </c:pt>
                <c:pt idx="499">
                  <c:v>8.9553347118899018E-4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F-4D1F-9AD0-B349A85400BD}"/>
            </c:ext>
          </c:extLst>
        </c:ser>
        <c:ser>
          <c:idx val="2"/>
          <c:order val="2"/>
          <c:tx>
            <c:v>Lower Camber</c:v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Data5!$I$1:$I$500</c:f>
              <c:numCache>
                <c:formatCode>0.00000</c:formatCode>
                <c:ptCount val="500"/>
                <c:pt idx="0">
                  <c:v>0</c:v>
                </c:pt>
                <c:pt idx="1">
                  <c:v>3.7786438462076739E-5</c:v>
                </c:pt>
                <c:pt idx="2">
                  <c:v>9.5344804918233059E-5</c:v>
                </c:pt>
                <c:pt idx="3">
                  <c:v>1.7267037658712573E-4</c:v>
                </c:pt>
                <c:pt idx="4">
                  <c:v>2.6975765664030325E-4</c:v>
                </c:pt>
                <c:pt idx="5">
                  <c:v>3.8660037457675868E-4</c:v>
                </c:pt>
                <c:pt idx="6">
                  <c:v>5.2319148662412327E-4</c:v>
                </c:pt>
                <c:pt idx="7">
                  <c:v>6.7952317616581394E-4</c:v>
                </c:pt>
                <c:pt idx="8">
                  <c:v>8.555868541950119E-4</c:v>
                </c:pt>
                <c:pt idx="9">
                  <c:v>1.0513731597942531E-3</c:v>
                </c:pt>
                <c:pt idx="10">
                  <c:v>1.266871960642133E-3</c:v>
                </c:pt>
                <c:pt idx="11">
                  <c:v>1.5020723535455671E-3</c:v>
                </c:pt>
                <c:pt idx="12">
                  <c:v>1.7569626649992574E-3</c:v>
                </c:pt>
                <c:pt idx="13">
                  <c:v>2.031530451770867E-3</c:v>
                </c:pt>
                <c:pt idx="14">
                  <c:v>2.3257625015128455E-3</c:v>
                </c:pt>
                <c:pt idx="15">
                  <c:v>2.6396448334009368E-3</c:v>
                </c:pt>
                <c:pt idx="16">
                  <c:v>2.9731626987988106E-3</c:v>
                </c:pt>
                <c:pt idx="17">
                  <c:v>3.3263005819497348E-3</c:v>
                </c:pt>
                <c:pt idx="18">
                  <c:v>3.6990422006939593E-3</c:v>
                </c:pt>
                <c:pt idx="19">
                  <c:v>4.0913705072138703E-3</c:v>
                </c:pt>
                <c:pt idx="20">
                  <c:v>4.5032676888047043E-3</c:v>
                </c:pt>
                <c:pt idx="21">
                  <c:v>4.9347151686730643E-3</c:v>
                </c:pt>
                <c:pt idx="22">
                  <c:v>5.3856936067611617E-3</c:v>
                </c:pt>
                <c:pt idx="23">
                  <c:v>5.8561829005989111E-3</c:v>
                </c:pt>
                <c:pt idx="24">
                  <c:v>6.3461621861822378E-3</c:v>
                </c:pt>
                <c:pt idx="25">
                  <c:v>6.8556098388787758E-3</c:v>
                </c:pt>
                <c:pt idx="26">
                  <c:v>7.3845034743603389E-3</c:v>
                </c:pt>
                <c:pt idx="27">
                  <c:v>7.9328199495630972E-3</c:v>
                </c:pt>
                <c:pt idx="28">
                  <c:v>8.5005353636741793E-3</c:v>
                </c:pt>
                <c:pt idx="29">
                  <c:v>9.0876250591463044E-3</c:v>
                </c:pt>
                <c:pt idx="30">
                  <c:v>9.6940636227393264E-3</c:v>
                </c:pt>
                <c:pt idx="31">
                  <c:v>1.0319824886589633E-2</c:v>
                </c:pt>
                <c:pt idx="32">
                  <c:v>1.096488192930694E-2</c:v>
                </c:pt>
                <c:pt idx="33">
                  <c:v>1.1629207077098681E-2</c:v>
                </c:pt>
                <c:pt idx="34">
                  <c:v>1.2312771904922231E-2</c:v>
                </c:pt>
                <c:pt idx="35">
                  <c:v>1.3015547237665173E-2</c:v>
                </c:pt>
                <c:pt idx="36">
                  <c:v>1.3737503151353261E-2</c:v>
                </c:pt>
                <c:pt idx="37">
                  <c:v>1.4478608974386553E-2</c:v>
                </c:pt>
                <c:pt idx="38">
                  <c:v>1.523883328880387E-2</c:v>
                </c:pt>
                <c:pt idx="39">
                  <c:v>1.6018143931575139E-2</c:v>
                </c:pt>
                <c:pt idx="40">
                  <c:v>1.6816507995922492E-2</c:v>
                </c:pt>
                <c:pt idx="41">
                  <c:v>1.7633891832669665E-2</c:v>
                </c:pt>
                <c:pt idx="42">
                  <c:v>1.8470261051620158E-2</c:v>
                </c:pt>
                <c:pt idx="43">
                  <c:v>1.9325580522963764E-2</c:v>
                </c:pt>
                <c:pt idx="44">
                  <c:v>2.0199814378712256E-2</c:v>
                </c:pt>
                <c:pt idx="45">
                  <c:v>2.1092926014163946E-2</c:v>
                </c:pt>
                <c:pt idx="46">
                  <c:v>2.200487808939678E-2</c:v>
                </c:pt>
                <c:pt idx="47">
                  <c:v>2.2935632530791509E-2</c:v>
                </c:pt>
                <c:pt idx="48">
                  <c:v>2.3885150532583357E-2</c:v>
                </c:pt>
                <c:pt idx="49">
                  <c:v>2.4853392558443002E-2</c:v>
                </c:pt>
                <c:pt idx="50">
                  <c:v>2.5840318343087927E-2</c:v>
                </c:pt>
                <c:pt idx="51">
                  <c:v>2.6845886893922019E-2</c:v>
                </c:pt>
                <c:pt idx="52">
                  <c:v>2.7870056492706238E-2</c:v>
                </c:pt>
                <c:pt idx="53">
                  <c:v>2.8912784697257957E-2</c:v>
                </c:pt>
                <c:pt idx="54">
                  <c:v>2.9974028343180796E-2</c:v>
                </c:pt>
                <c:pt idx="55">
                  <c:v>3.105374354562453E-2</c:v>
                </c:pt>
                <c:pt idx="56">
                  <c:v>3.2151885701074599E-2</c:v>
                </c:pt>
                <c:pt idx="57">
                  <c:v>3.3268409489172542E-2</c:v>
                </c:pt>
                <c:pt idx="58">
                  <c:v>3.4403268874566011E-2</c:v>
                </c:pt>
                <c:pt idx="59">
                  <c:v>3.5556417108789838E-2</c:v>
                </c:pt>
                <c:pt idx="60">
                  <c:v>3.6727806732177105E-2</c:v>
                </c:pt>
                <c:pt idx="61">
                  <c:v>3.7917389575801382E-2</c:v>
                </c:pt>
                <c:pt idx="62">
                  <c:v>3.9125116763448868E-2</c:v>
                </c:pt>
                <c:pt idx="63">
                  <c:v>4.0350938713622331E-2</c:v>
                </c:pt>
                <c:pt idx="64">
                  <c:v>4.1594805141574917E-2</c:v>
                </c:pt>
                <c:pt idx="65">
                  <c:v>4.2856665061375643E-2</c:v>
                </c:pt>
                <c:pt idx="66">
                  <c:v>4.4136466788005681E-2</c:v>
                </c:pt>
                <c:pt idx="67">
                  <c:v>4.5434157939485492E-2</c:v>
                </c:pt>
                <c:pt idx="68">
                  <c:v>4.6749685439033663E-2</c:v>
                </c:pt>
                <c:pt idx="69">
                  <c:v>4.8082995517256429E-2</c:v>
                </c:pt>
                <c:pt idx="70">
                  <c:v>4.9434033714369059E-2</c:v>
                </c:pt>
                <c:pt idx="71">
                  <c:v>5.0802744882448334E-2</c:v>
                </c:pt>
                <c:pt idx="72">
                  <c:v>5.2189073187716123E-2</c:v>
                </c:pt>
                <c:pt idx="73">
                  <c:v>5.3592962112855275E-2</c:v>
                </c:pt>
                <c:pt idx="74">
                  <c:v>5.5014354459356263E-2</c:v>
                </c:pt>
                <c:pt idx="75">
                  <c:v>5.6453192349895688E-2</c:v>
                </c:pt>
                <c:pt idx="76">
                  <c:v>5.7909417230746552E-2</c:v>
                </c:pt>
                <c:pt idx="77">
                  <c:v>5.9382969874219711E-2</c:v>
                </c:pt>
                <c:pt idx="78">
                  <c:v>6.0873790381137612E-2</c:v>
                </c:pt>
                <c:pt idx="79">
                  <c:v>6.2381818183339099E-2</c:v>
                </c:pt>
                <c:pt idx="80">
                  <c:v>6.3906992046216374E-2</c:v>
                </c:pt>
                <c:pt idx="81">
                  <c:v>6.5449250071283258E-2</c:v>
                </c:pt>
                <c:pt idx="82">
                  <c:v>6.7008529698775562E-2</c:v>
                </c:pt>
                <c:pt idx="83">
                  <c:v>6.858476771028281E-2</c:v>
                </c:pt>
                <c:pt idx="84">
                  <c:v>7.0177900231411933E-2</c:v>
                </c:pt>
                <c:pt idx="85">
                  <c:v>7.1787862734482413E-2</c:v>
                </c:pt>
                <c:pt idx="86">
                  <c:v>7.3414590041253031E-2</c:v>
                </c:pt>
                <c:pt idx="87">
                  <c:v>7.5058016325680654E-2</c:v>
                </c:pt>
                <c:pt idx="88">
                  <c:v>7.6718075116710027E-2</c:v>
                </c:pt>
                <c:pt idx="89">
                  <c:v>7.8394699301095563E-2</c:v>
                </c:pt>
                <c:pt idx="90">
                  <c:v>8.0087821126254177E-2</c:v>
                </c:pt>
                <c:pt idx="91">
                  <c:v>8.1797372203149948E-2</c:v>
                </c:pt>
                <c:pt idx="92">
                  <c:v>8.3523283509210178E-2</c:v>
                </c:pt>
                <c:pt idx="93">
                  <c:v>8.52654853912721E-2</c:v>
                </c:pt>
                <c:pt idx="94">
                  <c:v>8.7023907568561445E-2</c:v>
                </c:pt>
                <c:pt idx="95">
                  <c:v>8.8798479135701797E-2</c:v>
                </c:pt>
                <c:pt idx="96">
                  <c:v>9.0589128565755211E-2</c:v>
                </c:pt>
                <c:pt idx="97">
                  <c:v>9.2395783713293461E-2</c:v>
                </c:pt>
                <c:pt idx="98">
                  <c:v>9.4218371817500021E-2</c:v>
                </c:pt>
                <c:pt idx="99">
                  <c:v>9.6056819505303231E-2</c:v>
                </c:pt>
                <c:pt idx="100">
                  <c:v>9.7911052794539349E-2</c:v>
                </c:pt>
                <c:pt idx="101">
                  <c:v>9.9780997097146384E-2</c:v>
                </c:pt>
                <c:pt idx="102">
                  <c:v>0.10166657722238839</c:v>
                </c:pt>
                <c:pt idx="103">
                  <c:v>0.10356771738010929</c:v>
                </c:pt>
                <c:pt idx="104">
                  <c:v>0.10548434118401687</c:v>
                </c:pt>
                <c:pt idx="105">
                  <c:v>0.1074163716549969</c:v>
                </c:pt>
                <c:pt idx="106">
                  <c:v>0.10936373122445633</c:v>
                </c:pt>
                <c:pt idx="107">
                  <c:v>0.11132634173769637</c:v>
                </c:pt>
                <c:pt idx="108">
                  <c:v>0.11330412445731419</c:v>
                </c:pt>
                <c:pt idx="109">
                  <c:v>0.11529700006663397</c:v>
                </c:pt>
                <c:pt idx="110">
                  <c:v>0.11730488867316717</c:v>
                </c:pt>
                <c:pt idx="111">
                  <c:v>0.11932770981210009</c:v>
                </c:pt>
                <c:pt idx="112">
                  <c:v>0.12136538244981125</c:v>
                </c:pt>
                <c:pt idx="113">
                  <c:v>0.12341782498741588</c:v>
                </c:pt>
                <c:pt idx="114">
                  <c:v>0.12548495526433845</c:v>
                </c:pt>
                <c:pt idx="115">
                  <c:v>0.12756669056191292</c:v>
                </c:pt>
                <c:pt idx="116">
                  <c:v>0.12966294760701041</c:v>
                </c:pt>
                <c:pt idx="117">
                  <c:v>0.13177364257569335</c:v>
                </c:pt>
                <c:pt idx="118">
                  <c:v>0.13389869109689731</c:v>
                </c:pt>
                <c:pt idx="119">
                  <c:v>0.13603800825613813</c:v>
                </c:pt>
                <c:pt idx="120">
                  <c:v>0.13819150859924639</c:v>
                </c:pt>
                <c:pt idx="121">
                  <c:v>0.14035910613612684</c:v>
                </c:pt>
                <c:pt idx="122">
                  <c:v>0.14254071434454371</c:v>
                </c:pt>
                <c:pt idx="123">
                  <c:v>0.14473624617393138</c:v>
                </c:pt>
                <c:pt idx="124">
                  <c:v>0.14694561404922973</c:v>
                </c:pt>
                <c:pt idx="125">
                  <c:v>0.14916872987474394</c:v>
                </c:pt>
                <c:pt idx="126">
                  <c:v>0.15140550503802866</c:v>
                </c:pt>
                <c:pt idx="127">
                  <c:v>0.15365585041379581</c:v>
                </c:pt>
                <c:pt idx="128">
                  <c:v>0.15591967636784626</c:v>
                </c:pt>
                <c:pt idx="129">
                  <c:v>0.15819689276102411</c:v>
                </c:pt>
                <c:pt idx="130">
                  <c:v>0.16048740895319366</c:v>
                </c:pt>
                <c:pt idx="131">
                  <c:v>0.16279113380723934</c:v>
                </c:pt>
                <c:pt idx="132">
                  <c:v>0.16510797569308644</c:v>
                </c:pt>
                <c:pt idx="133">
                  <c:v>0.16743784249174476</c:v>
                </c:pt>
                <c:pt idx="134">
                  <c:v>0.16978064159937215</c:v>
                </c:pt>
                <c:pt idx="135">
                  <c:v>0.1721362799313591</c:v>
                </c:pt>
                <c:pt idx="136">
                  <c:v>0.17450466392643421</c:v>
                </c:pt>
                <c:pt idx="137">
                  <c:v>0.17688569955078826</c:v>
                </c:pt>
                <c:pt idx="138">
                  <c:v>0.17927929230221876</c:v>
                </c:pt>
                <c:pt idx="139">
                  <c:v>0.18168534721429302</c:v>
                </c:pt>
                <c:pt idx="140">
                  <c:v>0.18410376886052954</c:v>
                </c:pt>
                <c:pt idx="141">
                  <c:v>0.18653446135859778</c:v>
                </c:pt>
                <c:pt idx="142">
                  <c:v>0.18897732837453513</c:v>
                </c:pt>
                <c:pt idx="143">
                  <c:v>0.19143227312698108</c:v>
                </c:pt>
                <c:pt idx="144">
                  <c:v>0.19389919839142844</c:v>
                </c:pt>
                <c:pt idx="145">
                  <c:v>0.19637800650449003</c:v>
                </c:pt>
                <c:pt idx="146">
                  <c:v>0.19886859936818133</c:v>
                </c:pt>
                <c:pt idx="147">
                  <c:v>0.20137087845421853</c:v>
                </c:pt>
                <c:pt idx="148">
                  <c:v>0.20388474480833044</c:v>
                </c:pt>
                <c:pt idx="149">
                  <c:v>0.20641009905458588</c:v>
                </c:pt>
                <c:pt idx="150">
                  <c:v>0.20894684139973341</c:v>
                </c:pt>
                <c:pt idx="151">
                  <c:v>0.21149487163755484</c:v>
                </c:pt>
                <c:pt idx="152">
                  <c:v>0.21405408915323151</c:v>
                </c:pt>
                <c:pt idx="153">
                  <c:v>0.2166243929277222</c:v>
                </c:pt>
                <c:pt idx="154">
                  <c:v>0.21920568154215306</c:v>
                </c:pt>
                <c:pt idx="155">
                  <c:v>0.22179785318221865</c:v>
                </c:pt>
                <c:pt idx="156">
                  <c:v>0.22440080564259279</c:v>
                </c:pt>
                <c:pt idx="157">
                  <c:v>0.22701443633135071</c:v>
                </c:pt>
                <c:pt idx="158">
                  <c:v>0.22963864227439937</c:v>
                </c:pt>
                <c:pt idx="159">
                  <c:v>0.23227332011991755</c:v>
                </c:pt>
                <c:pt idx="160">
                  <c:v>0.23491836614280426</c:v>
                </c:pt>
                <c:pt idx="161">
                  <c:v>0.23757367624913475</c:v>
                </c:pt>
                <c:pt idx="162">
                  <c:v>0.24023914598062399</c:v>
                </c:pt>
                <c:pt idx="163">
                  <c:v>0.24291467051909718</c:v>
                </c:pt>
                <c:pt idx="164">
                  <c:v>0.24560014469096619</c:v>
                </c:pt>
                <c:pt idx="165">
                  <c:v>0.24829546297171165</c:v>
                </c:pt>
                <c:pt idx="166">
                  <c:v>0.251000519490371</c:v>
                </c:pt>
                <c:pt idx="167">
                  <c:v>0.25371520803402997</c:v>
                </c:pt>
                <c:pt idx="168">
                  <c:v>0.25643942205231923</c:v>
                </c:pt>
                <c:pt idx="169">
                  <c:v>0.25917305466191415</c:v>
                </c:pt>
                <c:pt idx="170">
                  <c:v>0.26191599865103693</c:v>
                </c:pt>
                <c:pt idx="171">
                  <c:v>0.26466814648396297</c:v>
                </c:pt>
                <c:pt idx="172">
                  <c:v>0.26742939030552715</c:v>
                </c:pt>
                <c:pt idx="173">
                  <c:v>0.27019962194563274</c:v>
                </c:pt>
                <c:pt idx="174">
                  <c:v>0.27297873292376112</c:v>
                </c:pt>
                <c:pt idx="175">
                  <c:v>0.275766614453481</c:v>
                </c:pt>
                <c:pt idx="176">
                  <c:v>0.27856315744695859</c:v>
                </c:pt>
                <c:pt idx="177">
                  <c:v>0.28136825251946634</c:v>
                </c:pt>
                <c:pt idx="178">
                  <c:v>0.28418178999389015</c:v>
                </c:pt>
                <c:pt idx="179">
                  <c:v>0.28700365990523613</c:v>
                </c:pt>
                <c:pt idx="180">
                  <c:v>0.28983375200513328</c:v>
                </c:pt>
                <c:pt idx="181">
                  <c:v>0.29267195576633487</c:v>
                </c:pt>
                <c:pt idx="182">
                  <c:v>0.29551816038721596</c:v>
                </c:pt>
                <c:pt idx="183">
                  <c:v>0.29837225479626678</c:v>
                </c:pt>
                <c:pt idx="184">
                  <c:v>0.30123412765658236</c:v>
                </c:pt>
                <c:pt idx="185">
                  <c:v>0.30410366737034705</c:v>
                </c:pt>
                <c:pt idx="186">
                  <c:v>0.30698076208331387</c:v>
                </c:pt>
                <c:pt idx="187">
                  <c:v>0.30986529968927828</c:v>
                </c:pt>
                <c:pt idx="188">
                  <c:v>0.31275716783454499</c:v>
                </c:pt>
                <c:pt idx="189">
                  <c:v>0.31565625392238905</c:v>
                </c:pt>
                <c:pt idx="190">
                  <c:v>0.31856244511750925</c:v>
                </c:pt>
                <c:pt idx="191">
                  <c:v>0.32147562835047333</c:v>
                </c:pt>
                <c:pt idx="192">
                  <c:v>0.32439569032215648</c:v>
                </c:pt>
                <c:pt idx="193">
                  <c:v>0.32732251750816993</c:v>
                </c:pt>
                <c:pt idx="194">
                  <c:v>0.33025599616328138</c:v>
                </c:pt>
                <c:pt idx="195">
                  <c:v>0.33319601232582602</c:v>
                </c:pt>
                <c:pt idx="196">
                  <c:v>0.33614245182210695</c:v>
                </c:pt>
                <c:pt idx="197">
                  <c:v>0.33909520027078655</c:v>
                </c:pt>
                <c:pt idx="198">
                  <c:v>0.34205414308726656</c:v>
                </c:pt>
                <c:pt idx="199">
                  <c:v>0.34501916548805678</c:v>
                </c:pt>
                <c:pt idx="200">
                  <c:v>0.34799015249513349</c:v>
                </c:pt>
                <c:pt idx="201">
                  <c:v>0.35096698894028472</c:v>
                </c:pt>
                <c:pt idx="202">
                  <c:v>0.35394955946944479</c:v>
                </c:pt>
                <c:pt idx="203">
                  <c:v>0.35693774854701504</c:v>
                </c:pt>
                <c:pt idx="204">
                  <c:v>0.35993144046017284</c:v>
                </c:pt>
                <c:pt idx="205">
                  <c:v>0.36293051932316645</c:v>
                </c:pt>
                <c:pt idx="206">
                  <c:v>0.36593486908159706</c:v>
                </c:pt>
                <c:pt idx="207">
                  <c:v>0.36894437351668674</c:v>
                </c:pt>
                <c:pt idx="208">
                  <c:v>0.37195891624953276</c:v>
                </c:pt>
                <c:pt idx="209">
                  <c:v>0.37497838074534584</c:v>
                </c:pt>
                <c:pt idx="210">
                  <c:v>0.37800265031767655</c:v>
                </c:pt>
                <c:pt idx="211">
                  <c:v>0.38103160813262366</c:v>
                </c:pt>
                <c:pt idx="212">
                  <c:v>0.38406513721302976</c:v>
                </c:pt>
                <c:pt idx="213">
                  <c:v>0.38710312044265982</c:v>
                </c:pt>
                <c:pt idx="214">
                  <c:v>0.39014544057036493</c:v>
                </c:pt>
                <c:pt idx="215">
                  <c:v>0.39319198021422941</c:v>
                </c:pt>
                <c:pt idx="216">
                  <c:v>0.39624262186570264</c:v>
                </c:pt>
                <c:pt idx="217">
                  <c:v>0.39929724789371351</c:v>
                </c:pt>
                <c:pt idx="218">
                  <c:v>0.40235574054876944</c:v>
                </c:pt>
                <c:pt idx="219">
                  <c:v>0.40541798196703821</c:v>
                </c:pt>
                <c:pt idx="220">
                  <c:v>0.40848385417441219</c:v>
                </c:pt>
                <c:pt idx="221">
                  <c:v>0.41155323909055741</c:v>
                </c:pt>
                <c:pt idx="222">
                  <c:v>0.41462601853294345</c:v>
                </c:pt>
                <c:pt idx="223">
                  <c:v>0.41770207422085742</c:v>
                </c:pt>
                <c:pt idx="224">
                  <c:v>0.42078128777940021</c:v>
                </c:pt>
                <c:pt idx="225">
                  <c:v>0.42386354074346533</c:v>
                </c:pt>
                <c:pt idx="226">
                  <c:v>0.42694871456169986</c:v>
                </c:pt>
                <c:pt idx="227">
                  <c:v>0.43003669060044791</c:v>
                </c:pt>
                <c:pt idx="228">
                  <c:v>0.43312735014767728</c:v>
                </c:pt>
                <c:pt idx="229">
                  <c:v>0.43622057441688711</c:v>
                </c:pt>
                <c:pt idx="230">
                  <c:v>0.43931624455099871</c:v>
                </c:pt>
                <c:pt idx="231">
                  <c:v>0.44241424162622806</c:v>
                </c:pt>
                <c:pt idx="232">
                  <c:v>0.44551444665594081</c:v>
                </c:pt>
                <c:pt idx="233">
                  <c:v>0.44861674059449036</c:v>
                </c:pt>
                <c:pt idx="234">
                  <c:v>0.4517210043410364</c:v>
                </c:pt>
                <c:pt idx="235">
                  <c:v>0.45482711874334752</c:v>
                </c:pt>
                <c:pt idx="236">
                  <c:v>0.45793496460158545</c:v>
                </c:pt>
                <c:pt idx="237">
                  <c:v>0.46104442267207141</c:v>
                </c:pt>
                <c:pt idx="238">
                  <c:v>0.46415537367103599</c:v>
                </c:pt>
                <c:pt idx="239">
                  <c:v>0.46726769827835085</c:v>
                </c:pt>
                <c:pt idx="240">
                  <c:v>0.47038127714124339</c:v>
                </c:pt>
                <c:pt idx="241">
                  <c:v>0.47349599087799443</c:v>
                </c:pt>
                <c:pt idx="242">
                  <c:v>0.47661172008161851</c:v>
                </c:pt>
                <c:pt idx="243">
                  <c:v>0.47972834532352748</c:v>
                </c:pt>
                <c:pt idx="244">
                  <c:v>0.48284574715717832</c:v>
                </c:pt>
                <c:pt idx="245">
                  <c:v>0.48596380612170248</c:v>
                </c:pt>
                <c:pt idx="246">
                  <c:v>0.48908240274552089</c:v>
                </c:pt>
                <c:pt idx="247">
                  <c:v>0.4922014175499414</c:v>
                </c:pt>
                <c:pt idx="248">
                  <c:v>0.49532073105274099</c:v>
                </c:pt>
                <c:pt idx="249">
                  <c:v>0.49844022377173219</c:v>
                </c:pt>
                <c:pt idx="250">
                  <c:v>0.50155977622845205</c:v>
                </c:pt>
                <c:pt idx="251">
                  <c:v>0.50467926896217785</c:v>
                </c:pt>
                <c:pt idx="252">
                  <c:v>0.50779858256506394</c:v>
                </c:pt>
                <c:pt idx="253">
                  <c:v>0.51091759769583789</c:v>
                </c:pt>
                <c:pt idx="254">
                  <c:v>0.51403619508306952</c:v>
                </c:pt>
                <c:pt idx="255">
                  <c:v>0.51715425552825323</c:v>
                </c:pt>
                <c:pt idx="256">
                  <c:v>0.52027165990884194</c:v>
                </c:pt>
                <c:pt idx="257">
                  <c:v>0.52338828918123603</c:v>
                </c:pt>
                <c:pt idx="258">
                  <c:v>0.52650402438372246</c:v>
                </c:pt>
                <c:pt idx="259">
                  <c:v>0.52961874663937158</c:v>
                </c:pt>
                <c:pt idx="260">
                  <c:v>0.53273233715888491</c:v>
                </c:pt>
                <c:pt idx="261">
                  <c:v>0.53584467724340124</c:v>
                </c:pt>
                <c:pt idx="262">
                  <c:v>0.53895564828725728</c:v>
                </c:pt>
                <c:pt idx="263">
                  <c:v>0.54206513178070448</c:v>
                </c:pt>
                <c:pt idx="264">
                  <c:v>0.54517300931258628</c:v>
                </c:pt>
                <c:pt idx="265">
                  <c:v>0.54827916257297005</c:v>
                </c:pt>
                <c:pt idx="266">
                  <c:v>0.55138347335574123</c:v>
                </c:pt>
                <c:pt idx="267">
                  <c:v>0.55448582356115572</c:v>
                </c:pt>
                <c:pt idx="268">
                  <c:v>0.55758609519835467</c:v>
                </c:pt>
                <c:pt idx="269">
                  <c:v>0.56068417038783924</c:v>
                </c:pt>
                <c:pt idx="270">
                  <c:v>0.56377993136391047</c:v>
                </c:pt>
                <c:pt idx="271">
                  <c:v>0.56687326047707154</c:v>
                </c:pt>
                <c:pt idx="272">
                  <c:v>0.56996404019639535</c:v>
                </c:pt>
                <c:pt idx="273">
                  <c:v>0.57305215311185687</c:v>
                </c:pt>
                <c:pt idx="274">
                  <c:v>0.57613748193663439</c:v>
                </c:pt>
                <c:pt idx="275">
                  <c:v>0.57921990950937685</c:v>
                </c:pt>
                <c:pt idx="276">
                  <c:v>0.5822993187964417</c:v>
                </c:pt>
                <c:pt idx="277">
                  <c:v>0.5853755928941009</c:v>
                </c:pt>
                <c:pt idx="278">
                  <c:v>0.58844861503072099</c:v>
                </c:pt>
                <c:pt idx="279">
                  <c:v>0.59151826856891254</c:v>
                </c:pt>
                <c:pt idx="280">
                  <c:v>0.59458443700765595</c:v>
                </c:pt>
                <c:pt idx="281">
                  <c:v>0.59764700398440029</c:v>
                </c:pt>
                <c:pt idx="282">
                  <c:v>0.60070585327713888</c:v>
                </c:pt>
                <c:pt idx="283">
                  <c:v>0.60376086880646229</c:v>
                </c:pt>
                <c:pt idx="284">
                  <c:v>0.60681193463758865</c:v>
                </c:pt>
                <c:pt idx="285">
                  <c:v>0.60985893498237598</c:v>
                </c:pt>
                <c:pt idx="286">
                  <c:v>0.61290175420131332</c:v>
                </c:pt>
                <c:pt idx="287">
                  <c:v>0.61594027680549579</c:v>
                </c:pt>
                <c:pt idx="288">
                  <c:v>0.61897438745858224</c:v>
                </c:pt>
                <c:pt idx="289">
                  <c:v>0.62200397097873861</c:v>
                </c:pt>
                <c:pt idx="290">
                  <c:v>0.62502891234056757</c:v>
                </c:pt>
                <c:pt idx="291">
                  <c:v>0.62804909667702524</c:v>
                </c:pt>
                <c:pt idx="292">
                  <c:v>0.63106440928132779</c:v>
                </c:pt>
                <c:pt idx="293">
                  <c:v>0.63407473560884775</c:v>
                </c:pt>
                <c:pt idx="294">
                  <c:v>0.63707996127900268</c:v>
                </c:pt>
                <c:pt idx="295">
                  <c:v>0.64007997207713574</c:v>
                </c:pt>
                <c:pt idx="296">
                  <c:v>0.64307465395639318</c:v>
                </c:pt>
                <c:pt idx="297">
                  <c:v>0.64606389303959544</c:v>
                </c:pt>
                <c:pt idx="298">
                  <c:v>0.6490475756211066</c:v>
                </c:pt>
                <c:pt idx="299">
                  <c:v>0.65202558816870271</c:v>
                </c:pt>
                <c:pt idx="300">
                  <c:v>0.65499781732543993</c:v>
                </c:pt>
                <c:pt idx="301">
                  <c:v>0.65796414991152397</c:v>
                </c:pt>
                <c:pt idx="302">
                  <c:v>0.66092447292618373</c:v>
                </c:pt>
                <c:pt idx="303">
                  <c:v>0.66387867354954788</c:v>
                </c:pt>
                <c:pt idx="304">
                  <c:v>0.66682663914452767</c:v>
                </c:pt>
                <c:pt idx="305">
                  <c:v>0.6697682572587077</c:v>
                </c:pt>
                <c:pt idx="306">
                  <c:v>0.67270341562624414</c:v>
                </c:pt>
                <c:pt idx="307">
                  <c:v>0.67563200216977393</c:v>
                </c:pt>
                <c:pt idx="308">
                  <c:v>0.6785539050023347</c:v>
                </c:pt>
                <c:pt idx="309">
                  <c:v>0.68146901242929847</c:v>
                </c:pt>
                <c:pt idx="310">
                  <c:v>0.68437721295031761</c:v>
                </c:pt>
                <c:pt idx="311">
                  <c:v>0.68727839526128842</c:v>
                </c:pt>
                <c:pt idx="312">
                  <c:v>0.69017244825633095</c:v>
                </c:pt>
                <c:pt idx="313">
                  <c:v>0.69305926102978666</c:v>
                </c:pt>
                <c:pt idx="314">
                  <c:v>0.6959387228782361</c:v>
                </c:pt>
                <c:pt idx="315">
                  <c:v>0.6988107233025378</c:v>
                </c:pt>
                <c:pt idx="316">
                  <c:v>0.70167515200988861</c:v>
                </c:pt>
                <c:pt idx="317">
                  <c:v>0.70453189891590884</c:v>
                </c:pt>
                <c:pt idx="318">
                  <c:v>0.70738085414675234</c:v>
                </c:pt>
                <c:pt idx="319">
                  <c:v>0.71022190804124041</c:v>
                </c:pt>
                <c:pt idx="320">
                  <c:v>0.71305495115302731</c:v>
                </c:pt>
                <c:pt idx="321">
                  <c:v>0.71587987425279032</c:v>
                </c:pt>
                <c:pt idx="322">
                  <c:v>0.71869656833045303</c:v>
                </c:pt>
                <c:pt idx="323">
                  <c:v>0.72150492459743776</c:v>
                </c:pt>
                <c:pt idx="324">
                  <c:v>0.72430483448895144</c:v>
                </c:pt>
                <c:pt idx="325">
                  <c:v>0.72709618966630518</c:v>
                </c:pt>
                <c:pt idx="326">
                  <c:v>0.72987888201926732</c:v>
                </c:pt>
                <c:pt idx="327">
                  <c:v>0.73265280366845442</c:v>
                </c:pt>
                <c:pt idx="328">
                  <c:v>0.73541784696775614</c:v>
                </c:pt>
                <c:pt idx="329">
                  <c:v>0.73817390450680309</c:v>
                </c:pt>
                <c:pt idx="330">
                  <c:v>0.74092086911346788</c:v>
                </c:pt>
                <c:pt idx="331">
                  <c:v>0.74365863385641173</c:v>
                </c:pt>
                <c:pt idx="332">
                  <c:v>0.74638709204766862</c:v>
                </c:pt>
                <c:pt idx="333">
                  <c:v>0.74910613724527353</c:v>
                </c:pt>
                <c:pt idx="334">
                  <c:v>0.75181566325593396</c:v>
                </c:pt>
                <c:pt idx="335">
                  <c:v>0.75451556413774346</c:v>
                </c:pt>
                <c:pt idx="336">
                  <c:v>0.75720573420294357</c:v>
                </c:pt>
                <c:pt idx="337">
                  <c:v>0.75988606802072833</c:v>
                </c:pt>
                <c:pt idx="338">
                  <c:v>0.76255646042009884</c:v>
                </c:pt>
                <c:pt idx="339">
                  <c:v>0.76521680649276069</c:v>
                </c:pt>
                <c:pt idx="340">
                  <c:v>0.76786700159607657</c:v>
                </c:pt>
                <c:pt idx="341">
                  <c:v>0.7705069413560609</c:v>
                </c:pt>
                <c:pt idx="342">
                  <c:v>0.7731365216704299</c:v>
                </c:pt>
                <c:pt idx="343">
                  <c:v>0.77575563871169817</c:v>
                </c:pt>
                <c:pt idx="344">
                  <c:v>0.77836418893032955</c:v>
                </c:pt>
                <c:pt idx="345">
                  <c:v>0.78096206905793797</c:v>
                </c:pt>
                <c:pt idx="346">
                  <c:v>0.78354917611054109</c:v>
                </c:pt>
                <c:pt idx="347">
                  <c:v>0.78612540739186809</c:v>
                </c:pt>
                <c:pt idx="348">
                  <c:v>0.78869066049671854</c:v>
                </c:pt>
                <c:pt idx="349">
                  <c:v>0.791244833314378</c:v>
                </c:pt>
                <c:pt idx="350">
                  <c:v>0.79378782403208648</c:v>
                </c:pt>
                <c:pt idx="351">
                  <c:v>0.7963195311385618</c:v>
                </c:pt>
                <c:pt idx="352">
                  <c:v>0.79883985342757868</c:v>
                </c:pt>
                <c:pt idx="353">
                  <c:v>0.8013486900016038</c:v>
                </c:pt>
                <c:pt idx="354">
                  <c:v>0.80384594027548495</c:v>
                </c:pt>
                <c:pt idx="355">
                  <c:v>0.80633150398019859</c:v>
                </c:pt>
                <c:pt idx="356">
                  <c:v>0.80880528116665229</c:v>
                </c:pt>
                <c:pt idx="357">
                  <c:v>0.81126717220954425</c:v>
                </c:pt>
                <c:pt idx="358">
                  <c:v>0.81371707781127955</c:v>
                </c:pt>
                <c:pt idx="359">
                  <c:v>0.81615489900594196</c:v>
                </c:pt>
                <c:pt idx="360">
                  <c:v>0.81858053716332568</c:v>
                </c:pt>
                <c:pt idx="361">
                  <c:v>0.82099389399302003</c:v>
                </c:pt>
                <c:pt idx="362">
                  <c:v>0.82339487154855484</c:v>
                </c:pt>
                <c:pt idx="363">
                  <c:v>0.82578337223159914</c:v>
                </c:pt>
                <c:pt idx="364">
                  <c:v>0.82815929879621875</c:v>
                </c:pt>
                <c:pt idx="365">
                  <c:v>0.83052255435319111</c:v>
                </c:pt>
                <c:pt idx="366">
                  <c:v>0.83287304237437365</c:v>
                </c:pt>
                <c:pt idx="367">
                  <c:v>0.83521066669713162</c:v>
                </c:pt>
                <c:pt idx="368">
                  <c:v>0.8375353315288192</c:v>
                </c:pt>
                <c:pt idx="369">
                  <c:v>0.83984694145131922</c:v>
                </c:pt>
                <c:pt idx="370">
                  <c:v>0.84214540142563343</c:v>
                </c:pt>
                <c:pt idx="371">
                  <c:v>0.84443061679653408</c:v>
                </c:pt>
                <c:pt idx="372">
                  <c:v>0.84670249329726488</c:v>
                </c:pt>
                <c:pt idx="373">
                  <c:v>0.84896093705429831</c:v>
                </c:pt>
                <c:pt idx="374">
                  <c:v>0.85120585459214604</c:v>
                </c:pt>
                <c:pt idx="375">
                  <c:v>0.85343715283822197</c:v>
                </c:pt>
                <c:pt idx="376">
                  <c:v>0.85565473912775969</c:v>
                </c:pt>
                <c:pt idx="377">
                  <c:v>0.85785852120877815</c:v>
                </c:pt>
                <c:pt idx="378">
                  <c:v>0.8600484072471033</c:v>
                </c:pt>
                <c:pt idx="379">
                  <c:v>0.86222430583143517</c:v>
                </c:pt>
                <c:pt idx="380">
                  <c:v>0.86438612597846876</c:v>
                </c:pt>
                <c:pt idx="381">
                  <c:v>0.86653377713806179</c:v>
                </c:pt>
                <c:pt idx="382">
                  <c:v>0.86866716919845188</c:v>
                </c:pt>
                <c:pt idx="383">
                  <c:v>0.87078621249151922</c:v>
                </c:pt>
                <c:pt idx="384">
                  <c:v>0.87289081779809852</c:v>
                </c:pt>
                <c:pt idx="385">
                  <c:v>0.87498089635333332</c:v>
                </c:pt>
                <c:pt idx="386">
                  <c:v>0.87705635985207719</c:v>
                </c:pt>
                <c:pt idx="387">
                  <c:v>0.87911712045433876</c:v>
                </c:pt>
                <c:pt idx="388">
                  <c:v>0.88116309079076605</c:v>
                </c:pt>
                <c:pt idx="389">
                  <c:v>0.88319418396817639</c:v>
                </c:pt>
                <c:pt idx="390">
                  <c:v>0.88521031357512414</c:v>
                </c:pt>
                <c:pt idx="391">
                  <c:v>0.88721139368750834</c:v>
                </c:pt>
                <c:pt idx="392">
                  <c:v>0.88919733887421881</c:v>
                </c:pt>
                <c:pt idx="393">
                  <c:v>0.89116806420281791</c:v>
                </c:pt>
                <c:pt idx="394">
                  <c:v>0.89312348524525953</c:v>
                </c:pt>
                <c:pt idx="395">
                  <c:v>0.89506351808364171</c:v>
                </c:pt>
                <c:pt idx="396">
                  <c:v>0.89698807931599112</c:v>
                </c:pt>
                <c:pt idx="397">
                  <c:v>0.89889708606208107</c:v>
                </c:pt>
                <c:pt idx="398">
                  <c:v>0.90079045596927931</c:v>
                </c:pt>
                <c:pt idx="399">
                  <c:v>0.90266810721842372</c:v>
                </c:pt>
                <c:pt idx="400">
                  <c:v>0.90452995852972728</c:v>
                </c:pt>
                <c:pt idx="401">
                  <c:v>0.90637592916870657</c:v>
                </c:pt>
                <c:pt idx="402">
                  <c:v>0.90820593895213886</c:v>
                </c:pt>
                <c:pt idx="403">
                  <c:v>0.91001990825403667</c:v>
                </c:pt>
                <c:pt idx="404">
                  <c:v>0.91181775801164999</c:v>
                </c:pt>
                <c:pt idx="405">
                  <c:v>0.91359940973148279</c:v>
                </c:pt>
                <c:pt idx="406">
                  <c:v>0.91536478549533207</c:v>
                </c:pt>
                <c:pt idx="407">
                  <c:v>0.91711380796634179</c:v>
                </c:pt>
                <c:pt idx="408">
                  <c:v>0.91884640039507148</c:v>
                </c:pt>
                <c:pt idx="409">
                  <c:v>0.92056248662558016</c:v>
                </c:pt>
                <c:pt idx="410">
                  <c:v>0.92226199110151963</c:v>
                </c:pt>
                <c:pt idx="411">
                  <c:v>0.92394483887223999</c:v>
                </c:pt>
                <c:pt idx="412">
                  <c:v>0.92561095559890172</c:v>
                </c:pt>
                <c:pt idx="413">
                  <c:v>0.92726026756059632</c:v>
                </c:pt>
                <c:pt idx="414">
                  <c:v>0.92889270166046922</c:v>
                </c:pt>
                <c:pt idx="415">
                  <c:v>0.93050818543184832</c:v>
                </c:pt>
                <c:pt idx="416">
                  <c:v>0.93210664704437218</c:v>
                </c:pt>
                <c:pt idx="417">
                  <c:v>0.93368801531011791</c:v>
                </c:pt>
                <c:pt idx="418">
                  <c:v>0.93525221968972716</c:v>
                </c:pt>
                <c:pt idx="419">
                  <c:v>0.93679919029852698</c:v>
                </c:pt>
                <c:pt idx="420">
                  <c:v>0.9383288579126462</c:v>
                </c:pt>
                <c:pt idx="421">
                  <c:v>0.93984115397512136</c:v>
                </c:pt>
                <c:pt idx="422">
                  <c:v>0.94133601060199601</c:v>
                </c:pt>
                <c:pt idx="423">
                  <c:v>0.94281336058840504</c:v>
                </c:pt>
                <c:pt idx="424">
                  <c:v>0.94427313741464769</c:v>
                </c:pt>
                <c:pt idx="425">
                  <c:v>0.94571527525224386</c:v>
                </c:pt>
                <c:pt idx="426">
                  <c:v>0.94713970896997335</c:v>
                </c:pt>
                <c:pt idx="427">
                  <c:v>0.94854637413989618</c:v>
                </c:pt>
                <c:pt idx="428">
                  <c:v>0.94993520704335022</c:v>
                </c:pt>
                <c:pt idx="429">
                  <c:v>0.95130614467692742</c:v>
                </c:pt>
                <c:pt idx="430">
                  <c:v>0.95265912475842351</c:v>
                </c:pt>
                <c:pt idx="431">
                  <c:v>0.95399408573276123</c:v>
                </c:pt>
                <c:pt idx="432">
                  <c:v>0.95531096677788374</c:v>
                </c:pt>
                <c:pt idx="433">
                  <c:v>0.95660970781061849</c:v>
                </c:pt>
                <c:pt idx="434">
                  <c:v>0.95789024949250678</c:v>
                </c:pt>
                <c:pt idx="435">
                  <c:v>0.95915253323559913</c:v>
                </c:pt>
                <c:pt idx="436">
                  <c:v>0.9603965012082134</c:v>
                </c:pt>
                <c:pt idx="437">
                  <c:v>0.96162209634065521</c:v>
                </c:pt>
                <c:pt idx="438">
                  <c:v>0.96282926233089616</c:v>
                </c:pt>
                <c:pt idx="439">
                  <c:v>0.96401794365020999</c:v>
                </c:pt>
                <c:pt idx="440">
                  <c:v>0.9651880855487659</c:v>
                </c:pt>
                <c:pt idx="441">
                  <c:v>0.9663396340611724</c:v>
                </c:pt>
                <c:pt idx="442">
                  <c:v>0.96747253601197558</c:v>
                </c:pt>
                <c:pt idx="443">
                  <c:v>0.96858673902110504</c:v>
                </c:pt>
                <c:pt idx="444">
                  <c:v>0.96968219150926993</c:v>
                </c:pt>
                <c:pt idx="445">
                  <c:v>0.97075884270329871</c:v>
                </c:pt>
                <c:pt idx="446">
                  <c:v>0.97181664264142475</c:v>
                </c:pt>
                <c:pt idx="447">
                  <c:v>0.97285554217851322</c:v>
                </c:pt>
                <c:pt idx="448">
                  <c:v>0.97387549299122944</c:v>
                </c:pt>
                <c:pt idx="449">
                  <c:v>0.97487644758314496</c:v>
                </c:pt>
                <c:pt idx="450">
                  <c:v>0.9758583592897806</c:v>
                </c:pt>
                <c:pt idx="451">
                  <c:v>0.97682118228358539</c:v>
                </c:pt>
                <c:pt idx="452">
                  <c:v>0.97776487157884839</c:v>
                </c:pt>
                <c:pt idx="453">
                  <c:v>0.97868938303654096</c:v>
                </c:pt>
                <c:pt idx="454">
                  <c:v>0.9795946733690909</c:v>
                </c:pt>
                <c:pt idx="455">
                  <c:v>0.98048070014508315</c:v>
                </c:pt>
                <c:pt idx="456">
                  <c:v>0.98134742179388723</c:v>
                </c:pt>
                <c:pt idx="457">
                  <c:v>0.98219479761021</c:v>
                </c:pt>
                <c:pt idx="458">
                  <c:v>0.98302278775857077</c:v>
                </c:pt>
                <c:pt idx="459">
                  <c:v>0.98383135327769855</c:v>
                </c:pt>
                <c:pt idx="460">
                  <c:v>0.98462045608484883</c:v>
                </c:pt>
                <c:pt idx="461">
                  <c:v>0.98539005898003851</c:v>
                </c:pt>
                <c:pt idx="462">
                  <c:v>0.98614012565019815</c:v>
                </c:pt>
                <c:pt idx="463">
                  <c:v>0.98687062067323927</c:v>
                </c:pt>
                <c:pt idx="464">
                  <c:v>0.98758150952203549</c:v>
                </c:pt>
                <c:pt idx="465">
                  <c:v>0.98827275856831454</c:v>
                </c:pt>
                <c:pt idx="466">
                  <c:v>0.98894433508646507</c:v>
                </c:pt>
                <c:pt idx="467">
                  <c:v>0.9895962072572474</c:v>
                </c:pt>
                <c:pt idx="468">
                  <c:v>0.9902283441714177</c:v>
                </c:pt>
                <c:pt idx="469">
                  <c:v>0.99084071583325528</c:v>
                </c:pt>
                <c:pt idx="470">
                  <c:v>0.9914332931639972</c:v>
                </c:pt>
                <c:pt idx="471">
                  <c:v>0.992006048005176</c:v>
                </c:pt>
                <c:pt idx="472">
                  <c:v>0.99255895312186182</c:v>
                </c:pt>
                <c:pt idx="473">
                  <c:v>0.99309198220580452</c:v>
                </c:pt>
                <c:pt idx="474">
                  <c:v>0.99360510987847772</c:v>
                </c:pt>
                <c:pt idx="475">
                  <c:v>0.99409831169402163</c:v>
                </c:pt>
                <c:pt idx="476">
                  <c:v>0.99457156414208436</c:v>
                </c:pt>
                <c:pt idx="477">
                  <c:v>0.99502484465056107</c:v>
                </c:pt>
                <c:pt idx="478">
                  <c:v>0.99545813158822816</c:v>
                </c:pt>
                <c:pt idx="479">
                  <c:v>0.99587140426727383</c:v>
                </c:pt>
                <c:pt idx="480">
                  <c:v>0.99626464294572281</c:v>
                </c:pt>
                <c:pt idx="481">
                  <c:v>0.9966378288297536</c:v>
                </c:pt>
                <c:pt idx="482">
                  <c:v>0.99699094407591016</c:v>
                </c:pt>
                <c:pt idx="483">
                  <c:v>0.99732397179320253</c:v>
                </c:pt>
                <c:pt idx="484">
                  <c:v>0.99763689604510153</c:v>
                </c:pt>
                <c:pt idx="485">
                  <c:v>0.99792970185142038</c:v>
                </c:pt>
                <c:pt idx="486">
                  <c:v>0.99820237519008914</c:v>
                </c:pt>
                <c:pt idx="487">
                  <c:v>0.99845490299881512</c:v>
                </c:pt>
                <c:pt idx="488">
                  <c:v>0.99868727317663286</c:v>
                </c:pt>
                <c:pt idx="489">
                  <c:v>0.99889947458534123</c:v>
                </c:pt>
                <c:pt idx="490">
                  <c:v>0.99909149705082823</c:v>
                </c:pt>
                <c:pt idx="491">
                  <c:v>0.99926333136428125</c:v>
                </c:pt>
                <c:pt idx="492">
                  <c:v>0.99941496928328444</c:v>
                </c:pt>
                <c:pt idx="493">
                  <c:v>0.99954640353280089</c:v>
                </c:pt>
                <c:pt idx="494">
                  <c:v>0.99965762780604073</c:v>
                </c:pt>
                <c:pt idx="495">
                  <c:v>0.99974863676521353</c:v>
                </c:pt>
                <c:pt idx="496">
                  <c:v>0.99981942604216623</c:v>
                </c:pt>
                <c:pt idx="497">
                  <c:v>0.99986999223890505</c:v>
                </c:pt>
                <c:pt idx="498">
                  <c:v>0.99990033292800107</c:v>
                </c:pt>
                <c:pt idx="499">
                  <c:v>0.99991044665288109</c:v>
                </c:pt>
              </c:numCache>
            </c:numRef>
          </c:xVal>
          <c:yVal>
            <c:numRef>
              <c:f>Data5!$J$1:$J$500</c:f>
              <c:numCache>
                <c:formatCode>0.00000</c:formatCode>
                <c:ptCount val="500"/>
                <c:pt idx="0">
                  <c:v>0</c:v>
                </c:pt>
                <c:pt idx="1">
                  <c:v>-2.7778731407825683E-4</c:v>
                </c:pt>
                <c:pt idx="2">
                  <c:v>-5.5316591717325238E-4</c:v>
                </c:pt>
                <c:pt idx="3">
                  <c:v>-8.2613385511445304E-4</c:v>
                </c:pt>
                <c:pt idx="4">
                  <c:v>-1.0966894948073751E-3</c:v>
                </c:pt>
                <c:pt idx="5">
                  <c:v>-1.3648315239564992E-3</c:v>
                </c:pt>
                <c:pt idx="6">
                  <c:v>-1.6305589507058353E-3</c:v>
                </c:pt>
                <c:pt idx="7">
                  <c:v>-1.8938711031954074E-3</c:v>
                </c:pt>
                <c:pt idx="8">
                  <c:v>-2.1547676290357681E-3</c:v>
                </c:pt>
                <c:pt idx="9">
                  <c:v>-2.4132484946984599E-3</c:v>
                </c:pt>
                <c:pt idx="10">
                  <c:v>-2.6693139848251186E-3</c:v>
                </c:pt>
                <c:pt idx="11">
                  <c:v>-2.9229647014530655E-3</c:v>
                </c:pt>
                <c:pt idx="12">
                  <c:v>-3.1742015631598024E-3</c:v>
                </c:pt>
                <c:pt idx="13">
                  <c:v>-3.4230258041248085E-3</c:v>
                </c:pt>
                <c:pt idx="14">
                  <c:v>-3.6694389731100913E-3</c:v>
                </c:pt>
                <c:pt idx="15">
                  <c:v>-3.9134429323596544E-3</c:v>
                </c:pt>
                <c:pt idx="16">
                  <c:v>-4.1550398564177684E-3</c:v>
                </c:pt>
                <c:pt idx="17">
                  <c:v>-4.3942322308671124E-3</c:v>
                </c:pt>
                <c:pt idx="18">
                  <c:v>-4.6310228509861828E-3</c:v>
                </c:pt>
                <c:pt idx="19">
                  <c:v>-4.8654148203278284E-3</c:v>
                </c:pt>
                <c:pt idx="20">
                  <c:v>-5.0974115492178184E-3</c:v>
                </c:pt>
                <c:pt idx="21">
                  <c:v>-5.3270167531753046E-3</c:v>
                </c:pt>
                <c:pt idx="22">
                  <c:v>-5.5542344512544617E-3</c:v>
                </c:pt>
                <c:pt idx="23">
                  <c:v>-5.7790689643089192E-3</c:v>
                </c:pt>
                <c:pt idx="24">
                  <c:v>-6.0015249131787091E-3</c:v>
                </c:pt>
                <c:pt idx="25">
                  <c:v>-6.2216072168008122E-3</c:v>
                </c:pt>
                <c:pt idx="26">
                  <c:v>-6.4393210902436108E-3</c:v>
                </c:pt>
                <c:pt idx="27">
                  <c:v>-6.6546720426662286E-3</c:v>
                </c:pt>
                <c:pt idx="28">
                  <c:v>-6.8676658752028583E-3</c:v>
                </c:pt>
                <c:pt idx="29">
                  <c:v>-7.0783086787733753E-3</c:v>
                </c:pt>
                <c:pt idx="30">
                  <c:v>-7.2866068318204399E-3</c:v>
                </c:pt>
                <c:pt idx="31">
                  <c:v>-7.492566997974153E-3</c:v>
                </c:pt>
                <c:pt idx="32">
                  <c:v>-7.6961961236448242E-3</c:v>
                </c:pt>
                <c:pt idx="33">
                  <c:v>-7.8975014355446033E-3</c:v>
                </c:pt>
                <c:pt idx="34">
                  <c:v>-8.0964904381389258E-3</c:v>
                </c:pt>
                <c:pt idx="35">
                  <c:v>-8.2931709110284635E-3</c:v>
                </c:pt>
                <c:pt idx="36">
                  <c:v>-8.4875509062624695E-3</c:v>
                </c:pt>
                <c:pt idx="37">
                  <c:v>-8.6796387455842887E-3</c:v>
                </c:pt>
                <c:pt idx="38">
                  <c:v>-8.8694430176101176E-3</c:v>
                </c:pt>
                <c:pt idx="39">
                  <c:v>-9.0569725749416029E-3</c:v>
                </c:pt>
                <c:pt idx="40">
                  <c:v>-9.2422365312135202E-3</c:v>
                </c:pt>
                <c:pt idx="41">
                  <c:v>-9.4252442580772984E-3</c:v>
                </c:pt>
                <c:pt idx="42">
                  <c:v>-9.6060053821213978E-3</c:v>
                </c:pt>
                <c:pt idx="43">
                  <c:v>-9.7845297817294591E-3</c:v>
                </c:pt>
                <c:pt idx="44">
                  <c:v>-9.9608275838773911E-3</c:v>
                </c:pt>
                <c:pt idx="45">
                  <c:v>-1.0134909160870266E-2</c:v>
                </c:pt>
                <c:pt idx="46">
                  <c:v>-1.030678512702005E-2</c:v>
                </c:pt>
                <c:pt idx="47">
                  <c:v>-1.0476466335265501E-2</c:v>
                </c:pt>
                <c:pt idx="48">
                  <c:v>-1.0643963873734895E-2</c:v>
                </c:pt>
                <c:pt idx="49">
                  <c:v>-1.0809289062252985E-2</c:v>
                </c:pt>
                <c:pt idx="50">
                  <c:v>-1.0972453448793313E-2</c:v>
                </c:pt>
                <c:pt idx="51">
                  <c:v>-1.1133468805876708E-2</c:v>
                </c:pt>
                <c:pt idx="52">
                  <c:v>-1.1292347126917596E-2</c:v>
                </c:pt>
                <c:pt idx="53">
                  <c:v>-1.1449100622518771E-2</c:v>
                </c:pt>
                <c:pt idx="54">
                  <c:v>-1.1603741716716248E-2</c:v>
                </c:pt>
                <c:pt idx="55">
                  <c:v>-1.1756283043175112E-2</c:v>
                </c:pt>
                <c:pt idx="56">
                  <c:v>-1.1906737441337743E-2</c:v>
                </c:pt>
                <c:pt idx="57">
                  <c:v>-1.2055117952525552E-2</c:v>
                </c:pt>
                <c:pt idx="58">
                  <c:v>-1.220143781599552E-2</c:v>
                </c:pt>
                <c:pt idx="59">
                  <c:v>-1.2345710464952774E-2</c:v>
                </c:pt>
                <c:pt idx="60">
                  <c:v>-1.2487949522520511E-2</c:v>
                </c:pt>
                <c:pt idx="61">
                  <c:v>-1.2628168797668531E-2</c:v>
                </c:pt>
                <c:pt idx="62">
                  <c:v>-1.2766382281101636E-2</c:v>
                </c:pt>
                <c:pt idx="63">
                  <c:v>-1.2902604141109339E-2</c:v>
                </c:pt>
                <c:pt idx="64">
                  <c:v>-1.3036848719378035E-2</c:v>
                </c:pt>
                <c:pt idx="65">
                  <c:v>-1.316913052676711E-2</c:v>
                </c:pt>
                <c:pt idx="66">
                  <c:v>-1.3299464239050311E-2</c:v>
                </c:pt>
                <c:pt idx="67">
                  <c:v>-1.3427864692623585E-2</c:v>
                </c:pt>
                <c:pt idx="68">
                  <c:v>-1.3554346880181058E-2</c:v>
                </c:pt>
                <c:pt idx="69">
                  <c:v>-1.3678925946360221E-2</c:v>
                </c:pt>
                <c:pt idx="70">
                  <c:v>-1.38016171833579E-2</c:v>
                </c:pt>
                <c:pt idx="71">
                  <c:v>-1.3922436026518374E-2</c:v>
                </c:pt>
                <c:pt idx="72">
                  <c:v>-1.4041398049894972E-2</c:v>
                </c:pt>
                <c:pt idx="73">
                  <c:v>-1.4158518961786709E-2</c:v>
                </c:pt>
                <c:pt idx="74">
                  <c:v>-1.4273814600251192E-2</c:v>
                </c:pt>
                <c:pt idx="75">
                  <c:v>-1.4387300928595418E-2</c:v>
                </c:pt>
                <c:pt idx="76">
                  <c:v>-1.4498994030845791E-2</c:v>
                </c:pt>
                <c:pt idx="77">
                  <c:v>-1.4608910107198765E-2</c:v>
                </c:pt>
                <c:pt idx="78">
                  <c:v>-1.47170654694537E-2</c:v>
                </c:pt>
                <c:pt idx="79">
                  <c:v>-1.4823476536429278E-2</c:v>
                </c:pt>
                <c:pt idx="80">
                  <c:v>-1.4928159829364931E-2</c:v>
                </c:pt>
                <c:pt idx="81">
                  <c:v>-1.5031131967308795E-2</c:v>
                </c:pt>
                <c:pt idx="82">
                  <c:v>-1.513240966249366E-2</c:v>
                </c:pt>
                <c:pt idx="83">
                  <c:v>-1.5232009715702353E-2</c:v>
                </c:pt>
                <c:pt idx="84">
                  <c:v>-1.5329949011623989E-2</c:v>
                </c:pt>
                <c:pt idx="85">
                  <c:v>-1.5426244514202672E-2</c:v>
                </c:pt>
                <c:pt idx="86">
                  <c:v>-1.5520913261980053E-2</c:v>
                </c:pt>
                <c:pt idx="87">
                  <c:v>-1.5613972363433225E-2</c:v>
                </c:pt>
                <c:pt idx="88">
                  <c:v>-1.57054389923094E-2</c:v>
                </c:pt>
                <c:pt idx="89">
                  <c:v>-1.579533038295898E-2</c:v>
                </c:pt>
                <c:pt idx="90">
                  <c:v>-1.5883663825668293E-2</c:v>
                </c:pt>
                <c:pt idx="91">
                  <c:v>-1.5970456661993732E-2</c:v>
                </c:pt>
                <c:pt idx="92">
                  <c:v>-1.6055726280098492E-2</c:v>
                </c:pt>
                <c:pt idx="93">
                  <c:v>-1.6139490110093604E-2</c:v>
                </c:pt>
                <c:pt idx="94">
                  <c:v>-1.6221765619384609E-2</c:v>
                </c:pt>
                <c:pt idx="95">
                  <c:v>-1.6302570308025413E-2</c:v>
                </c:pt>
                <c:pt idx="96">
                  <c:v>-1.6381921704080777E-2</c:v>
                </c:pt>
                <c:pt idx="97">
                  <c:v>-1.6459837358998836E-2</c:v>
                </c:pt>
                <c:pt idx="98">
                  <c:v>-1.6536334842995205E-2</c:v>
                </c:pt>
                <c:pt idx="99">
                  <c:v>-1.6611431740450114E-2</c:v>
                </c:pt>
                <c:pt idx="100">
                  <c:v>-1.6685145645319879E-2</c:v>
                </c:pt>
                <c:pt idx="101">
                  <c:v>-1.675749415656437E-2</c:v>
                </c:pt>
                <c:pt idx="102">
                  <c:v>-1.6828494873591796E-2</c:v>
                </c:pt>
                <c:pt idx="103">
                  <c:v>-1.6898165391722175E-2</c:v>
                </c:pt>
                <c:pt idx="104">
                  <c:v>-1.6966523297671045E-2</c:v>
                </c:pt>
                <c:pt idx="105">
                  <c:v>-1.7033586165054748E-2</c:v>
                </c:pt>
                <c:pt idx="106">
                  <c:v>-1.7099371549918724E-2</c:v>
                </c:pt>
                <c:pt idx="107">
                  <c:v>-1.71638969862902E-2</c:v>
                </c:pt>
                <c:pt idx="108">
                  <c:v>-1.7227179981756695E-2</c:v>
                </c:pt>
                <c:pt idx="109">
                  <c:v>-1.7289238013071612E-2</c:v>
                </c:pt>
                <c:pt idx="110">
                  <c:v>-1.7350088521788473E-2</c:v>
                </c:pt>
                <c:pt idx="111">
                  <c:v>-1.7409748909924957E-2</c:v>
                </c:pt>
                <c:pt idx="112">
                  <c:v>-1.7468236535658262E-2</c:v>
                </c:pt>
                <c:pt idx="113">
                  <c:v>-1.7525568709052981E-2</c:v>
                </c:pt>
                <c:pt idx="114">
                  <c:v>-1.7581762687822924E-2</c:v>
                </c:pt>
                <c:pt idx="115">
                  <c:v>-1.7636835673128102E-2</c:v>
                </c:pt>
                <c:pt idx="116">
                  <c:v>-1.7690804805408283E-2</c:v>
                </c:pt>
                <c:pt idx="117">
                  <c:v>-1.7743687160254335E-2</c:v>
                </c:pt>
                <c:pt idx="118">
                  <c:v>-1.7795499744318537E-2</c:v>
                </c:pt>
                <c:pt idx="119">
                  <c:v>-1.7846259491265389E-2</c:v>
                </c:pt>
                <c:pt idx="120">
                  <c:v>-1.7895983257763835E-2</c:v>
                </c:pt>
                <c:pt idx="121">
                  <c:v>-1.7944687819522333E-2</c:v>
                </c:pt>
                <c:pt idx="122">
                  <c:v>-1.7992389867367925E-2</c:v>
                </c:pt>
                <c:pt idx="123">
                  <c:v>-1.8039106003370553E-2</c:v>
                </c:pt>
                <c:pt idx="124">
                  <c:v>-1.808485273701364E-2</c:v>
                </c:pt>
                <c:pt idx="125">
                  <c:v>-1.8129646481412257E-2</c:v>
                </c:pt>
                <c:pt idx="126">
                  <c:v>-1.8173503549580042E-2</c:v>
                </c:pt>
                <c:pt idx="127">
                  <c:v>-1.8216440150745816E-2</c:v>
                </c:pt>
                <c:pt idx="128">
                  <c:v>-1.8258472386721153E-2</c:v>
                </c:pt>
                <c:pt idx="129">
                  <c:v>-1.8299616248319973E-2</c:v>
                </c:pt>
                <c:pt idx="130">
                  <c:v>-1.8339887611831172E-2</c:v>
                </c:pt>
                <c:pt idx="131">
                  <c:v>-1.8379302235545399E-2</c:v>
                </c:pt>
                <c:pt idx="132">
                  <c:v>-1.8417875756336972E-2</c:v>
                </c:pt>
                <c:pt idx="133">
                  <c:v>-1.8455623686301968E-2</c:v>
                </c:pt>
                <c:pt idx="134">
                  <c:v>-1.8492561409453507E-2</c:v>
                </c:pt>
                <c:pt idx="135">
                  <c:v>-1.8528704178475016E-2</c:v>
                </c:pt>
                <c:pt idx="136">
                  <c:v>-1.8564067111532814E-2</c:v>
                </c:pt>
                <c:pt idx="137">
                  <c:v>-1.8598665189148451E-2</c:v>
                </c:pt>
                <c:pt idx="138">
                  <c:v>-1.8632513251132132E-2</c:v>
                </c:pt>
                <c:pt idx="139">
                  <c:v>-1.8665625993577802E-2</c:v>
                </c:pt>
                <c:pt idx="140">
                  <c:v>-1.8698017965921E-2</c:v>
                </c:pt>
                <c:pt idx="141">
                  <c:v>-1.8729703568060148E-2</c:v>
                </c:pt>
                <c:pt idx="142">
                  <c:v>-1.8760697047542067E-2</c:v>
                </c:pt>
                <c:pt idx="143">
                  <c:v>-1.8791012496812767E-2</c:v>
                </c:pt>
                <c:pt idx="144">
                  <c:v>-1.8820663850533964E-2</c:v>
                </c:pt>
                <c:pt idx="145">
                  <c:v>-1.8849664882966233E-2</c:v>
                </c:pt>
                <c:pt idx="146">
                  <c:v>-1.8878029205419491E-2</c:v>
                </c:pt>
                <c:pt idx="147">
                  <c:v>-1.8905770263771604E-2</c:v>
                </c:pt>
                <c:pt idx="148">
                  <c:v>-1.8932901336055474E-2</c:v>
                </c:pt>
                <c:pt idx="149">
                  <c:v>-1.8959435530115695E-2</c:v>
                </c:pt>
                <c:pt idx="150">
                  <c:v>-1.8985385781335067E-2</c:v>
                </c:pt>
                <c:pt idx="151">
                  <c:v>-1.901076485043161E-2</c:v>
                </c:pt>
                <c:pt idx="152">
                  <c:v>-1.9035585321326851E-2</c:v>
                </c:pt>
                <c:pt idx="153">
                  <c:v>-1.9059859599085648E-2</c:v>
                </c:pt>
                <c:pt idx="154">
                  <c:v>-1.9083599907928281E-2</c:v>
                </c:pt>
                <c:pt idx="155">
                  <c:v>-1.910681828931524E-2</c:v>
                </c:pt>
                <c:pt idx="156">
                  <c:v>-1.9129526600104998E-2</c:v>
                </c:pt>
                <c:pt idx="157">
                  <c:v>-1.9151736510785704E-2</c:v>
                </c:pt>
                <c:pt idx="158">
                  <c:v>-1.9173459503780483E-2</c:v>
                </c:pt>
                <c:pt idx="159">
                  <c:v>-1.9194706871827394E-2</c:v>
                </c:pt>
                <c:pt idx="160">
                  <c:v>-1.9215489716434008E-2</c:v>
                </c:pt>
                <c:pt idx="161">
                  <c:v>-1.9235818946407138E-2</c:v>
                </c:pt>
                <c:pt idx="162">
                  <c:v>-1.9255705276457893E-2</c:v>
                </c:pt>
                <c:pt idx="163">
                  <c:v>-1.9275159225882365E-2</c:v>
                </c:pt>
                <c:pt idx="164">
                  <c:v>-1.9294191117318334E-2</c:v>
                </c:pt>
                <c:pt idx="165">
                  <c:v>-1.9312811075577922E-2</c:v>
                </c:pt>
                <c:pt idx="166">
                  <c:v>-1.9331029026556753E-2</c:v>
                </c:pt>
                <c:pt idx="167">
                  <c:v>-1.9348854696219525E-2</c:v>
                </c:pt>
                <c:pt idx="168">
                  <c:v>-1.9366297609662179E-2</c:v>
                </c:pt>
                <c:pt idx="169">
                  <c:v>-1.938336709025083E-2</c:v>
                </c:pt>
                <c:pt idx="170">
                  <c:v>-1.9400072258837612E-2</c:v>
                </c:pt>
                <c:pt idx="171">
                  <c:v>-1.9416422033053195E-2</c:v>
                </c:pt>
                <c:pt idx="172">
                  <c:v>-1.9432425126676478E-2</c:v>
                </c:pt>
                <c:pt idx="173">
                  <c:v>-1.9448090049081004E-2</c:v>
                </c:pt>
                <c:pt idx="174">
                  <c:v>-1.9463425104758274E-2</c:v>
                </c:pt>
                <c:pt idx="175">
                  <c:v>-1.9478438392917994E-2</c:v>
                </c:pt>
                <c:pt idx="176">
                  <c:v>-1.9493137807164995E-2</c:v>
                </c:pt>
                <c:pt idx="177">
                  <c:v>-1.9507531035252757E-2</c:v>
                </c:pt>
                <c:pt idx="178">
                  <c:v>-1.9521625558913527E-2</c:v>
                </c:pt>
                <c:pt idx="179">
                  <c:v>-1.9535428653764737E-2</c:v>
                </c:pt>
                <c:pt idx="180">
                  <c:v>-1.9548947389291461E-2</c:v>
                </c:pt>
                <c:pt idx="181">
                  <c:v>-1.9562188628904964E-2</c:v>
                </c:pt>
                <c:pt idx="182">
                  <c:v>-1.9575159030076793E-2</c:v>
                </c:pt>
                <c:pt idx="183">
                  <c:v>-1.9587865044548423E-2</c:v>
                </c:pt>
                <c:pt idx="184">
                  <c:v>-1.9600312918615734E-2</c:v>
                </c:pt>
                <c:pt idx="185">
                  <c:v>-1.9612508693488552E-2</c:v>
                </c:pt>
                <c:pt idx="186">
                  <c:v>-1.9624458205724456E-2</c:v>
                </c:pt>
                <c:pt idx="187">
                  <c:v>-1.963616708773662E-2</c:v>
                </c:pt>
                <c:pt idx="188">
                  <c:v>-1.964764076837534E-2</c:v>
                </c:pt>
                <c:pt idx="189">
                  <c:v>-1.9658884473582702E-2</c:v>
                </c:pt>
                <c:pt idx="190">
                  <c:v>-1.9669903227120009E-2</c:v>
                </c:pt>
                <c:pt idx="191">
                  <c:v>-1.968070185136744E-2</c:v>
                </c:pt>
                <c:pt idx="192">
                  <c:v>-1.9691284968195503E-2</c:v>
                </c:pt>
                <c:pt idx="193">
                  <c:v>-1.9701656999907557E-2</c:v>
                </c:pt>
                <c:pt idx="194">
                  <c:v>-1.9711822170253149E-2</c:v>
                </c:pt>
                <c:pt idx="195">
                  <c:v>-1.972178450551116E-2</c:v>
                </c:pt>
                <c:pt idx="196">
                  <c:v>-1.9731547835642717E-2</c:v>
                </c:pt>
                <c:pt idx="197">
                  <c:v>-1.9741115795512517E-2</c:v>
                </c:pt>
                <c:pt idx="198">
                  <c:v>-1.9750491826178617E-2</c:v>
                </c:pt>
                <c:pt idx="199">
                  <c:v>-1.9759679176249476E-2</c:v>
                </c:pt>
                <c:pt idx="200">
                  <c:v>-1.9768680903307884E-2</c:v>
                </c:pt>
                <c:pt idx="201">
                  <c:v>-1.9777499875400721E-2</c:v>
                </c:pt>
                <c:pt idx="202">
                  <c:v>-1.9786138772594157E-2</c:v>
                </c:pt>
                <c:pt idx="203">
                  <c:v>-1.9794600088593198E-2</c:v>
                </c:pt>
                <c:pt idx="204">
                  <c:v>-1.9802886132425052E-2</c:v>
                </c:pt>
                <c:pt idx="205">
                  <c:v>-1.9810999030185104E-2</c:v>
                </c:pt>
                <c:pt idx="206">
                  <c:v>-1.981894072684523E-2</c:v>
                </c:pt>
                <c:pt idx="207">
                  <c:v>-1.9826712988122958E-2</c:v>
                </c:pt>
                <c:pt idx="208">
                  <c:v>-1.9834317402411025E-2</c:v>
                </c:pt>
                <c:pt idx="209">
                  <c:v>-1.9841755382766318E-2</c:v>
                </c:pt>
                <c:pt idx="210">
                  <c:v>-1.9849028168957134E-2</c:v>
                </c:pt>
                <c:pt idx="211">
                  <c:v>-1.9856136829567959E-2</c:v>
                </c:pt>
                <c:pt idx="212">
                  <c:v>-1.986308226416076E-2</c:v>
                </c:pt>
                <c:pt idx="213">
                  <c:v>-1.9869865205491818E-2</c:v>
                </c:pt>
                <c:pt idx="214">
                  <c:v>-1.9876486221782924E-2</c:v>
                </c:pt>
                <c:pt idx="215">
                  <c:v>-1.9882945719046318E-2</c:v>
                </c:pt>
                <c:pt idx="216">
                  <c:v>-1.9889243943461817E-2</c:v>
                </c:pt>
                <c:pt idx="217">
                  <c:v>-1.9895380983805434E-2</c:v>
                </c:pt>
                <c:pt idx="218">
                  <c:v>-1.9901356773928354E-2</c:v>
                </c:pt>
                <c:pt idx="219">
                  <c:v>-1.9907171095285052E-2</c:v>
                </c:pt>
                <c:pt idx="220">
                  <c:v>-1.991282357950945E-2</c:v>
                </c:pt>
                <c:pt idx="221">
                  <c:v>-1.9918313711038214E-2</c:v>
                </c:pt>
                <c:pt idx="222">
                  <c:v>-1.9923640829779724E-2</c:v>
                </c:pt>
                <c:pt idx="223">
                  <c:v>-1.9928804133827804E-2</c:v>
                </c:pt>
                <c:pt idx="224">
                  <c:v>-1.9933802682218983E-2</c:v>
                </c:pt>
                <c:pt idx="225">
                  <c:v>-1.9938635397731906E-2</c:v>
                </c:pt>
                <c:pt idx="226">
                  <c:v>-1.9943301069728105E-2</c:v>
                </c:pt>
                <c:pt idx="227">
                  <c:v>-1.9947798357032476E-2</c:v>
                </c:pt>
                <c:pt idx="228">
                  <c:v>-1.9952125790852596E-2</c:v>
                </c:pt>
                <c:pt idx="229">
                  <c:v>-1.9956281777735306E-2</c:v>
                </c:pt>
                <c:pt idx="230">
                  <c:v>-1.9960264602559723E-2</c:v>
                </c:pt>
                <c:pt idx="231">
                  <c:v>-1.9964072431564981E-2</c:v>
                </c:pt>
                <c:pt idx="232">
                  <c:v>-1.99677033154117E-2</c:v>
                </c:pt>
                <c:pt idx="233">
                  <c:v>-1.9971155192276012E-2</c:v>
                </c:pt>
                <c:pt idx="234">
                  <c:v>-1.9974425890974406E-2</c:v>
                </c:pt>
                <c:pt idx="235">
                  <c:v>-1.99775131341186E-2</c:v>
                </c:pt>
                <c:pt idx="236">
                  <c:v>-1.9980414541298751E-2</c:v>
                </c:pt>
                <c:pt idx="237">
                  <c:v>-1.9983127632294061E-2</c:v>
                </c:pt>
                <c:pt idx="238">
                  <c:v>-1.9985649830308927E-2</c:v>
                </c:pt>
                <c:pt idx="239">
                  <c:v>-1.9987978465233952E-2</c:v>
                </c:pt>
                <c:pt idx="240">
                  <c:v>-1.9990110776929904E-2</c:v>
                </c:pt>
                <c:pt idx="241">
                  <c:v>-1.999204391853359E-2</c:v>
                </c:pt>
                <c:pt idx="242">
                  <c:v>-1.9993774959784338E-2</c:v>
                </c:pt>
                <c:pt idx="243">
                  <c:v>-1.9995300890369508E-2</c:v>
                </c:pt>
                <c:pt idx="244">
                  <c:v>-1.9996618623287866E-2</c:v>
                </c:pt>
                <c:pt idx="245">
                  <c:v>-1.999772499822932E-2</c:v>
                </c:pt>
                <c:pt idx="246">
                  <c:v>-1.9998616784969794E-2</c:v>
                </c:pt>
                <c:pt idx="247">
                  <c:v>-1.9999290686779789E-2</c:v>
                </c:pt>
                <c:pt idx="248">
                  <c:v>-1.9999743343845355E-2</c:v>
                </c:pt>
                <c:pt idx="249">
                  <c:v>-1.9999971336699788E-2</c:v>
                </c:pt>
                <c:pt idx="250">
                  <c:v>-1.9999970751080655E-2</c:v>
                </c:pt>
                <c:pt idx="251">
                  <c:v>-1.9999727545921567E-2</c:v>
                </c:pt>
                <c:pt idx="252">
                  <c:v>-1.9999217615561171E-2</c:v>
                </c:pt>
                <c:pt idx="253">
                  <c:v>-1.9998416471752274E-2</c:v>
                </c:pt>
                <c:pt idx="254">
                  <c:v>-1.9997299692546863E-2</c:v>
                </c:pt>
                <c:pt idx="255">
                  <c:v>-1.9995842932094176E-2</c:v>
                </c:pt>
                <c:pt idx="256">
                  <c:v>-1.9994021930415773E-2</c:v>
                </c:pt>
                <c:pt idx="257">
                  <c:v>-1.9991812523154465E-2</c:v>
                </c:pt>
                <c:pt idx="258">
                  <c:v>-1.9989190651293155E-2</c:v>
                </c:pt>
                <c:pt idx="259">
                  <c:v>-1.9986132370840071E-2</c:v>
                </c:pt>
                <c:pt idx="260">
                  <c:v>-1.9982613862476836E-2</c:v>
                </c:pt>
                <c:pt idx="261">
                  <c:v>-1.9978611441165681E-2</c:v>
                </c:pt>
                <c:pt idx="262">
                  <c:v>-1.997410156571245E-2</c:v>
                </c:pt>
                <c:pt idx="263">
                  <c:v>-1.9969060848281595E-2</c:v>
                </c:pt>
                <c:pt idx="264">
                  <c:v>-1.9963466063859885E-2</c:v>
                </c:pt>
                <c:pt idx="265">
                  <c:v>-1.9957294159665084E-2</c:v>
                </c:pt>
                <c:pt idx="266">
                  <c:v>-1.9950522264496375E-2</c:v>
                </c:pt>
                <c:pt idx="267">
                  <c:v>-1.9943127698022815E-2</c:v>
                </c:pt>
                <c:pt idx="268">
                  <c:v>-1.9935087980006497E-2</c:v>
                </c:pt>
                <c:pt idx="269">
                  <c:v>-1.9926380839457088E-2</c:v>
                </c:pt>
                <c:pt idx="270">
                  <c:v>-1.9916984223714199E-2</c:v>
                </c:pt>
                <c:pt idx="271">
                  <c:v>-1.9906876307454264E-2</c:v>
                </c:pt>
                <c:pt idx="272">
                  <c:v>-1.989603550161876E-2</c:v>
                </c:pt>
                <c:pt idx="273">
                  <c:v>-1.9884440462260195E-2</c:v>
                </c:pt>
                <c:pt idx="274">
                  <c:v>-1.987207009930279E-2</c:v>
                </c:pt>
                <c:pt idx="275">
                  <c:v>-1.9858903585214589E-2</c:v>
                </c:pt>
                <c:pt idx="276">
                  <c:v>-1.9844920363587752E-2</c:v>
                </c:pt>
                <c:pt idx="277">
                  <c:v>-1.9830100157623851E-2</c:v>
                </c:pt>
                <c:pt idx="278">
                  <c:v>-1.9814422978521096E-2</c:v>
                </c:pt>
                <c:pt idx="279">
                  <c:v>-1.9797869133760346E-2</c:v>
                </c:pt>
                <c:pt idx="280">
                  <c:v>-1.9780419235286895E-2</c:v>
                </c:pt>
                <c:pt idx="281">
                  <c:v>-1.9762054207584968E-2</c:v>
                </c:pt>
                <c:pt idx="282">
                  <c:v>-1.9742755295641946E-2</c:v>
                </c:pt>
                <c:pt idx="283">
                  <c:v>-1.9722504072799487E-2</c:v>
                </c:pt>
                <c:pt idx="284">
                  <c:v>-1.9701282448488504E-2</c:v>
                </c:pt>
                <c:pt idx="285">
                  <c:v>-1.9679072675845274E-2</c:v>
                </c:pt>
                <c:pt idx="286">
                  <c:v>-1.9655857359205775E-2</c:v>
                </c:pt>
                <c:pt idx="287">
                  <c:v>-1.9631619461475666E-2</c:v>
                </c:pt>
                <c:pt idx="288">
                  <c:v>-1.9606342311372919E-2</c:v>
                </c:pt>
                <c:pt idx="289">
                  <c:v>-1.9580009610540808E-2</c:v>
                </c:pt>
                <c:pt idx="290">
                  <c:v>-1.9552605440528163E-2</c:v>
                </c:pt>
                <c:pt idx="291">
                  <c:v>-1.9524114269635046E-2</c:v>
                </c:pt>
                <c:pt idx="292">
                  <c:v>-1.9494520959620398E-2</c:v>
                </c:pt>
                <c:pt idx="293">
                  <c:v>-1.9463810772270072E-2</c:v>
                </c:pt>
                <c:pt idx="294">
                  <c:v>-1.9431969375822374E-2</c:v>
                </c:pt>
                <c:pt idx="295">
                  <c:v>-1.9398982851248796E-2</c:v>
                </c:pt>
                <c:pt idx="296">
                  <c:v>-1.9364837698387816E-2</c:v>
                </c:pt>
                <c:pt idx="297">
                  <c:v>-1.9329520841929362E-2</c:v>
                </c:pt>
                <c:pt idx="298">
                  <c:v>-1.9293019637247819E-2</c:v>
                </c:pt>
                <c:pt idx="299">
                  <c:v>-1.9255321876081463E-2</c:v>
                </c:pt>
                <c:pt idx="300">
                  <c:v>-1.9216415792056248E-2</c:v>
                </c:pt>
                <c:pt idx="301">
                  <c:v>-1.9176290066051864E-2</c:v>
                </c:pt>
                <c:pt idx="302">
                  <c:v>-1.9134933831408203E-2</c:v>
                </c:pt>
                <c:pt idx="303">
                  <c:v>-1.9092336678970333E-2</c:v>
                </c:pt>
                <c:pt idx="304">
                  <c:v>-1.904848866197003E-2</c:v>
                </c:pt>
                <c:pt idx="305">
                  <c:v>-1.9003380300742258E-2</c:v>
                </c:pt>
                <c:pt idx="306">
                  <c:v>-1.8957002587274733E-2</c:v>
                </c:pt>
                <c:pt idx="307">
                  <c:v>-1.8909346989589137E-2</c:v>
                </c:pt>
                <c:pt idx="308">
                  <c:v>-1.8860405455952092E-2</c:v>
                </c:pt>
                <c:pt idx="309">
                  <c:v>-1.8810170418914623E-2</c:v>
                </c:pt>
                <c:pt idx="310">
                  <c:v>-1.8758634799178508E-2</c:v>
                </c:pt>
                <c:pt idx="311">
                  <c:v>-1.8705792009288281E-2</c:v>
                </c:pt>
                <c:pt idx="312">
                  <c:v>-1.8651635957147299E-2</c:v>
                </c:pt>
                <c:pt idx="313">
                  <c:v>-1.8596161049356939E-2</c:v>
                </c:pt>
                <c:pt idx="314">
                  <c:v>-1.8539362194377358E-2</c:v>
                </c:pt>
                <c:pt idx="315">
                  <c:v>-1.8481234805508926E-2</c:v>
                </c:pt>
                <c:pt idx="316">
                  <c:v>-1.8421774803693346E-2</c:v>
                </c:pt>
                <c:pt idx="317">
                  <c:v>-1.8360978620133195E-2</c:v>
                </c:pt>
                <c:pt idx="318">
                  <c:v>-1.8298843198728917E-2</c:v>
                </c:pt>
                <c:pt idx="319">
                  <c:v>-1.8235365998332975E-2</c:v>
                </c:pt>
                <c:pt idx="320">
                  <c:v>-1.8170544994819487E-2</c:v>
                </c:pt>
                <c:pt idx="321">
                  <c:v>-1.810437868296947E-2</c:v>
                </c:pt>
                <c:pt idx="322">
                  <c:v>-1.8036866078170257E-2</c:v>
                </c:pt>
                <c:pt idx="323">
                  <c:v>-1.7968006717929207E-2</c:v>
                </c:pt>
                <c:pt idx="324">
                  <c:v>-1.7897800663200562E-2</c:v>
                </c:pt>
                <c:pt idx="325">
                  <c:v>-1.78262484995254E-2</c:v>
                </c:pt>
                <c:pt idx="326">
                  <c:v>-1.7753351337984124E-2</c:v>
                </c:pt>
                <c:pt idx="327">
                  <c:v>-1.7679110815961144E-2</c:v>
                </c:pt>
                <c:pt idx="328">
                  <c:v>-1.760352909772165E-2</c:v>
                </c:pt>
                <c:pt idx="329">
                  <c:v>-1.7526608874799898E-2</c:v>
                </c:pt>
                <c:pt idx="330">
                  <c:v>-1.7448353366199619E-2</c:v>
                </c:pt>
                <c:pt idx="331">
                  <c:v>-1.7368766318405601E-2</c:v>
                </c:pt>
                <c:pt idx="332">
                  <c:v>-1.7287852005207129E-2</c:v>
                </c:pt>
                <c:pt idx="333">
                  <c:v>-1.7205615227333125E-2</c:v>
                </c:pt>
                <c:pt idx="334">
                  <c:v>-1.712206131189907E-2</c:v>
                </c:pt>
                <c:pt idx="335">
                  <c:v>-1.7037196111666132E-2</c:v>
                </c:pt>
                <c:pt idx="336">
                  <c:v>-1.6951026004112482E-2</c:v>
                </c:pt>
                <c:pt idx="337">
                  <c:v>-1.6863557890317595E-2</c:v>
                </c:pt>
                <c:pt idx="338">
                  <c:v>-1.6774799193659418E-2</c:v>
                </c:pt>
                <c:pt idx="339">
                  <c:v>-1.6684757858325339E-2</c:v>
                </c:pt>
                <c:pt idx="340">
                  <c:v>-1.6593442347637297E-2</c:v>
                </c:pt>
                <c:pt idx="341">
                  <c:v>-1.6500861642191725E-2</c:v>
                </c:pt>
                <c:pt idx="342">
                  <c:v>-1.6407025237814895E-2</c:v>
                </c:pt>
                <c:pt idx="343">
                  <c:v>-1.6311943143334635E-2</c:v>
                </c:pt>
                <c:pt idx="344">
                  <c:v>-1.6215625878168948E-2</c:v>
                </c:pt>
                <c:pt idx="345">
                  <c:v>-1.611808446973274E-2</c:v>
                </c:pt>
                <c:pt idx="346">
                  <c:v>-1.6019330450663335E-2</c:v>
                </c:pt>
                <c:pt idx="347">
                  <c:v>-1.5919375855865819E-2</c:v>
                </c:pt>
                <c:pt idx="348">
                  <c:v>-1.5818233219379554E-2</c:v>
                </c:pt>
                <c:pt idx="349">
                  <c:v>-1.5715915571066594E-2</c:v>
                </c:pt>
                <c:pt idx="350">
                  <c:v>-1.5612436433123485E-2</c:v>
                </c:pt>
                <c:pt idx="351">
                  <c:v>-1.550780981641765E-2</c:v>
                </c:pt>
                <c:pt idx="352">
                  <c:v>-1.540205021664965E-2</c:v>
                </c:pt>
                <c:pt idx="353">
                  <c:v>-1.5295172610342574E-2</c:v>
                </c:pt>
                <c:pt idx="354">
                  <c:v>-1.5187192450660473E-2</c:v>
                </c:pt>
                <c:pt idx="355">
                  <c:v>-1.5078125663056515E-2</c:v>
                </c:pt>
                <c:pt idx="356">
                  <c:v>-1.4967988640753398E-2</c:v>
                </c:pt>
                <c:pt idx="357">
                  <c:v>-1.4856798240056857E-2</c:v>
                </c:pt>
                <c:pt idx="358">
                  <c:v>-1.474457177550427E-2</c:v>
                </c:pt>
                <c:pt idx="359">
                  <c:v>-1.4631327014850195E-2</c:v>
                </c:pt>
                <c:pt idx="360">
                  <c:v>-1.4517082173890366E-2</c:v>
                </c:pt>
                <c:pt idx="361">
                  <c:v>-1.4401855911126147E-2</c:v>
                </c:pt>
                <c:pt idx="362">
                  <c:v>-1.4285667322271409E-2</c:v>
                </c:pt>
                <c:pt idx="363">
                  <c:v>-1.4168535934603585E-2</c:v>
                </c:pt>
                <c:pt idx="364">
                  <c:v>-1.4050481701161145E-2</c:v>
                </c:pt>
                <c:pt idx="365">
                  <c:v>-1.3931524994789191E-2</c:v>
                </c:pt>
                <c:pt idx="366">
                  <c:v>-1.3811686602035876E-2</c:v>
                </c:pt>
                <c:pt idx="367">
                  <c:v>-1.3690987716901151E-2</c:v>
                </c:pt>
                <c:pt idx="368">
                  <c:v>-1.3569449934440486E-2</c:v>
                </c:pt>
                <c:pt idx="369">
                  <c:v>-1.3447095244225615E-2</c:v>
                </c:pt>
                <c:pt idx="370">
                  <c:v>-1.3323946023664884E-2</c:v>
                </c:pt>
                <c:pt idx="371">
                  <c:v>-1.3200025031185059E-2</c:v>
                </c:pt>
                <c:pt idx="372">
                  <c:v>-1.3075355399277597E-2</c:v>
                </c:pt>
                <c:pt idx="373">
                  <c:v>-1.2949960627411321E-2</c:v>
                </c:pt>
                <c:pt idx="374">
                  <c:v>-1.2823864574814353E-2</c:v>
                </c:pt>
                <c:pt idx="375">
                  <c:v>-1.2697091453127609E-2</c:v>
                </c:pt>
                <c:pt idx="376">
                  <c:v>-1.2569665818932534E-2</c:v>
                </c:pt>
                <c:pt idx="377">
                  <c:v>-1.2441612566155696E-2</c:v>
                </c:pt>
                <c:pt idx="378">
                  <c:v>-1.2312956918352807E-2</c:v>
                </c:pt>
                <c:pt idx="379">
                  <c:v>-1.2183724420875177E-2</c:v>
                </c:pt>
                <c:pt idx="380">
                  <c:v>-1.2053940932920757E-2</c:v>
                </c:pt>
                <c:pt idx="381">
                  <c:v>-1.1923632619473231E-2</c:v>
                </c:pt>
                <c:pt idx="382">
                  <c:v>-1.1792825943131425E-2</c:v>
                </c:pt>
                <c:pt idx="383">
                  <c:v>-1.1661547655832225E-2</c:v>
                </c:pt>
                <c:pt idx="384">
                  <c:v>-1.1529824790469654E-2</c:v>
                </c:pt>
                <c:pt idx="385">
                  <c:v>-1.1397684652413222E-2</c:v>
                </c:pt>
                <c:pt idx="386">
                  <c:v>-1.1265154810928418E-2</c:v>
                </c:pt>
                <c:pt idx="387">
                  <c:v>-1.113226309050208E-2</c:v>
                </c:pt>
                <c:pt idx="388">
                  <c:v>-1.09990375620763E-2</c:v>
                </c:pt>
                <c:pt idx="389">
                  <c:v>-1.0865506534193025E-2</c:v>
                </c:pt>
                <c:pt idx="390">
                  <c:v>-1.0731698544053319E-2</c:v>
                </c:pt>
                <c:pt idx="391">
                  <c:v>-1.059764234849353E-2</c:v>
                </c:pt>
                <c:pt idx="392">
                  <c:v>-1.0463366914882257E-2</c:v>
                </c:pt>
                <c:pt idx="393">
                  <c:v>-1.0328901411940683E-2</c:v>
                </c:pt>
                <c:pt idx="394">
                  <c:v>-1.0194275200489735E-2</c:v>
                </c:pt>
                <c:pt idx="395">
                  <c:v>-1.0059517824127126E-2</c:v>
                </c:pt>
                <c:pt idx="396">
                  <c:v>-9.9246589998377086E-3</c:v>
                </c:pt>
                <c:pt idx="397">
                  <c:v>-9.7897286085400145E-3</c:v>
                </c:pt>
                <c:pt idx="398">
                  <c:v>-9.6547566855725939E-3</c:v>
                </c:pt>
                <c:pt idx="399">
                  <c:v>-9.5197734111231863E-3</c:v>
                </c:pt>
                <c:pt idx="400">
                  <c:v>-9.3848091006040538E-3</c:v>
                </c:pt>
                <c:pt idx="401">
                  <c:v>-9.2498941949769788E-3</c:v>
                </c:pt>
                <c:pt idx="402">
                  <c:v>-9.1150592510307916E-3</c:v>
                </c:pt>
                <c:pt idx="403">
                  <c:v>-8.9803349316153695E-3</c:v>
                </c:pt>
                <c:pt idx="404">
                  <c:v>-8.8457519958348441E-3</c:v>
                </c:pt>
                <c:pt idx="405">
                  <c:v>-8.7113412892038493E-3</c:v>
                </c:pt>
                <c:pt idx="406">
                  <c:v>-8.5771337337697887E-3</c:v>
                </c:pt>
                <c:pt idx="407">
                  <c:v>-8.4431603182048218E-3</c:v>
                </c:pt>
                <c:pt idx="408">
                  <c:v>-8.3094520878708063E-3</c:v>
                </c:pt>
                <c:pt idx="409">
                  <c:v>-8.1760401348603788E-3</c:v>
                </c:pt>
                <c:pt idx="410">
                  <c:v>-8.0429555880180276E-3</c:v>
                </c:pt>
                <c:pt idx="411">
                  <c:v>-7.9102296029441507E-3</c:v>
                </c:pt>
                <c:pt idx="412">
                  <c:v>-7.7778933519856118E-3</c:v>
                </c:pt>
                <c:pt idx="413">
                  <c:v>-7.64597801421627E-3</c:v>
                </c:pt>
                <c:pt idx="414">
                  <c:v>-7.5145147654108683E-3</c:v>
                </c:pt>
                <c:pt idx="415">
                  <c:v>-7.3835347680155199E-3</c:v>
                </c:pt>
                <c:pt idx="416">
                  <c:v>-7.2530691611184944E-3</c:v>
                </c:pt>
                <c:pt idx="417">
                  <c:v>-7.1231490504243423E-3</c:v>
                </c:pt>
                <c:pt idx="418">
                  <c:v>-6.9938054982350588E-3</c:v>
                </c:pt>
                <c:pt idx="419">
                  <c:v>-6.8650695134415199E-3</c:v>
                </c:pt>
                <c:pt idx="420">
                  <c:v>-6.7369720415285028E-3</c:v>
                </c:pt>
                <c:pt idx="421">
                  <c:v>-6.6095439545969551E-3</c:v>
                </c:pt>
                <c:pt idx="422">
                  <c:v>-6.4828160414064119E-3</c:v>
                </c:pt>
                <c:pt idx="423">
                  <c:v>-6.3568189974415514E-3</c:v>
                </c:pt>
                <c:pt idx="424">
                  <c:v>-6.2315834150054681E-3</c:v>
                </c:pt>
                <c:pt idx="425">
                  <c:v>-6.1071397733437425E-3</c:v>
                </c:pt>
                <c:pt idx="426">
                  <c:v>-5.9835184288021198E-3</c:v>
                </c:pt>
                <c:pt idx="427">
                  <c:v>-5.8607496050212737E-3</c:v>
                </c:pt>
                <c:pt idx="428">
                  <c:v>-5.7388633831720829E-3</c:v>
                </c:pt>
                <c:pt idx="429">
                  <c:v>-5.617889692234394E-3</c:v>
                </c:pt>
                <c:pt idx="430">
                  <c:v>-5.4978582993228204E-3</c:v>
                </c:pt>
                <c:pt idx="431">
                  <c:v>-5.3787988000627267E-3</c:v>
                </c:pt>
                <c:pt idx="432">
                  <c:v>-5.260740609019484E-3</c:v>
                </c:pt>
                <c:pt idx="433">
                  <c:v>-5.1437129501844536E-3</c:v>
                </c:pt>
                <c:pt idx="434">
                  <c:v>-5.0277448475206212E-3</c:v>
                </c:pt>
                <c:pt idx="435">
                  <c:v>-4.912865115571265E-3</c:v>
                </c:pt>
                <c:pt idx="436">
                  <c:v>-4.7991023501346803E-3</c:v>
                </c:pt>
                <c:pt idx="437">
                  <c:v>-4.6864849190079994E-3</c:v>
                </c:pt>
                <c:pt idx="438">
                  <c:v>-4.5750409528034514E-3</c:v>
                </c:pt>
                <c:pt idx="439">
                  <c:v>-4.4647983358398827E-3</c:v>
                </c:pt>
                <c:pt idx="440">
                  <c:v>-4.3557846971124872E-3</c:v>
                </c:pt>
                <c:pt idx="441">
                  <c:v>-4.2480274013443082E-3</c:v>
                </c:pt>
                <c:pt idx="442">
                  <c:v>-4.1415535401216966E-3</c:v>
                </c:pt>
                <c:pt idx="443">
                  <c:v>-4.0363899231173495E-3</c:v>
                </c:pt>
                <c:pt idx="444">
                  <c:v>-3.9325630694034049E-3</c:v>
                </c:pt>
                <c:pt idx="445">
                  <c:v>-3.8300991988578599E-3</c:v>
                </c:pt>
                <c:pt idx="446">
                  <c:v>-3.7290242236666729E-3</c:v>
                </c:pt>
                <c:pt idx="447">
                  <c:v>-3.6293637399249681E-3</c:v>
                </c:pt>
                <c:pt idx="448">
                  <c:v>-3.5311430193395656E-3</c:v>
                </c:pt>
                <c:pt idx="449">
                  <c:v>-3.4343870010359588E-3</c:v>
                </c:pt>
                <c:pt idx="450">
                  <c:v>-3.3391202834723915E-3</c:v>
                </c:pt>
                <c:pt idx="451">
                  <c:v>-3.2453671164634963E-3</c:v>
                </c:pt>
                <c:pt idx="452">
                  <c:v>-3.1531513933163741E-3</c:v>
                </c:pt>
                <c:pt idx="453">
                  <c:v>-3.062496643081768E-3</c:v>
                </c:pt>
                <c:pt idx="454">
                  <c:v>-2.9734260229225037E-3</c:v>
                </c:pt>
                <c:pt idx="455">
                  <c:v>-2.8859623106022116E-3</c:v>
                </c:pt>
                <c:pt idx="456">
                  <c:v>-2.8001278970964287E-3</c:v>
                </c:pt>
                <c:pt idx="457">
                  <c:v>-2.7159447793287852E-3</c:v>
                </c:pt>
                <c:pt idx="458">
                  <c:v>-2.6334345530344824E-3</c:v>
                </c:pt>
                <c:pt idx="459">
                  <c:v>-2.5526184057535354E-3</c:v>
                </c:pt>
                <c:pt idx="460">
                  <c:v>-2.4735171099560093E-3</c:v>
                </c:pt>
                <c:pt idx="461">
                  <c:v>-2.3961510163016094E-3</c:v>
                </c:pt>
                <c:pt idx="462">
                  <c:v>-2.3205400470357679E-3</c:v>
                </c:pt>
                <c:pt idx="463">
                  <c:v>-2.2467036895244268E-3</c:v>
                </c:pt>
                <c:pt idx="464">
                  <c:v>-2.1746609899296132E-3</c:v>
                </c:pt>
                <c:pt idx="465">
                  <c:v>-2.1044305470280808E-3</c:v>
                </c:pt>
                <c:pt idx="466">
                  <c:v>-2.0360305061745774E-3</c:v>
                </c:pt>
                <c:pt idx="467">
                  <c:v>-1.9694785534124276E-3</c:v>
                </c:pt>
                <c:pt idx="468">
                  <c:v>-1.9047919097326515E-3</c:v>
                </c:pt>
                <c:pt idx="469">
                  <c:v>-1.8419873254840332E-3</c:v>
                </c:pt>
                <c:pt idx="470">
                  <c:v>-1.781081074935693E-3</c:v>
                </c:pt>
                <c:pt idx="471">
                  <c:v>-1.7220889509940267E-3</c:v>
                </c:pt>
                <c:pt idx="472">
                  <c:v>-1.6650262600757988E-3</c:v>
                </c:pt>
                <c:pt idx="473">
                  <c:v>-1.6099078171389791E-3</c:v>
                </c:pt>
                <c:pt idx="474">
                  <c:v>-1.5567479408730501E-3</c:v>
                </c:pt>
                <c:pt idx="475">
                  <c:v>-1.5055604490502208E-3</c:v>
                </c:pt>
                <c:pt idx="476">
                  <c:v>-1.4563586540392516E-3</c:v>
                </c:pt>
                <c:pt idx="477">
                  <c:v>-1.4091553584832414E-3</c:v>
                </c:pt>
                <c:pt idx="478">
                  <c:v>-1.3639628511428355E-3</c:v>
                </c:pt>
                <c:pt idx="479">
                  <c:v>-1.3207929029061078E-3</c:v>
                </c:pt>
                <c:pt idx="480">
                  <c:v>-1.279656762966719E-3</c:v>
                </c:pt>
                <c:pt idx="481">
                  <c:v>-1.2405651551712009E-3</c:v>
                </c:pt>
                <c:pt idx="482">
                  <c:v>-1.2035282745368363E-3</c:v>
                </c:pt>
                <c:pt idx="483">
                  <c:v>-1.1685557839413161E-3</c:v>
                </c:pt>
                <c:pt idx="484">
                  <c:v>-1.1356568109849336E-3</c:v>
                </c:pt>
                <c:pt idx="485">
                  <c:v>-1.1048399450267689E-3</c:v>
                </c:pt>
                <c:pt idx="486">
                  <c:v>-1.0761132343953979E-3</c:v>
                </c:pt>
                <c:pt idx="487">
                  <c:v>-1.0494841837754884E-3</c:v>
                </c:pt>
                <c:pt idx="488">
                  <c:v>-1.0249597517707186E-3</c:v>
                </c:pt>
                <c:pt idx="489">
                  <c:v>-1.0025463486441157E-3</c:v>
                </c:pt>
                <c:pt idx="490">
                  <c:v>-9.8224983423641121E-4</c:v>
                </c:pt>
                <c:pt idx="491">
                  <c:v>-9.6407551606309059E-4</c:v>
                </c:pt>
                <c:pt idx="492">
                  <c:v>-9.4802814759084337E-4</c:v>
                </c:pt>
                <c:pt idx="493">
                  <c:v>-9.3411192669388033E-4</c:v>
                </c:pt>
                <c:pt idx="494">
                  <c:v>-9.2233049429074696E-4</c:v>
                </c:pt>
                <c:pt idx="495">
                  <c:v>-9.1268693316191678E-4</c:v>
                </c:pt>
                <c:pt idx="496">
                  <c:v>-9.0518376694862857E-4</c:v>
                </c:pt>
                <c:pt idx="497">
                  <c:v>-8.9982295933336111E-4</c:v>
                </c:pt>
                <c:pt idx="498">
                  <c:v>-8.9660591340218491E-4</c:v>
                </c:pt>
                <c:pt idx="499">
                  <c:v>-8.9553347118899018E-4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3F-4D1F-9AD0-B349A85400BD}"/>
            </c:ext>
          </c:extLst>
        </c:ser>
        <c:ser>
          <c:idx val="3"/>
          <c:order val="3"/>
          <c:tx>
            <c:v>Chord line</c:v>
          </c:tx>
          <c:spPr>
            <a:ln w="31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Data5!$B$1:$B$500</c:f>
              <c:numCache>
                <c:formatCode>0.00000</c:formatCode>
                <c:ptCount val="500"/>
                <c:pt idx="0">
                  <c:v>0</c:v>
                </c:pt>
                <c:pt idx="1">
                  <c:v>9.9091688398611488E-6</c:v>
                </c:pt>
                <c:pt idx="2">
                  <c:v>3.9636282592903083E-5</c:v>
                </c:pt>
                <c:pt idx="3">
                  <c:v>8.9180162975155408E-5</c:v>
                </c:pt>
                <c:pt idx="4">
                  <c:v>1.5853884623195924E-4</c:v>
                </c:pt>
                <c:pt idx="5">
                  <c:v>2.4770958321568282E-4</c:v>
                </c:pt>
                <c:pt idx="6">
                  <c:v>3.566888394948009E-4</c:v>
                </c:pt>
                <c:pt idx="7">
                  <c:v>4.8547229549383841E-4</c:v>
                </c:pt>
                <c:pt idx="8">
                  <c:v>6.3405484666484435E-4</c:v>
                </c:pt>
                <c:pt idx="9">
                  <c:v>8.0243060368939689E-4</c:v>
                </c:pt>
                <c:pt idx="10">
                  <c:v>9.9059289271236084E-4</c:v>
                </c:pt>
                <c:pt idx="11">
                  <c:v>1.1985342556060652E-3</c:v>
                </c:pt>
                <c:pt idx="12">
                  <c:v>1.4262464502662886E-3</c:v>
                </c:pt>
                <c:pt idx="13">
                  <c:v>1.6737204509387205E-3</c:v>
                </c:pt>
                <c:pt idx="14">
                  <c:v>1.9409464485766748E-3</c:v>
                </c:pt>
                <c:pt idx="15">
                  <c:v>2.2279138512300567E-3</c:v>
                </c:pt>
                <c:pt idx="16">
                  <c:v>2.534611284465027E-3</c:v>
                </c:pt>
                <c:pt idx="17">
                  <c:v>2.8610265918151412E-3</c:v>
                </c:pt>
                <c:pt idx="18">
                  <c:v>3.2071468352626864E-3</c:v>
                </c:pt>
                <c:pt idx="19">
                  <c:v>3.5729582957520489E-3</c:v>
                </c:pt>
                <c:pt idx="20">
                  <c:v>3.9584464737330016E-3</c:v>
                </c:pt>
                <c:pt idx="21">
                  <c:v>4.3635960897359105E-3</c:v>
                </c:pt>
                <c:pt idx="22">
                  <c:v>4.7883910849768618E-3</c:v>
                </c:pt>
                <c:pt idx="23">
                  <c:v>5.232814621994597E-3</c:v>
                </c:pt>
                <c:pt idx="24">
                  <c:v>5.6968490853176457E-3</c:v>
                </c:pt>
                <c:pt idx="25">
                  <c:v>6.1804760821626559E-3</c:v>
                </c:pt>
                <c:pt idx="26">
                  <c:v>6.6836764431632556E-3</c:v>
                </c:pt>
                <c:pt idx="27">
                  <c:v>7.2064302231302224E-3</c:v>
                </c:pt>
                <c:pt idx="28">
                  <c:v>7.7487167018416292E-3</c:v>
                </c:pt>
                <c:pt idx="29">
                  <c:v>8.3105143848644092E-3</c:v>
                </c:pt>
                <c:pt idx="30">
                  <c:v>8.8918010044061191E-3</c:v>
                </c:pt>
                <c:pt idx="31">
                  <c:v>9.4925535201977329E-3</c:v>
                </c:pt>
                <c:pt idx="32">
                  <c:v>1.0112748120406856E-2</c:v>
                </c:pt>
                <c:pt idx="33">
                  <c:v>1.075236022258147E-2</c:v>
                </c:pt>
                <c:pt idx="34">
                  <c:v>1.1411364474624264E-2</c:v>
                </c:pt>
                <c:pt idx="35">
                  <c:v>1.2089734755797665E-2</c:v>
                </c:pt>
                <c:pt idx="36">
                  <c:v>1.2787444177759066E-2</c:v>
                </c:pt>
                <c:pt idx="37">
                  <c:v>1.3504465085626582E-2</c:v>
                </c:pt>
                <c:pt idx="38">
                  <c:v>1.4240769059075342E-2</c:v>
                </c:pt>
                <c:pt idx="39">
                  <c:v>1.4996326913463753E-2</c:v>
                </c:pt>
                <c:pt idx="40">
                  <c:v>1.5771108700990411E-2</c:v>
                </c:pt>
                <c:pt idx="41">
                  <c:v>1.656508371188109E-2</c:v>
                </c:pt>
                <c:pt idx="42">
                  <c:v>1.737822047560611E-2</c:v>
                </c:pt>
                <c:pt idx="43">
                  <c:v>1.8210486762127498E-2</c:v>
                </c:pt>
                <c:pt idx="44">
                  <c:v>1.9061849583176638E-2</c:v>
                </c:pt>
                <c:pt idx="45">
                  <c:v>1.9932275193561888E-2</c:v>
                </c:pt>
                <c:pt idx="46">
                  <c:v>2.0821729092505736E-2</c:v>
                </c:pt>
                <c:pt idx="47">
                  <c:v>2.1730176025012815E-2</c:v>
                </c:pt>
                <c:pt idx="48">
                  <c:v>2.2657579983267062E-2</c:v>
                </c:pt>
                <c:pt idx="49">
                  <c:v>2.360390420805869E-2</c:v>
                </c:pt>
                <c:pt idx="50">
                  <c:v>2.4569111190241799E-2</c:v>
                </c:pt>
                <c:pt idx="51">
                  <c:v>2.5553162672220409E-2</c:v>
                </c:pt>
                <c:pt idx="52">
                  <c:v>2.6556019649465523E-2</c:v>
                </c:pt>
                <c:pt idx="53">
                  <c:v>2.7577642372060673E-2</c:v>
                </c:pt>
                <c:pt idx="54">
                  <c:v>2.86179903462776E-2</c:v>
                </c:pt>
                <c:pt idx="55">
                  <c:v>2.9677022336181469E-2</c:v>
                </c:pt>
                <c:pt idx="56">
                  <c:v>3.0754696365265011E-2</c:v>
                </c:pt>
                <c:pt idx="57">
                  <c:v>3.1850969718112687E-2</c:v>
                </c:pt>
                <c:pt idx="58">
                  <c:v>3.2965798942093449E-2</c:v>
                </c:pt>
                <c:pt idx="59">
                  <c:v>3.4099139849083304E-2</c:v>
                </c:pt>
                <c:pt idx="60">
                  <c:v>3.525094751721658E-2</c:v>
                </c:pt>
                <c:pt idx="61">
                  <c:v>3.6421176292666779E-2</c:v>
                </c:pt>
                <c:pt idx="62">
                  <c:v>3.7609779791455689E-2</c:v>
                </c:pt>
                <c:pt idx="63">
                  <c:v>3.8816710901292406E-2</c:v>
                </c:pt>
                <c:pt idx="64">
                  <c:v>4.0041921783440293E-2</c:v>
                </c:pt>
                <c:pt idx="65">
                  <c:v>4.1285363874613346E-2</c:v>
                </c:pt>
                <c:pt idx="66">
                  <c:v>4.2546987888901155E-2</c:v>
                </c:pt>
                <c:pt idx="67">
                  <c:v>4.382674381972218E-2</c:v>
                </c:pt>
                <c:pt idx="68">
                  <c:v>4.5124580941806103E-2</c:v>
                </c:pt>
                <c:pt idx="69">
                  <c:v>4.6440447813204166E-2</c:v>
                </c:pt>
                <c:pt idx="70">
                  <c:v>4.7774292277328378E-2</c:v>
                </c:pt>
                <c:pt idx="71">
                  <c:v>4.9126061465018855E-2</c:v>
                </c:pt>
                <c:pt idx="72">
                  <c:v>5.0495701796638981E-2</c:v>
                </c:pt>
                <c:pt idx="73">
                  <c:v>5.1883158984199651E-2</c:v>
                </c:pt>
                <c:pt idx="74">
                  <c:v>5.3288378033510775E-2</c:v>
                </c:pt>
                <c:pt idx="75">
                  <c:v>5.4711303246361032E-2</c:v>
                </c:pt>
                <c:pt idx="76">
                  <c:v>5.6151878222725771E-2</c:v>
                </c:pt>
                <c:pt idx="77">
                  <c:v>5.7610045863002224E-2</c:v>
                </c:pt>
                <c:pt idx="78">
                  <c:v>5.9085748370273083E-2</c:v>
                </c:pt>
                <c:pt idx="79">
                  <c:v>6.0578927252597115E-2</c:v>
                </c:pt>
                <c:pt idx="80">
                  <c:v>6.2089523325327745E-2</c:v>
                </c:pt>
                <c:pt idx="81">
                  <c:v>6.3617476713458798E-2</c:v>
                </c:pt>
                <c:pt idx="82">
                  <c:v>6.5162726853997877E-2</c:v>
                </c:pt>
                <c:pt idx="83">
                  <c:v>6.672521249836677E-2</c:v>
                </c:pt>
                <c:pt idx="84">
                  <c:v>6.8304871714829296E-2</c:v>
                </c:pt>
                <c:pt idx="85">
                  <c:v>6.9901641890945942E-2</c:v>
                </c:pt>
                <c:pt idx="86">
                  <c:v>7.1515459736055498E-2</c:v>
                </c:pt>
                <c:pt idx="87">
                  <c:v>7.3146261283784042E-2</c:v>
                </c:pt>
                <c:pt idx="88">
                  <c:v>7.4793981894580031E-2</c:v>
                </c:pt>
                <c:pt idx="89">
                  <c:v>7.6458556258276578E-2</c:v>
                </c:pt>
                <c:pt idx="90">
                  <c:v>7.8139918396679942E-2</c:v>
                </c:pt>
                <c:pt idx="91">
                  <c:v>7.9838001666184821E-2</c:v>
                </c:pt>
                <c:pt idx="92">
                  <c:v>8.1552738760416077E-2</c:v>
                </c:pt>
                <c:pt idx="93">
                  <c:v>8.3284061712896151E-2</c:v>
                </c:pt>
                <c:pt idx="94">
                  <c:v>8.5031901899739193E-2</c:v>
                </c:pt>
                <c:pt idx="95">
                  <c:v>8.6796190042371102E-2</c:v>
                </c:pt>
                <c:pt idx="96">
                  <c:v>8.8576856210275556E-2</c:v>
                </c:pt>
                <c:pt idx="97">
                  <c:v>9.0373829823765794E-2</c:v>
                </c:pt>
                <c:pt idx="98">
                  <c:v>9.2187039656781988E-2</c:v>
                </c:pt>
                <c:pt idx="99">
                  <c:v>9.4016413839714708E-2</c:v>
                </c:pt>
                <c:pt idx="100">
                  <c:v>9.5861879862253307E-2</c:v>
                </c:pt>
                <c:pt idx="101">
                  <c:v>9.7723364576260074E-2</c:v>
                </c:pt>
                <c:pt idx="102">
                  <c:v>9.9600794198669851E-2</c:v>
                </c:pt>
                <c:pt idx="103">
                  <c:v>0.1014940943144142</c:v>
                </c:pt>
                <c:pt idx="104">
                  <c:v>0.10340318987937097</c:v>
                </c:pt>
                <c:pt idx="105">
                  <c:v>0.10532800522333907</c:v>
                </c:pt>
                <c:pt idx="106">
                  <c:v>0.10726846405303753</c:v>
                </c:pt>
                <c:pt idx="107">
                  <c:v>0.10922448945512975</c:v>
                </c:pt>
                <c:pt idx="108">
                  <c:v>0.11119600389927187</c:v>
                </c:pt>
                <c:pt idx="109">
                  <c:v>0.11318292924118578</c:v>
                </c:pt>
                <c:pt idx="110">
                  <c:v>0.11518518672575695</c:v>
                </c:pt>
                <c:pt idx="111">
                  <c:v>0.11720269699015529</c:v>
                </c:pt>
                <c:pt idx="112">
                  <c:v>0.11923538006698148</c:v>
                </c:pt>
                <c:pt idx="113">
                  <c:v>0.12128315538743634</c:v>
                </c:pt>
                <c:pt idx="114">
                  <c:v>0.12334594178451425</c:v>
                </c:pt>
                <c:pt idx="115">
                  <c:v>0.12542365749622042</c:v>
                </c:pt>
                <c:pt idx="116">
                  <c:v>0.12751622016881176</c:v>
                </c:pt>
                <c:pt idx="117">
                  <c:v>0.12962354686006083</c:v>
                </c:pt>
                <c:pt idx="118">
                  <c:v>0.13174555404254384</c:v>
                </c:pt>
                <c:pt idx="119">
                  <c:v>0.13388215760695088</c:v>
                </c:pt>
                <c:pt idx="120">
                  <c:v>0.13603327286542016</c:v>
                </c:pt>
                <c:pt idx="121">
                  <c:v>0.13819881455489452</c:v>
                </c:pt>
                <c:pt idx="122">
                  <c:v>0.14037869684050097</c:v>
                </c:pt>
                <c:pt idx="123">
                  <c:v>0.1425728333189531</c:v>
                </c:pt>
                <c:pt idx="124">
                  <c:v>0.14478113702197559</c:v>
                </c:pt>
                <c:pt idx="125">
                  <c:v>0.14700352041975151</c:v>
                </c:pt>
                <c:pt idx="126">
                  <c:v>0.14923989542439159</c:v>
                </c:pt>
                <c:pt idx="127">
                  <c:v>0.15149017339342569</c:v>
                </c:pt>
                <c:pt idx="128">
                  <c:v>0.15375426513331653</c:v>
                </c:pt>
                <c:pt idx="129">
                  <c:v>0.15603208090299492</c:v>
                </c:pt>
                <c:pt idx="130">
                  <c:v>0.15832353041741654</c:v>
                </c:pt>
                <c:pt idx="131">
                  <c:v>0.1606285228511411</c:v>
                </c:pt>
                <c:pt idx="132">
                  <c:v>0.1629469668419315</c:v>
                </c:pt>
                <c:pt idx="133">
                  <c:v>0.16527877049437611</c:v>
                </c:pt>
                <c:pt idx="134">
                  <c:v>0.16762384138353059</c:v>
                </c:pt>
                <c:pt idx="135">
                  <c:v>0.16998208655858127</c:v>
                </c:pt>
                <c:pt idx="136">
                  <c:v>0.17235341254652992</c:v>
                </c:pt>
                <c:pt idx="137">
                  <c:v>0.17473772535589804</c:v>
                </c:pt>
                <c:pt idx="138">
                  <c:v>0.17713493048045287</c:v>
                </c:pt>
                <c:pt idx="139">
                  <c:v>0.17954493290295315</c:v>
                </c:pt>
                <c:pt idx="140">
                  <c:v>0.18196763709891517</c:v>
                </c:pt>
                <c:pt idx="141">
                  <c:v>0.18440294704039933</c:v>
                </c:pt>
                <c:pt idx="142">
                  <c:v>0.18685076619981611</c:v>
                </c:pt>
                <c:pt idx="143">
                  <c:v>0.18931099755375197</c:v>
                </c:pt>
                <c:pt idx="144">
                  <c:v>0.19178354358681554</c:v>
                </c:pt>
                <c:pt idx="145">
                  <c:v>0.1942683062955024</c:v>
                </c:pt>
                <c:pt idx="146">
                  <c:v>0.19676518719207969</c:v>
                </c:pt>
                <c:pt idx="147">
                  <c:v>0.19927408730849</c:v>
                </c:pt>
                <c:pt idx="148">
                  <c:v>0.20179490720027371</c:v>
                </c:pt>
                <c:pt idx="149">
                  <c:v>0.20432754695051125</c:v>
                </c:pt>
                <c:pt idx="150">
                  <c:v>0.20687190617378309</c:v>
                </c:pt>
                <c:pt idx="151">
                  <c:v>0.20942788402014861</c:v>
                </c:pt>
                <c:pt idx="152">
                  <c:v>0.21199537917914374</c:v>
                </c:pt>
                <c:pt idx="153">
                  <c:v>0.21457428988379634</c:v>
                </c:pt>
                <c:pt idx="154">
                  <c:v>0.21716451391466002</c:v>
                </c:pt>
                <c:pt idx="155">
                  <c:v>0.21976594860386583</c:v>
                </c:pt>
                <c:pt idx="156">
                  <c:v>0.22237849083919142</c:v>
                </c:pt>
                <c:pt idx="157">
                  <c:v>0.22500203706814847</c:v>
                </c:pt>
                <c:pt idx="158">
                  <c:v>0.22763648330208675</c:v>
                </c:pt>
                <c:pt idx="159">
                  <c:v>0.23028172512031608</c:v>
                </c:pt>
                <c:pt idx="160">
                  <c:v>0.23293765767424529</c:v>
                </c:pt>
                <c:pt idx="161">
                  <c:v>0.23560417569153802</c:v>
                </c:pt>
                <c:pt idx="162">
                  <c:v>0.23828117348028521</c:v>
                </c:pt>
                <c:pt idx="163">
                  <c:v>0.24096854493319464</c:v>
                </c:pt>
                <c:pt idx="164">
                  <c:v>0.24366618353179648</c:v>
                </c:pt>
                <c:pt idx="165">
                  <c:v>0.24637398235066521</c:v>
                </c:pt>
                <c:pt idx="166">
                  <c:v>0.2490918340616583</c:v>
                </c:pt>
                <c:pt idx="167">
                  <c:v>0.25181963093816961</c:v>
                </c:pt>
                <c:pt idx="168">
                  <c:v>0.25455726485940006</c:v>
                </c:pt>
                <c:pt idx="169">
                  <c:v>0.25730462731464265</c:v>
                </c:pt>
                <c:pt idx="170">
                  <c:v>0.26006160940758349</c:v>
                </c:pt>
                <c:pt idx="171">
                  <c:v>0.26282810186061856</c:v>
                </c:pt>
                <c:pt idx="172">
                  <c:v>0.26560399501918452</c:v>
                </c:pt>
                <c:pt idx="173">
                  <c:v>0.26838917885610541</c:v>
                </c:pt>
                <c:pt idx="174">
                  <c:v>0.27118354297595382</c:v>
                </c:pt>
                <c:pt idx="175">
                  <c:v>0.27398697661942611</c:v>
                </c:pt>
                <c:pt idx="176">
                  <c:v>0.27679936866773314</c:v>
                </c:pt>
                <c:pt idx="177">
                  <c:v>0.27962060764700436</c:v>
                </c:pt>
                <c:pt idx="178">
                  <c:v>0.2824505817327061</c:v>
                </c:pt>
                <c:pt idx="179">
                  <c:v>0.28528917875407439</c:v>
                </c:pt>
                <c:pt idx="180">
                  <c:v>0.28813628619856047</c:v>
                </c:pt>
                <c:pt idx="181">
                  <c:v>0.29099179121629093</c:v>
                </c:pt>
                <c:pt idx="182">
                  <c:v>0.29385558062454042</c:v>
                </c:pt>
                <c:pt idx="183">
                  <c:v>0.29672754091221787</c:v>
                </c:pt>
                <c:pt idx="184">
                  <c:v>0.29960755824436569</c:v>
                </c:pt>
                <c:pt idx="185">
                  <c:v>0.30249551846667189</c:v>
                </c:pt>
                <c:pt idx="186">
                  <c:v>0.30539130710999463</c:v>
                </c:pt>
                <c:pt idx="187">
                  <c:v>0.30829480939489962</c:v>
                </c:pt>
                <c:pt idx="188">
                  <c:v>0.31120591023620925</c:v>
                </c:pt>
                <c:pt idx="189">
                  <c:v>0.31412449424756461</c:v>
                </c:pt>
                <c:pt idx="190">
                  <c:v>0.31705044574599883</c:v>
                </c:pt>
                <c:pt idx="191">
                  <c:v>0.31998364875652208</c:v>
                </c:pt>
                <c:pt idx="192">
                  <c:v>0.32292398701671898</c:v>
                </c:pt>
                <c:pt idx="193">
                  <c:v>0.32587134398135642</c:v>
                </c:pt>
                <c:pt idx="194">
                  <c:v>0.32882560282700324</c:v>
                </c:pt>
                <c:pt idx="195">
                  <c:v>0.33178664645666067</c:v>
                </c:pt>
                <c:pt idx="196">
                  <c:v>0.33475435750440363</c:v>
                </c:pt>
                <c:pt idx="197">
                  <c:v>0.33772861834003265</c:v>
                </c:pt>
                <c:pt idx="198">
                  <c:v>0.34070931107373681</c:v>
                </c:pt>
                <c:pt idx="199">
                  <c:v>0.34369631756076557</c:v>
                </c:pt>
                <c:pt idx="200">
                  <c:v>0.34668951940611281</c:v>
                </c:pt>
                <c:pt idx="201">
                  <c:v>0.34968879796920838</c:v>
                </c:pt>
                <c:pt idx="202">
                  <c:v>0.35269403436862179</c:v>
                </c:pt>
                <c:pt idx="203">
                  <c:v>0.35570510948677336</c:v>
                </c:pt>
                <c:pt idx="204">
                  <c:v>0.35872190397465631</c:v>
                </c:pt>
                <c:pt idx="205">
                  <c:v>0.36174429825656684</c:v>
                </c:pt>
                <c:pt idx="206">
                  <c:v>0.3647721725348439</c:v>
                </c:pt>
                <c:pt idx="207">
                  <c:v>0.36780540679461771</c:v>
                </c:pt>
                <c:pt idx="208">
                  <c:v>0.37084388080856684</c:v>
                </c:pt>
                <c:pt idx="209">
                  <c:v>0.37388747414168289</c:v>
                </c:pt>
                <c:pt idx="210">
                  <c:v>0.37693606615604525</c:v>
                </c:pt>
                <c:pt idx="211">
                  <c:v>0.37998953601560176</c:v>
                </c:pt>
                <c:pt idx="212">
                  <c:v>0.38304776269095892</c:v>
                </c:pt>
                <c:pt idx="213">
                  <c:v>0.38611062496417881</c:v>
                </c:pt>
                <c:pt idx="214">
                  <c:v>0.38917800143358394</c:v>
                </c:pt>
                <c:pt idx="215">
                  <c:v>0.39224977051856891</c:v>
                </c:pt>
                <c:pt idx="216">
                  <c:v>0.39532581046441984</c:v>
                </c:pt>
                <c:pt idx="217">
                  <c:v>0.39840599934713983</c:v>
                </c:pt>
                <c:pt idx="218">
                  <c:v>0.40149021507828209</c:v>
                </c:pt>
                <c:pt idx="219">
                  <c:v>0.40457833540978921</c:v>
                </c:pt>
                <c:pt idx="220">
                  <c:v>0.40767023793883778</c:v>
                </c:pt>
                <c:pt idx="221">
                  <c:v>0.41076580011269126</c:v>
                </c:pt>
                <c:pt idx="222">
                  <c:v>0.41386489923355663</c:v>
                </c:pt>
                <c:pt idx="223">
                  <c:v>0.41696741246344804</c:v>
                </c:pt>
                <c:pt idx="224">
                  <c:v>0.42007321682905585</c:v>
                </c:pt>
                <c:pt idx="225">
                  <c:v>0.42318218922662082</c:v>
                </c:pt>
                <c:pt idx="226">
                  <c:v>0.42629420642681332</c:v>
                </c:pt>
                <c:pt idx="227">
                  <c:v>0.42940914507961764</c:v>
                </c:pt>
                <c:pt idx="228">
                  <c:v>0.43252688171922182</c:v>
                </c:pt>
                <c:pt idx="229">
                  <c:v>0.43564729276891079</c:v>
                </c:pt>
                <c:pt idx="230">
                  <c:v>0.43877025454596486</c:v>
                </c:pt>
                <c:pt idx="231">
                  <c:v>0.44189564326656183</c:v>
                </c:pt>
                <c:pt idx="232">
                  <c:v>0.44502333505068348</c:v>
                </c:pt>
                <c:pt idx="233">
                  <c:v>0.44815320592702612</c:v>
                </c:pt>
                <c:pt idx="234">
                  <c:v>0.4512851318379138</c:v>
                </c:pt>
                <c:pt idx="235">
                  <c:v>0.45441898864421604</c:v>
                </c:pt>
                <c:pt idx="236">
                  <c:v>0.45755465213026802</c:v>
                </c:pt>
                <c:pt idx="237">
                  <c:v>0.46069199800879396</c:v>
                </c:pt>
                <c:pt idx="238">
                  <c:v>0.46383090192583382</c:v>
                </c:pt>
                <c:pt idx="239">
                  <c:v>0.46697123946567209</c:v>
                </c:pt>
                <c:pt idx="240">
                  <c:v>0.47011288615576918</c:v>
                </c:pt>
                <c:pt idx="241">
                  <c:v>0.47325571747169526</c:v>
                </c:pt>
                <c:pt idx="242">
                  <c:v>0.47639960884206567</c:v>
                </c:pt>
                <c:pt idx="243">
                  <c:v>0.4795444356534786</c:v>
                </c:pt>
                <c:pt idx="244">
                  <c:v>0.48269007325545488</c:v>
                </c:pt>
                <c:pt idx="245">
                  <c:v>0.48583639696537795</c:v>
                </c:pt>
                <c:pt idx="246">
                  <c:v>0.4889832820734365</c:v>
                </c:pt>
                <c:pt idx="247">
                  <c:v>0.49213060384756707</c:v>
                </c:pt>
                <c:pt idx="248">
                  <c:v>0.49527823753839817</c:v>
                </c:pt>
                <c:pt idx="249">
                  <c:v>0.49842605838419507</c:v>
                </c:pt>
                <c:pt idx="250">
                  <c:v>0.50157394161580482</c:v>
                </c:pt>
                <c:pt idx="251">
                  <c:v>0.50472176246160183</c:v>
                </c:pt>
                <c:pt idx="252">
                  <c:v>0.50786939615243298</c:v>
                </c:pt>
                <c:pt idx="253">
                  <c:v>0.51101671792656345</c:v>
                </c:pt>
                <c:pt idx="254">
                  <c:v>0.51416360303462194</c:v>
                </c:pt>
                <c:pt idx="255">
                  <c:v>0.51730992674454512</c:v>
                </c:pt>
                <c:pt idx="256">
                  <c:v>0.52045556434652129</c:v>
                </c:pt>
                <c:pt idx="257">
                  <c:v>0.52360039115793444</c:v>
                </c:pt>
                <c:pt idx="258">
                  <c:v>0.52674428252830463</c:v>
                </c:pt>
                <c:pt idx="259">
                  <c:v>0.5298871138442306</c:v>
                </c:pt>
                <c:pt idx="260">
                  <c:v>0.53302876053432768</c:v>
                </c:pt>
                <c:pt idx="261">
                  <c:v>0.53616909807416602</c:v>
                </c:pt>
                <c:pt idx="262">
                  <c:v>0.5393080019912061</c:v>
                </c:pt>
                <c:pt idx="263">
                  <c:v>0.54244534786973198</c:v>
                </c:pt>
                <c:pt idx="264">
                  <c:v>0.54558101135578396</c:v>
                </c:pt>
                <c:pt idx="265">
                  <c:v>0.54871486816208614</c:v>
                </c:pt>
                <c:pt idx="266">
                  <c:v>0.55184679407297388</c:v>
                </c:pt>
                <c:pt idx="267">
                  <c:v>0.55497666494931641</c:v>
                </c:pt>
                <c:pt idx="268">
                  <c:v>0.55810435673343828</c:v>
                </c:pt>
                <c:pt idx="269">
                  <c:v>0.56122974545403514</c:v>
                </c:pt>
                <c:pt idx="270">
                  <c:v>0.5643527072310891</c:v>
                </c:pt>
                <c:pt idx="271">
                  <c:v>0.56747311828077796</c:v>
                </c:pt>
                <c:pt idx="272">
                  <c:v>0.57059085492038231</c:v>
                </c:pt>
                <c:pt idx="273">
                  <c:v>0.57370579357318674</c:v>
                </c:pt>
                <c:pt idx="274">
                  <c:v>0.57681781077337912</c:v>
                </c:pt>
                <c:pt idx="275">
                  <c:v>0.57992678317094404</c:v>
                </c:pt>
                <c:pt idx="276">
                  <c:v>0.58303258753655196</c:v>
                </c:pt>
                <c:pt idx="277">
                  <c:v>0.58613510076644337</c:v>
                </c:pt>
                <c:pt idx="278">
                  <c:v>0.58923419988730874</c:v>
                </c:pt>
                <c:pt idx="279">
                  <c:v>0.59232976206116217</c:v>
                </c:pt>
                <c:pt idx="280">
                  <c:v>0.59542166459021073</c:v>
                </c:pt>
                <c:pt idx="281">
                  <c:v>0.59850978492171769</c:v>
                </c:pt>
                <c:pt idx="282">
                  <c:v>0.60159400065285995</c:v>
                </c:pt>
                <c:pt idx="283">
                  <c:v>0.60467418953558016</c:v>
                </c:pt>
                <c:pt idx="284">
                  <c:v>0.60775022948143098</c:v>
                </c:pt>
                <c:pt idx="285">
                  <c:v>0.61082199856641595</c:v>
                </c:pt>
                <c:pt idx="286">
                  <c:v>0.61388937503582108</c:v>
                </c:pt>
                <c:pt idx="287">
                  <c:v>0.61695223730904103</c:v>
                </c:pt>
                <c:pt idx="288">
                  <c:v>0.6200104639843983</c:v>
                </c:pt>
                <c:pt idx="289">
                  <c:v>0.62306393384395475</c:v>
                </c:pt>
                <c:pt idx="290">
                  <c:v>0.626112525858317</c:v>
                </c:pt>
                <c:pt idx="291">
                  <c:v>0.62915611919143311</c:v>
                </c:pt>
                <c:pt idx="292">
                  <c:v>0.63219459320538207</c:v>
                </c:pt>
                <c:pt idx="293">
                  <c:v>0.63522782746515594</c:v>
                </c:pt>
                <c:pt idx="294">
                  <c:v>0.63825570174343316</c:v>
                </c:pt>
                <c:pt idx="295">
                  <c:v>0.64127809602534369</c:v>
                </c:pt>
                <c:pt idx="296">
                  <c:v>0.64429489051322653</c:v>
                </c:pt>
                <c:pt idx="297">
                  <c:v>0.64730596563137821</c:v>
                </c:pt>
                <c:pt idx="298">
                  <c:v>0.65031120203079151</c:v>
                </c:pt>
                <c:pt idx="299">
                  <c:v>0.65331048059388719</c:v>
                </c:pt>
                <c:pt idx="300">
                  <c:v>0.65630368243923431</c:v>
                </c:pt>
                <c:pt idx="301">
                  <c:v>0.65929068892626308</c:v>
                </c:pt>
                <c:pt idx="302">
                  <c:v>0.66227138165996713</c:v>
                </c:pt>
                <c:pt idx="303">
                  <c:v>0.66524564249559626</c:v>
                </c:pt>
                <c:pt idx="304">
                  <c:v>0.66821335354333922</c:v>
                </c:pt>
                <c:pt idx="305">
                  <c:v>0.67117439717299676</c:v>
                </c:pt>
                <c:pt idx="306">
                  <c:v>0.67412865601864358</c:v>
                </c:pt>
                <c:pt idx="307">
                  <c:v>0.67707601298328102</c:v>
                </c:pt>
                <c:pt idx="308">
                  <c:v>0.68001635124347781</c:v>
                </c:pt>
                <c:pt idx="309">
                  <c:v>0.68294955425400117</c:v>
                </c:pt>
                <c:pt idx="310">
                  <c:v>0.68587550575243539</c:v>
                </c:pt>
                <c:pt idx="311">
                  <c:v>0.68879408976379075</c:v>
                </c:pt>
                <c:pt idx="312">
                  <c:v>0.69170519060510038</c:v>
                </c:pt>
                <c:pt idx="313">
                  <c:v>0.69460869289000526</c:v>
                </c:pt>
                <c:pt idx="314">
                  <c:v>0.697504481533328</c:v>
                </c:pt>
                <c:pt idx="315">
                  <c:v>0.70039244175563431</c:v>
                </c:pt>
                <c:pt idx="316">
                  <c:v>0.70327245908778213</c:v>
                </c:pt>
                <c:pt idx="317">
                  <c:v>0.70614441937545946</c:v>
                </c:pt>
                <c:pt idx="318">
                  <c:v>0.70900820878370907</c:v>
                </c:pt>
                <c:pt idx="319">
                  <c:v>0.71186371380143942</c:v>
                </c:pt>
                <c:pt idx="320">
                  <c:v>0.71471082124592566</c:v>
                </c:pt>
                <c:pt idx="321">
                  <c:v>0.71754941826729379</c:v>
                </c:pt>
                <c:pt idx="322">
                  <c:v>0.72037939235299564</c:v>
                </c:pt>
                <c:pt idx="323">
                  <c:v>0.72320063133226686</c:v>
                </c:pt>
                <c:pt idx="324">
                  <c:v>0.72601302338057372</c:v>
                </c:pt>
                <c:pt idx="325">
                  <c:v>0.72881645702404607</c:v>
                </c:pt>
                <c:pt idx="326">
                  <c:v>0.73161082114389431</c:v>
                </c:pt>
                <c:pt idx="327">
                  <c:v>0.73439600498081559</c:v>
                </c:pt>
                <c:pt idx="328">
                  <c:v>0.73717189813938133</c:v>
                </c:pt>
                <c:pt idx="329">
                  <c:v>0.73993839059241651</c:v>
                </c:pt>
                <c:pt idx="330">
                  <c:v>0.74269537268535735</c:v>
                </c:pt>
                <c:pt idx="331">
                  <c:v>0.74544273514059989</c:v>
                </c:pt>
                <c:pt idx="332">
                  <c:v>0.74818036906183039</c:v>
                </c:pt>
                <c:pt idx="333">
                  <c:v>0.75090816593834164</c:v>
                </c:pt>
                <c:pt idx="334">
                  <c:v>0.75362601764933479</c:v>
                </c:pt>
                <c:pt idx="335">
                  <c:v>0.75633381646820341</c:v>
                </c:pt>
                <c:pt idx="336">
                  <c:v>0.75903145506680525</c:v>
                </c:pt>
                <c:pt idx="337">
                  <c:v>0.76171882651971456</c:v>
                </c:pt>
                <c:pt idx="338">
                  <c:v>0.76439582430846209</c:v>
                </c:pt>
                <c:pt idx="339">
                  <c:v>0.76706234232575465</c:v>
                </c:pt>
                <c:pt idx="340">
                  <c:v>0.76971827487968403</c:v>
                </c:pt>
                <c:pt idx="341">
                  <c:v>0.77236351669791325</c:v>
                </c:pt>
                <c:pt idx="342">
                  <c:v>0.77499796293185153</c:v>
                </c:pt>
                <c:pt idx="343">
                  <c:v>0.77762150916080852</c:v>
                </c:pt>
                <c:pt idx="344">
                  <c:v>0.78023405139613411</c:v>
                </c:pt>
                <c:pt idx="345">
                  <c:v>0.78283548608533993</c:v>
                </c:pt>
                <c:pt idx="346">
                  <c:v>0.78542571011620343</c:v>
                </c:pt>
                <c:pt idx="347">
                  <c:v>0.78800462082085621</c:v>
                </c:pt>
                <c:pt idx="348">
                  <c:v>0.79057211597985133</c:v>
                </c:pt>
                <c:pt idx="349">
                  <c:v>0.79312809382621685</c:v>
                </c:pt>
                <c:pt idx="350">
                  <c:v>0.79567245304948864</c:v>
                </c:pt>
                <c:pt idx="351">
                  <c:v>0.79820509279972629</c:v>
                </c:pt>
                <c:pt idx="352">
                  <c:v>0.80072591269150994</c:v>
                </c:pt>
                <c:pt idx="353">
                  <c:v>0.80323481280792031</c:v>
                </c:pt>
                <c:pt idx="354">
                  <c:v>0.8057316937044976</c:v>
                </c:pt>
                <c:pt idx="355">
                  <c:v>0.8082164564131844</c:v>
                </c:pt>
                <c:pt idx="356">
                  <c:v>0.81068900244624797</c:v>
                </c:pt>
                <c:pt idx="357">
                  <c:v>0.81314923380018378</c:v>
                </c:pt>
                <c:pt idx="358">
                  <c:v>0.81559705295960072</c:v>
                </c:pt>
                <c:pt idx="359">
                  <c:v>0.81803236290108483</c:v>
                </c:pt>
                <c:pt idx="360">
                  <c:v>0.82045506709704696</c:v>
                </c:pt>
                <c:pt idx="361">
                  <c:v>0.82286506951954708</c:v>
                </c:pt>
                <c:pt idx="362">
                  <c:v>0.82526227464410196</c:v>
                </c:pt>
                <c:pt idx="363">
                  <c:v>0.82764658745347019</c:v>
                </c:pt>
                <c:pt idx="364">
                  <c:v>0.83001791344141862</c:v>
                </c:pt>
                <c:pt idx="365">
                  <c:v>0.83237615861646941</c:v>
                </c:pt>
                <c:pt idx="366">
                  <c:v>0.83472122950562377</c:v>
                </c:pt>
                <c:pt idx="367">
                  <c:v>0.83705303315806845</c:v>
                </c:pt>
                <c:pt idx="368">
                  <c:v>0.83937147714885874</c:v>
                </c:pt>
                <c:pt idx="369">
                  <c:v>0.84167646958258346</c:v>
                </c:pt>
                <c:pt idx="370">
                  <c:v>0.84396791909700508</c:v>
                </c:pt>
                <c:pt idx="371">
                  <c:v>0.84624573486668342</c:v>
                </c:pt>
                <c:pt idx="372">
                  <c:v>0.84850982660657426</c:v>
                </c:pt>
                <c:pt idx="373">
                  <c:v>0.85076010457560836</c:v>
                </c:pt>
                <c:pt idx="374">
                  <c:v>0.85299647958024849</c:v>
                </c:pt>
                <c:pt idx="375">
                  <c:v>0.8552188629780243</c:v>
                </c:pt>
                <c:pt idx="376">
                  <c:v>0.8574271666810469</c:v>
                </c:pt>
                <c:pt idx="377">
                  <c:v>0.85962130315949881</c:v>
                </c:pt>
                <c:pt idx="378">
                  <c:v>0.86180118544510542</c:v>
                </c:pt>
                <c:pt idx="379">
                  <c:v>0.86396672713457978</c:v>
                </c:pt>
                <c:pt idx="380">
                  <c:v>0.86611784239304912</c:v>
                </c:pt>
                <c:pt idx="381">
                  <c:v>0.86825444595745616</c:v>
                </c:pt>
                <c:pt idx="382">
                  <c:v>0.87037645313993917</c:v>
                </c:pt>
                <c:pt idx="383">
                  <c:v>0.87248377983118819</c:v>
                </c:pt>
                <c:pt idx="384">
                  <c:v>0.87457634250377958</c:v>
                </c:pt>
                <c:pt idx="385">
                  <c:v>0.87665405821548581</c:v>
                </c:pt>
                <c:pt idx="386">
                  <c:v>0.8787168446125635</c:v>
                </c:pt>
                <c:pt idx="387">
                  <c:v>0.88076461993301847</c:v>
                </c:pt>
                <c:pt idx="388">
                  <c:v>0.8827973030098446</c:v>
                </c:pt>
                <c:pt idx="389">
                  <c:v>0.88481481327424305</c:v>
                </c:pt>
                <c:pt idx="390">
                  <c:v>0.88681707075881411</c:v>
                </c:pt>
                <c:pt idx="391">
                  <c:v>0.88880399610072813</c:v>
                </c:pt>
                <c:pt idx="392">
                  <c:v>0.89077551054487025</c:v>
                </c:pt>
                <c:pt idx="393">
                  <c:v>0.89273153594696253</c:v>
                </c:pt>
                <c:pt idx="394">
                  <c:v>0.89467199477666082</c:v>
                </c:pt>
                <c:pt idx="395">
                  <c:v>0.89659681012062897</c:v>
                </c:pt>
                <c:pt idx="396">
                  <c:v>0.89850590568558575</c:v>
                </c:pt>
                <c:pt idx="397">
                  <c:v>0.90039920580133004</c:v>
                </c:pt>
                <c:pt idx="398">
                  <c:v>0.90227663542373993</c:v>
                </c:pt>
                <c:pt idx="399">
                  <c:v>0.90413812013774664</c:v>
                </c:pt>
                <c:pt idx="400">
                  <c:v>0.9059835861602854</c:v>
                </c:pt>
                <c:pt idx="401">
                  <c:v>0.9078129603432179</c:v>
                </c:pt>
                <c:pt idx="402">
                  <c:v>0.90962617017623426</c:v>
                </c:pt>
                <c:pt idx="403">
                  <c:v>0.91142314378972433</c:v>
                </c:pt>
                <c:pt idx="404">
                  <c:v>0.91320380995762895</c:v>
                </c:pt>
                <c:pt idx="405">
                  <c:v>0.91496809810026081</c:v>
                </c:pt>
                <c:pt idx="406">
                  <c:v>0.91671593828710374</c:v>
                </c:pt>
                <c:pt idx="407">
                  <c:v>0.91844726123958387</c:v>
                </c:pt>
                <c:pt idx="408">
                  <c:v>0.92016199833381507</c:v>
                </c:pt>
                <c:pt idx="409">
                  <c:v>0.92186008160332</c:v>
                </c:pt>
                <c:pt idx="410">
                  <c:v>0.92354144374172342</c:v>
                </c:pt>
                <c:pt idx="411">
                  <c:v>0.92520601810542002</c:v>
                </c:pt>
                <c:pt idx="412">
                  <c:v>0.9268537387162159</c:v>
                </c:pt>
                <c:pt idx="413">
                  <c:v>0.92848454026394456</c:v>
                </c:pt>
                <c:pt idx="414">
                  <c:v>0.93009835810905406</c:v>
                </c:pt>
                <c:pt idx="415">
                  <c:v>0.93169512828517065</c:v>
                </c:pt>
                <c:pt idx="416">
                  <c:v>0.93327478750163317</c:v>
                </c:pt>
                <c:pt idx="417">
                  <c:v>0.93483727314600207</c:v>
                </c:pt>
                <c:pt idx="418">
                  <c:v>0.93638252328654126</c:v>
                </c:pt>
                <c:pt idx="419">
                  <c:v>0.9379104766746722</c:v>
                </c:pt>
                <c:pt idx="420">
                  <c:v>0.93942107274740294</c:v>
                </c:pt>
                <c:pt idx="421">
                  <c:v>0.94091425162972686</c:v>
                </c:pt>
                <c:pt idx="422">
                  <c:v>0.94238995413699778</c:v>
                </c:pt>
                <c:pt idx="423">
                  <c:v>0.94384812177727417</c:v>
                </c:pt>
                <c:pt idx="424">
                  <c:v>0.94528869675363891</c:v>
                </c:pt>
                <c:pt idx="425">
                  <c:v>0.94671162196648917</c:v>
                </c:pt>
                <c:pt idx="426">
                  <c:v>0.94811684101580029</c:v>
                </c:pt>
                <c:pt idx="427">
                  <c:v>0.94950429820336102</c:v>
                </c:pt>
                <c:pt idx="428">
                  <c:v>0.95087393853498114</c:v>
                </c:pt>
                <c:pt idx="429">
                  <c:v>0.95222570772267157</c:v>
                </c:pt>
                <c:pt idx="430">
                  <c:v>0.95355955218679578</c:v>
                </c:pt>
                <c:pt idx="431">
                  <c:v>0.95487541905819395</c:v>
                </c:pt>
                <c:pt idx="432">
                  <c:v>0.95617325618027782</c:v>
                </c:pt>
                <c:pt idx="433">
                  <c:v>0.9574530121110989</c:v>
                </c:pt>
                <c:pt idx="434">
                  <c:v>0.95871463612538665</c:v>
                </c:pt>
                <c:pt idx="435">
                  <c:v>0.95995807821655976</c:v>
                </c:pt>
                <c:pt idx="436">
                  <c:v>0.96118328909870754</c:v>
                </c:pt>
                <c:pt idx="437">
                  <c:v>0.96239022020854426</c:v>
                </c:pt>
                <c:pt idx="438">
                  <c:v>0.96357882370733328</c:v>
                </c:pt>
                <c:pt idx="439">
                  <c:v>0.96474905248278331</c:v>
                </c:pt>
                <c:pt idx="440">
                  <c:v>0.9659008601509167</c:v>
                </c:pt>
                <c:pt idx="441">
                  <c:v>0.9670342010579065</c:v>
                </c:pt>
                <c:pt idx="442">
                  <c:v>0.96814903028188737</c:v>
                </c:pt>
                <c:pt idx="443">
                  <c:v>0.96924530363473493</c:v>
                </c:pt>
                <c:pt idx="444">
                  <c:v>0.97032297766381859</c:v>
                </c:pt>
                <c:pt idx="445">
                  <c:v>0.97138200965372234</c:v>
                </c:pt>
                <c:pt idx="446">
                  <c:v>0.97242235762793938</c:v>
                </c:pt>
                <c:pt idx="447">
                  <c:v>0.97344398035053437</c:v>
                </c:pt>
                <c:pt idx="448">
                  <c:v>0.97444683732777948</c:v>
                </c:pt>
                <c:pt idx="449">
                  <c:v>0.97543088880975826</c:v>
                </c:pt>
                <c:pt idx="450">
                  <c:v>0.97639609579194131</c:v>
                </c:pt>
                <c:pt idx="451">
                  <c:v>0.97734242001673288</c:v>
                </c:pt>
                <c:pt idx="452">
                  <c:v>0.97826982397498718</c:v>
                </c:pt>
                <c:pt idx="453">
                  <c:v>0.97917827090749432</c:v>
                </c:pt>
                <c:pt idx="454">
                  <c:v>0.98006772480643811</c:v>
                </c:pt>
                <c:pt idx="455">
                  <c:v>0.98093815041682331</c:v>
                </c:pt>
                <c:pt idx="456">
                  <c:v>0.98178951323787245</c:v>
                </c:pt>
                <c:pt idx="457">
                  <c:v>0.98262177952439389</c:v>
                </c:pt>
                <c:pt idx="458">
                  <c:v>0.98343491628811885</c:v>
                </c:pt>
                <c:pt idx="459">
                  <c:v>0.98422889129900959</c:v>
                </c:pt>
                <c:pt idx="460">
                  <c:v>0.98500367308653625</c:v>
                </c:pt>
                <c:pt idx="461">
                  <c:v>0.98575923094092466</c:v>
                </c:pt>
                <c:pt idx="462">
                  <c:v>0.98649553491437336</c:v>
                </c:pt>
                <c:pt idx="463">
                  <c:v>0.98721255582224088</c:v>
                </c:pt>
                <c:pt idx="464">
                  <c:v>0.98791026524420245</c:v>
                </c:pt>
                <c:pt idx="465">
                  <c:v>0.98858863552537568</c:v>
                </c:pt>
                <c:pt idx="466">
                  <c:v>0.98924763977741859</c:v>
                </c:pt>
                <c:pt idx="467">
                  <c:v>0.98988725187959314</c:v>
                </c:pt>
                <c:pt idx="468">
                  <c:v>0.99050744647980227</c:v>
                </c:pt>
                <c:pt idx="469">
                  <c:v>0.99110819899559388</c:v>
                </c:pt>
                <c:pt idx="470">
                  <c:v>0.99168948561513559</c:v>
                </c:pt>
                <c:pt idx="471">
                  <c:v>0.99225128329815826</c:v>
                </c:pt>
                <c:pt idx="472">
                  <c:v>0.99279356977686972</c:v>
                </c:pt>
                <c:pt idx="473">
                  <c:v>0.99331632355683674</c:v>
                </c:pt>
                <c:pt idx="474">
                  <c:v>0.99381952391783734</c:v>
                </c:pt>
                <c:pt idx="475">
                  <c:v>0.99430315091468235</c:v>
                </c:pt>
                <c:pt idx="476">
                  <c:v>0.99476718537800535</c:v>
                </c:pt>
                <c:pt idx="477">
                  <c:v>0.99521160891502314</c:v>
                </c:pt>
                <c:pt idx="478">
                  <c:v>0.99563640391026409</c:v>
                </c:pt>
                <c:pt idx="479">
                  <c:v>0.996041553526267</c:v>
                </c:pt>
                <c:pt idx="480">
                  <c:v>0.99642704170424801</c:v>
                </c:pt>
                <c:pt idx="481">
                  <c:v>0.9967928531647372</c:v>
                </c:pt>
                <c:pt idx="482">
                  <c:v>0.9971389734081848</c:v>
                </c:pt>
                <c:pt idx="483">
                  <c:v>0.99746538871553492</c:v>
                </c:pt>
                <c:pt idx="484">
                  <c:v>0.99777208614877</c:v>
                </c:pt>
                <c:pt idx="485">
                  <c:v>0.99805905355142333</c:v>
                </c:pt>
                <c:pt idx="486">
                  <c:v>0.99832627954906128</c:v>
                </c:pt>
                <c:pt idx="487">
                  <c:v>0.99857375354973366</c:v>
                </c:pt>
                <c:pt idx="488">
                  <c:v>0.99880146574439399</c:v>
                </c:pt>
                <c:pt idx="489">
                  <c:v>0.99900940710728769</c:v>
                </c:pt>
                <c:pt idx="490">
                  <c:v>0.99919756939631066</c:v>
                </c:pt>
                <c:pt idx="491">
                  <c:v>0.99936594515333521</c:v>
                </c:pt>
                <c:pt idx="492">
                  <c:v>0.99951452770450611</c:v>
                </c:pt>
                <c:pt idx="493">
                  <c:v>0.9996433111605052</c:v>
                </c:pt>
                <c:pt idx="494">
                  <c:v>0.99975229041678437</c:v>
                </c:pt>
                <c:pt idx="495">
                  <c:v>0.99984146115376804</c:v>
                </c:pt>
                <c:pt idx="496">
                  <c:v>0.99991081983702479</c:v>
                </c:pt>
                <c:pt idx="497">
                  <c:v>0.99996036371740704</c:v>
                </c:pt>
                <c:pt idx="498">
                  <c:v>0.99999009083116008</c:v>
                </c:pt>
                <c:pt idx="499">
                  <c:v>1</c:v>
                </c:pt>
              </c:numCache>
            </c:numRef>
          </c:xVal>
          <c:yVal>
            <c:numRef>
              <c:f>Data5!$X$1:$X$500</c:f>
              <c:numCache>
                <c:formatCode>General</c:formatCode>
                <c:ptCount val="5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3F-4D1F-9AD0-B349A85400BD}"/>
            </c:ext>
          </c:extLst>
        </c:ser>
        <c:ser>
          <c:idx val="4"/>
          <c:order val="4"/>
          <c:tx>
            <c:v>Leading-edge Radius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Data5!$AC$1:$AC$50</c:f>
              <c:numCache>
                <c:formatCode>0.0000</c:formatCode>
                <c:ptCount val="50"/>
                <c:pt idx="0">
                  <c:v>7.9137787613627834E-3</c:v>
                </c:pt>
                <c:pt idx="1">
                  <c:v>7.8812119427814024E-3</c:v>
                </c:pt>
                <c:pt idx="2">
                  <c:v>7.784046233298007E-3</c:v>
                </c:pt>
                <c:pt idx="3">
                  <c:v>7.6238770911760236E-3</c:v>
                </c:pt>
                <c:pt idx="4">
                  <c:v>7.4033344893009809E-3</c:v>
                </c:pt>
                <c:pt idx="5">
                  <c:v>7.1260397310984377E-3</c:v>
                </c:pt>
                <c:pt idx="6">
                  <c:v>6.7965459888318517E-3</c:v>
                </c:pt>
                <c:pt idx="7">
                  <c:v>6.4202635406398938E-3</c:v>
                </c:pt>
                <c:pt idx="8">
                  <c:v>6.0033709339189865E-3</c:v>
                </c:pt>
                <c:pt idx="9">
                  <c:v>5.5527135337458695E-3</c:v>
                </c:pt>
                <c:pt idx="10">
                  <c:v>5.075691122172289E-3</c:v>
                </c:pt>
                <c:pt idx="11">
                  <c:v>4.5801363940082863E-3</c:v>
                </c:pt>
                <c:pt idx="12">
                  <c:v>4.0741863441899643E-3</c:v>
                </c:pt>
                <c:pt idx="13">
                  <c:v>3.5661486585475961E-3</c:v>
                </c:pt>
                <c:pt idx="14">
                  <c:v>3.0643653018339692E-3</c:v>
                </c:pt>
                <c:pt idx="15">
                  <c:v>2.5770755428937719E-3</c:v>
                </c:pt>
                <c:pt idx="16">
                  <c:v>2.1122806660969482E-3</c:v>
                </c:pt>
                <c:pt idx="17">
                  <c:v>1.6776125904705565E-3</c:v>
                </c:pt>
                <c:pt idx="18">
                  <c:v>1.2802085537993338E-3</c:v>
                </c:pt>
                <c:pt idx="19">
                  <c:v>9.2659391937859362E-4</c:v>
                </c:pt>
                <c:pt idx="20">
                  <c:v>6.2257502972932002E-4</c:v>
                </c:pt>
                <c:pt idx="21">
                  <c:v>3.7314386661449847E-4</c:v>
                </c:pt>
                <c:pt idx="22">
                  <c:v>1.8239608283657777E-4</c:v>
                </c:pt>
                <c:pt idx="23">
                  <c:v>5.3463751731683954E-5</c:v>
                </c:pt>
                <c:pt idx="24">
                  <c:v>-1.1536061387967158E-5</c:v>
                </c:pt>
                <c:pt idx="25">
                  <c:v>-1.1536061387968039E-5</c:v>
                </c:pt>
                <c:pt idx="26">
                  <c:v>5.3463751731681751E-5</c:v>
                </c:pt>
                <c:pt idx="27">
                  <c:v>1.8239608283657468E-4</c:v>
                </c:pt>
                <c:pt idx="28">
                  <c:v>3.7314386661449408E-4</c:v>
                </c:pt>
                <c:pt idx="29">
                  <c:v>6.2257502972931471E-4</c:v>
                </c:pt>
                <c:pt idx="30">
                  <c:v>9.2659391937858701E-4</c:v>
                </c:pt>
                <c:pt idx="31">
                  <c:v>1.2802085537993268E-3</c:v>
                </c:pt>
                <c:pt idx="32">
                  <c:v>1.67761259047055E-3</c:v>
                </c:pt>
                <c:pt idx="33">
                  <c:v>2.112280666096943E-3</c:v>
                </c:pt>
                <c:pt idx="34">
                  <c:v>2.5770755428937663E-3</c:v>
                </c:pt>
                <c:pt idx="35">
                  <c:v>3.0643653018339657E-3</c:v>
                </c:pt>
                <c:pt idx="36">
                  <c:v>3.5661486585475944E-3</c:v>
                </c:pt>
                <c:pt idx="37">
                  <c:v>4.0741863441899643E-3</c:v>
                </c:pt>
                <c:pt idx="38">
                  <c:v>4.5801363940082881E-3</c:v>
                </c:pt>
                <c:pt idx="39">
                  <c:v>5.0756911221722916E-3</c:v>
                </c:pt>
                <c:pt idx="40">
                  <c:v>5.5527135337458747E-3</c:v>
                </c:pt>
                <c:pt idx="41">
                  <c:v>6.0033709339189934E-3</c:v>
                </c:pt>
                <c:pt idx="42">
                  <c:v>6.4202635406399007E-3</c:v>
                </c:pt>
                <c:pt idx="43">
                  <c:v>6.7965459888318595E-3</c:v>
                </c:pt>
                <c:pt idx="44">
                  <c:v>7.1260397310984446E-3</c:v>
                </c:pt>
                <c:pt idx="45">
                  <c:v>7.4033344893009879E-3</c:v>
                </c:pt>
                <c:pt idx="46">
                  <c:v>7.6238770911760305E-3</c:v>
                </c:pt>
                <c:pt idx="47">
                  <c:v>7.7840462332980122E-3</c:v>
                </c:pt>
                <c:pt idx="48">
                  <c:v>7.8812119427814058E-3</c:v>
                </c:pt>
                <c:pt idx="49">
                  <c:v>7.9137787613627834E-3</c:v>
                </c:pt>
              </c:numCache>
            </c:numRef>
          </c:xVal>
          <c:yVal>
            <c:numRef>
              <c:f>Data5!$AD$1:$AD$50</c:f>
              <c:numCache>
                <c:formatCode>0.0000</c:formatCode>
                <c:ptCount val="5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3F-4D1F-9AD0-B349A8540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132527"/>
        <c:axId val="1952133007"/>
      </c:scatterChart>
      <c:valAx>
        <c:axId val="1952132527"/>
        <c:scaling>
          <c:orientation val="minMax"/>
          <c:max val="1.05"/>
          <c:min val="-5.000000000000001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1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All dimensions are nomalized by the chord length c</a:t>
                </a:r>
              </a:p>
            </c:rich>
          </c:tx>
          <c:layout>
            <c:manualLayout>
              <c:xMode val="edge"/>
              <c:yMode val="edge"/>
              <c:x val="0.74078888701031143"/>
              <c:y val="0.940670369473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out"/>
        <c:tickLblPos val="none"/>
        <c:spPr>
          <a:solidFill>
            <a:schemeClr val="tx1"/>
          </a:solidFill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3007"/>
        <c:crosses val="autoZero"/>
        <c:crossBetween val="midCat"/>
        <c:minorUnit val="5.000000000000001E-2"/>
      </c:valAx>
      <c:valAx>
        <c:axId val="1952133007"/>
        <c:scaling>
          <c:orientation val="minMax"/>
          <c:max val="0.2"/>
          <c:min val="-0.1500000000000000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.00" sourceLinked="0"/>
        <c:majorTickMark val="none"/>
        <c:minorTickMark val="out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2527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Data1!$N$1" max="9" min="1" noThreeD="1" page="10" val="3"/>
</file>

<file path=xl/ctrlProps/ctrlProp2.xml><?xml version="1.0" encoding="utf-8"?>
<formControlPr xmlns="http://schemas.microsoft.com/office/spreadsheetml/2009/9/main" objectType="Spin" dx="26" fmlaLink="Data1!$N$2" max="9" min="1" noThreeD="1" page="10" val="4"/>
</file>

<file path=xl/ctrlProps/ctrlProp3.xml><?xml version="1.0" encoding="utf-8"?>
<formControlPr xmlns="http://schemas.microsoft.com/office/spreadsheetml/2009/9/main" objectType="Spin" dx="26" fmlaLink="Data1!O3" max="25" noThreeD="1" page="10" val="21"/>
</file>

<file path=xl/ctrlProps/ctrlProp4.xml><?xml version="1.0" encoding="utf-8"?>
<formControlPr xmlns="http://schemas.microsoft.com/office/spreadsheetml/2009/9/main" objectType="Radio" firstButton="1" fmlaLink="Data1!$P$1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CheckBox" fmlaLink="Data1!Q1" lockText="1" noThreeD="1"/>
</file>

<file path=xl/ctrlProps/ctrlProp7.xml><?xml version="1.0" encoding="utf-8"?>
<formControlPr xmlns="http://schemas.microsoft.com/office/spreadsheetml/2009/9/main" objectType="CheckBox" fmlaLink="Data1!Q2" lockText="1" noThreeD="1"/>
</file>

<file path=xl/ctrlProps/ctrlProp8.xml><?xml version="1.0" encoding="utf-8"?>
<formControlPr xmlns="http://schemas.microsoft.com/office/spreadsheetml/2009/9/main" objectType="Spin" dx="26" fmlaLink="Data2!A2" max="6" min="1" noThreeD="1" page="10"/>
</file>

<file path=xl/ctrlProps/ctrlProp9.xml><?xml version="1.0" encoding="utf-8"?>
<formControlPr xmlns="http://schemas.microsoft.com/office/spreadsheetml/2009/9/main" objectType="Spin" dx="26" fmlaLink="Data2!A3" max="5" min="1" noThreeD="1" page="10" val="2"/>
</file>

<file path=xl/ctrlProps/ctrlProp10.xml><?xml version="1.0" encoding="utf-8"?>
<formControlPr xmlns="http://schemas.microsoft.com/office/spreadsheetml/2009/9/main" objectType="Spin" dx="26" fmlaLink="Data2!A4" max="25" min="1" noThreeD="1" page="10" val="12"/>
</file>

<file path=xl/ctrlProps/ctrlProp11.xml><?xml version="1.0" encoding="utf-8"?>
<formControlPr xmlns="http://schemas.microsoft.com/office/spreadsheetml/2009/9/main" objectType="Radio" checked="Checked" firstButton="1" fmlaLink="Data2!Q1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CheckBox" fmlaLink="Data2!T1" lockText="1" noThreeD="1"/>
</file>

<file path=xl/ctrlProps/ctrlProp14.xml><?xml version="1.0" encoding="utf-8"?>
<formControlPr xmlns="http://schemas.microsoft.com/office/spreadsheetml/2009/9/main" objectType="CheckBox" fmlaLink="Data2!T2" lockText="1" noThreeD="1"/>
</file>

<file path=xl/ctrlProps/ctrlProp15.xml><?xml version="1.0" encoding="utf-8"?>
<formControlPr xmlns="http://schemas.microsoft.com/office/spreadsheetml/2009/9/main" objectType="Spin" dx="26" fmlaLink="Data3!A6" max="25" min="1" noThreeD="1" page="10" val="9"/>
</file>

<file path=xl/ctrlProps/ctrlProp16.xml><?xml version="1.0" encoding="utf-8"?>
<formControlPr xmlns="http://schemas.microsoft.com/office/spreadsheetml/2009/9/main" objectType="Spin" dx="26" fmlaLink="Data3!A5" max="9" min="1" noThreeD="1" page="10" val="4"/>
</file>

<file path=xl/ctrlProps/ctrlProp17.xml><?xml version="1.0" encoding="utf-8"?>
<formControlPr xmlns="http://schemas.microsoft.com/office/spreadsheetml/2009/9/main" objectType="Spin" dx="26" fmlaLink="Data3!A4" max="9" min="1" noThreeD="1" page="10" val="2"/>
</file>

<file path=xl/ctrlProps/ctrlProp18.xml><?xml version="1.0" encoding="utf-8"?>
<formControlPr xmlns="http://schemas.microsoft.com/office/spreadsheetml/2009/9/main" objectType="Spin" dx="26" fmlaLink="Data3!$M$1" max="9" noThreeD="1" page="10" val="4"/>
</file>

<file path=xl/ctrlProps/ctrlProp19.xml><?xml version="1.0" encoding="utf-8"?>
<formControlPr xmlns="http://schemas.microsoft.com/office/spreadsheetml/2009/9/main" objectType="Spin" dx="26" fmlaLink="Data3!$N$2" max="6" min="2" noThreeD="1" page="10" val="4"/>
</file>

<file path=xl/ctrlProps/ctrlProp20.xml><?xml version="1.0" encoding="utf-8"?>
<formControlPr xmlns="http://schemas.microsoft.com/office/spreadsheetml/2009/9/main" objectType="Radio" firstButton="1" fmlaLink="Data3!L1" lockText="1" noThreeD="1"/>
</file>

<file path=xl/ctrlProps/ctrlProp21.xml><?xml version="1.0" encoding="utf-8"?>
<formControlPr xmlns="http://schemas.microsoft.com/office/spreadsheetml/2009/9/main" objectType="Radio" checked="Checked" lockText="1" noThreeD="1"/>
</file>

<file path=xl/ctrlProps/ctrlProp22.xml><?xml version="1.0" encoding="utf-8"?>
<formControlPr xmlns="http://schemas.microsoft.com/office/spreadsheetml/2009/9/main" objectType="CheckBox" fmlaLink="Data3!Z1" lockText="1" noThreeD="1"/>
</file>

<file path=xl/ctrlProps/ctrlProp23.xml><?xml version="1.0" encoding="utf-8"?>
<formControlPr xmlns="http://schemas.microsoft.com/office/spreadsheetml/2009/9/main" objectType="CheckBox" fmlaLink="Data3!Z2" lockText="1" noThreeD="1"/>
</file>

<file path=xl/ctrlProps/ctrlProp24.xml><?xml version="1.0" encoding="utf-8"?>
<formControlPr xmlns="http://schemas.microsoft.com/office/spreadsheetml/2009/9/main" objectType="Spin" dx="26" fmlaLink="Data4!N2" max="6" min="2" noThreeD="1" page="10" val="2"/>
</file>

<file path=xl/ctrlProps/ctrlProp25.xml><?xml version="1.0" encoding="utf-8"?>
<formControlPr xmlns="http://schemas.microsoft.com/office/spreadsheetml/2009/9/main" objectType="Spin" dx="26" fmlaLink="Data4!M1" max="9" noThreeD="1" page="10" val="7"/>
</file>

<file path=xl/ctrlProps/ctrlProp26.xml><?xml version="1.0" encoding="utf-8"?>
<formControlPr xmlns="http://schemas.microsoft.com/office/spreadsheetml/2009/9/main" objectType="Spin" dx="26" fmlaLink="Data4!A2" max="5" min="1" noThreeD="1" page="10" val="2"/>
</file>

<file path=xl/ctrlProps/ctrlProp27.xml><?xml version="1.0" encoding="utf-8"?>
<formControlPr xmlns="http://schemas.microsoft.com/office/spreadsheetml/2009/9/main" objectType="Spin" dx="26" fmlaLink="Data4!A3" max="5" min="1" noThreeD="1" page="10" val="5"/>
</file>

<file path=xl/ctrlProps/ctrlProp28.xml><?xml version="1.0" encoding="utf-8"?>
<formControlPr xmlns="http://schemas.microsoft.com/office/spreadsheetml/2009/9/main" objectType="Spin" dx="26" fmlaLink="Data4!A4" max="25" min="1" noThreeD="1" page="10" val="9"/>
</file>

<file path=xl/ctrlProps/ctrlProp29.xml><?xml version="1.0" encoding="utf-8"?>
<formControlPr xmlns="http://schemas.microsoft.com/office/spreadsheetml/2009/9/main" objectType="CheckBox" fmlaLink="Data4!Z1" lockText="1" noThreeD="1"/>
</file>

<file path=xl/ctrlProps/ctrlProp30.xml><?xml version="1.0" encoding="utf-8"?>
<formControlPr xmlns="http://schemas.microsoft.com/office/spreadsheetml/2009/9/main" objectType="CheckBox" fmlaLink="Data4!Z2" lockText="1" noThreeD="1"/>
</file>

<file path=xl/ctrlProps/ctrlProp31.xml><?xml version="1.0" encoding="utf-8"?>
<formControlPr xmlns="http://schemas.microsoft.com/office/spreadsheetml/2009/9/main" objectType="Spin" dx="26" fmlaLink="Data5!A5" max="25" min="1" noThreeD="1" page="10" val="9"/>
</file>

<file path=xl/ctrlProps/ctrlProp32.xml><?xml version="1.0" encoding="utf-8"?>
<formControlPr xmlns="http://schemas.microsoft.com/office/spreadsheetml/2009/9/main" objectType="Spin" dx="26" fmlaLink="Data5!A4" max="10" noThreeD="1" page="10" val="5"/>
</file>

<file path=xl/ctrlProps/ctrlProp33.xml><?xml version="1.0" encoding="utf-8"?>
<formControlPr xmlns="http://schemas.microsoft.com/office/spreadsheetml/2009/9/main" objectType="CheckBox" fmlaLink="Data5!Z1" lockText="1" noThreeD="1"/>
</file>

<file path=xl/ctrlProps/ctrlProp34.xml><?xml version="1.0" encoding="utf-8"?>
<formControlPr xmlns="http://schemas.microsoft.com/office/spreadsheetml/2009/9/main" objectType="CheckBox" fmlaLink="Data5!Z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ACA_4mod!A1"/><Relationship Id="rId2" Type="http://schemas.openxmlformats.org/officeDocument/2006/relationships/hyperlink" Target="#'NACA_5-digit'!A1"/><Relationship Id="rId1" Type="http://schemas.openxmlformats.org/officeDocument/2006/relationships/hyperlink" Target="#'NACA_4-digit'!A1"/><Relationship Id="rId5" Type="http://schemas.openxmlformats.org/officeDocument/2006/relationships/hyperlink" Target="#'NACA_16-series'!A1"/><Relationship Id="rId4" Type="http://schemas.openxmlformats.org/officeDocument/2006/relationships/hyperlink" Target="#NACA_5mod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10391</xdr:colOff>
      <xdr:row>0</xdr:row>
      <xdr:rowOff>148242</xdr:rowOff>
    </xdr:from>
    <xdr:to>
      <xdr:col>17</xdr:col>
      <xdr:colOff>444731</xdr:colOff>
      <xdr:row>9</xdr:row>
      <xdr:rowOff>94902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448791" y="148242"/>
          <a:ext cx="8359140" cy="1567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18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 b="1">
              <a:solidFill>
                <a:schemeClr val="bg1"/>
              </a:solidFill>
              <a:effectLst/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Geometric Charaterization of NACA</a:t>
          </a:r>
          <a:r>
            <a:rPr lang="en-US" sz="2200" b="1" baseline="0">
              <a:solidFill>
                <a:schemeClr val="bg1"/>
              </a:solidFill>
              <a:effectLst/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</a:t>
          </a:r>
          <a:r>
            <a:rPr lang="en-US" sz="2200" b="1">
              <a:solidFill>
                <a:schemeClr val="bg1"/>
              </a:solidFill>
              <a:effectLst/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Digit Airfoils based</a:t>
          </a:r>
          <a:r>
            <a:rPr lang="en-US" sz="2200" b="1" baseline="0">
              <a:solidFill>
                <a:schemeClr val="bg1"/>
              </a:solidFill>
              <a:effectLst/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on their Defining Parameters</a:t>
          </a:r>
          <a:endParaRPr lang="en-GB" sz="2200" b="1" baseline="0">
            <a:solidFill>
              <a:schemeClr val="bg1"/>
            </a:solidFill>
            <a:effectLst/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15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300" b="0" i="0">
              <a:solidFill>
                <a:schemeClr val="bg1"/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Tran</a:t>
          </a:r>
          <a:r>
            <a:rPr lang="en-GB" sz="1300" b="0" i="0" baseline="0">
              <a:solidFill>
                <a:schemeClr val="bg1"/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Trung Nghia</a:t>
          </a:r>
          <a:endParaRPr lang="en-GB" sz="1300" b="0" i="0">
            <a:solidFill>
              <a:schemeClr val="bg1"/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281250</xdr:colOff>
      <xdr:row>9</xdr:row>
      <xdr:rowOff>83815</xdr:rowOff>
    </xdr:from>
    <xdr:to>
      <xdr:col>13</xdr:col>
      <xdr:colOff>583650</xdr:colOff>
      <xdr:row>12</xdr:row>
      <xdr:rowOff>119488</xdr:rowOff>
    </xdr:to>
    <xdr:sp macro="" textlink="">
      <xdr:nvSpPr>
        <xdr:cNvPr id="7" name="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48450" y="1704797"/>
          <a:ext cx="3960000" cy="576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NACA 4-Digit</a:t>
          </a:r>
          <a:r>
            <a:rPr lang="en-GB" sz="1800" b="1" baseline="0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Series</a:t>
          </a:r>
          <a:endParaRPr lang="en-GB" sz="1800" b="1">
            <a:solidFill>
              <a:schemeClr val="bg2">
                <a:lumMod val="25000"/>
              </a:schemeClr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288179</xdr:colOff>
      <xdr:row>13</xdr:row>
      <xdr:rowOff>122600</xdr:rowOff>
    </xdr:from>
    <xdr:to>
      <xdr:col>13</xdr:col>
      <xdr:colOff>590579</xdr:colOff>
      <xdr:row>16</xdr:row>
      <xdr:rowOff>158273</xdr:rowOff>
    </xdr:to>
    <xdr:sp macro="" textlink="">
      <xdr:nvSpPr>
        <xdr:cNvPr id="8" name="Rectangl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555379" y="2464018"/>
          <a:ext cx="3960000" cy="576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NACA 5-Digit</a:t>
          </a:r>
          <a:r>
            <a:rPr lang="en-GB" sz="1800" b="1" baseline="0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Series</a:t>
          </a:r>
          <a:endParaRPr lang="en-GB" sz="1800" b="1">
            <a:solidFill>
              <a:schemeClr val="bg2">
                <a:lumMod val="25000"/>
              </a:schemeClr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295117</xdr:colOff>
      <xdr:row>17</xdr:row>
      <xdr:rowOff>166944</xdr:rowOff>
    </xdr:from>
    <xdr:to>
      <xdr:col>13</xdr:col>
      <xdr:colOff>597517</xdr:colOff>
      <xdr:row>21</xdr:row>
      <xdr:rowOff>22508</xdr:rowOff>
    </xdr:to>
    <xdr:sp macro="" textlink="">
      <xdr:nvSpPr>
        <xdr:cNvPr id="9" name="Rectangl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562317" y="3228799"/>
          <a:ext cx="3960000" cy="576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NACA 4-Digit</a:t>
          </a:r>
          <a:r>
            <a:rPr lang="en-GB" sz="1800" b="1" baseline="0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Modified</a:t>
          </a:r>
          <a:endParaRPr lang="en-GB" sz="1800" b="1">
            <a:solidFill>
              <a:schemeClr val="bg2">
                <a:lumMod val="25000"/>
              </a:schemeClr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302045</xdr:colOff>
      <xdr:row>22</xdr:row>
      <xdr:rowOff>32557</xdr:rowOff>
    </xdr:from>
    <xdr:to>
      <xdr:col>13</xdr:col>
      <xdr:colOff>604445</xdr:colOff>
      <xdr:row>25</xdr:row>
      <xdr:rowOff>68230</xdr:rowOff>
    </xdr:to>
    <xdr:sp macro="" textlink="">
      <xdr:nvSpPr>
        <xdr:cNvPr id="10" name="Rectangl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569245" y="3994957"/>
          <a:ext cx="3960000" cy="576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NACA 5-Digit</a:t>
          </a:r>
          <a:r>
            <a:rPr lang="en-GB" sz="1800" b="1" baseline="0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Modified</a:t>
          </a:r>
          <a:endParaRPr lang="en-GB" sz="1800" b="1">
            <a:solidFill>
              <a:schemeClr val="bg2">
                <a:lumMod val="25000"/>
              </a:schemeClr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311727</xdr:colOff>
      <xdr:row>26</xdr:row>
      <xdr:rowOff>76198</xdr:rowOff>
    </xdr:from>
    <xdr:to>
      <xdr:col>14</xdr:col>
      <xdr:colOff>4527</xdr:colOff>
      <xdr:row>29</xdr:row>
      <xdr:rowOff>111870</xdr:rowOff>
    </xdr:to>
    <xdr:sp macro="" textlink="">
      <xdr:nvSpPr>
        <xdr:cNvPr id="2" name="Rectangle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578927" y="4759034"/>
          <a:ext cx="3960000" cy="576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NACA</a:t>
          </a:r>
          <a:r>
            <a:rPr lang="en-GB" sz="1800" b="1" baseline="0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16-Series </a:t>
          </a:r>
          <a:endParaRPr lang="en-GB" sz="1800" b="1">
            <a:solidFill>
              <a:schemeClr val="bg2">
                <a:lumMod val="25000"/>
              </a:schemeClr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22860</xdr:rowOff>
        </xdr:from>
        <xdr:to>
          <xdr:col>6</xdr:col>
          <xdr:colOff>144780</xdr:colOff>
          <xdr:row>1</xdr:row>
          <xdr:rowOff>312420</xdr:rowOff>
        </xdr:to>
        <xdr:sp macro="" textlink="">
          <xdr:nvSpPr>
            <xdr:cNvPr id="3076" name="Spinner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22860</xdr:rowOff>
        </xdr:from>
        <xdr:to>
          <xdr:col>6</xdr:col>
          <xdr:colOff>144780</xdr:colOff>
          <xdr:row>2</xdr:row>
          <xdr:rowOff>312420</xdr:rowOff>
        </xdr:to>
        <xdr:sp macro="" textlink="">
          <xdr:nvSpPr>
            <xdr:cNvPr id="3080" name="Spinner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</xdr:row>
          <xdr:rowOff>22860</xdr:rowOff>
        </xdr:from>
        <xdr:to>
          <xdr:col>6</xdr:col>
          <xdr:colOff>144780</xdr:colOff>
          <xdr:row>3</xdr:row>
          <xdr:rowOff>312420</xdr:rowOff>
        </xdr:to>
        <xdr:sp macro="" textlink="">
          <xdr:nvSpPr>
            <xdr:cNvPr id="3081" name="Spinner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</xdr:row>
          <xdr:rowOff>68580</xdr:rowOff>
        </xdr:from>
        <xdr:to>
          <xdr:col>2</xdr:col>
          <xdr:colOff>1158240</xdr:colOff>
          <xdr:row>2</xdr:row>
          <xdr:rowOff>0</xdr:rowOff>
        </xdr:to>
        <xdr:sp macro="" textlink="">
          <xdr:nvSpPr>
            <xdr:cNvPr id="3083" name="Option Button 11" descr="Symmetric Airfoil&#10;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317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Symmetrical Profile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</xdr:row>
          <xdr:rowOff>327660</xdr:rowOff>
        </xdr:from>
        <xdr:to>
          <xdr:col>2</xdr:col>
          <xdr:colOff>1158240</xdr:colOff>
          <xdr:row>2</xdr:row>
          <xdr:rowOff>259080</xdr:rowOff>
        </xdr:to>
        <xdr:sp macro="" textlink="">
          <xdr:nvSpPr>
            <xdr:cNvPr id="3084" name="Option Button 12" descr="Cambered Airfoil&#10;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Cambered Profile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1</xdr:col>
      <xdr:colOff>569369</xdr:colOff>
      <xdr:row>4</xdr:row>
      <xdr:rowOff>21490</xdr:rowOff>
    </xdr:from>
    <xdr:to>
      <xdr:col>11</xdr:col>
      <xdr:colOff>3420</xdr:colOff>
      <xdr:row>23</xdr:row>
      <xdr:rowOff>99646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129540</xdr:colOff>
          <xdr:row>1</xdr:row>
          <xdr:rowOff>30480</xdr:rowOff>
        </xdr:from>
        <xdr:to>
          <xdr:col>10</xdr:col>
          <xdr:colOff>1059180</xdr:colOff>
          <xdr:row>2</xdr:row>
          <xdr:rowOff>7620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mean line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129540</xdr:colOff>
          <xdr:row>1</xdr:row>
          <xdr:rowOff>335280</xdr:rowOff>
        </xdr:from>
        <xdr:to>
          <xdr:col>10</xdr:col>
          <xdr:colOff>1592580</xdr:colOff>
          <xdr:row>2</xdr:row>
          <xdr:rowOff>312420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leading-edge radius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22860</xdr:rowOff>
        </xdr:from>
        <xdr:to>
          <xdr:col>6</xdr:col>
          <xdr:colOff>144780</xdr:colOff>
          <xdr:row>1</xdr:row>
          <xdr:rowOff>312420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30480</xdr:rowOff>
        </xdr:from>
        <xdr:to>
          <xdr:col>6</xdr:col>
          <xdr:colOff>144780</xdr:colOff>
          <xdr:row>2</xdr:row>
          <xdr:rowOff>320040</xdr:rowOff>
        </xdr:to>
        <xdr:sp macro="" textlink="">
          <xdr:nvSpPr>
            <xdr:cNvPr id="8194" name="Spinne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22860</xdr:rowOff>
        </xdr:from>
        <xdr:to>
          <xdr:col>6</xdr:col>
          <xdr:colOff>144780</xdr:colOff>
          <xdr:row>4</xdr:row>
          <xdr:rowOff>312420</xdr:rowOff>
        </xdr:to>
        <xdr:sp macro="" textlink="">
          <xdr:nvSpPr>
            <xdr:cNvPr id="8195" name="Spinner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1</xdr:row>
          <xdr:rowOff>68580</xdr:rowOff>
        </xdr:from>
        <xdr:to>
          <xdr:col>2</xdr:col>
          <xdr:colOff>1082040</xdr:colOff>
          <xdr:row>2</xdr:row>
          <xdr:rowOff>7620</xdr:rowOff>
        </xdr:to>
        <xdr:sp macro="" textlink="">
          <xdr:nvSpPr>
            <xdr:cNvPr id="8197" name="Option Button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4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6350">
                  <a:solidFill>
                    <a:srgbClr val="595959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Standard Camber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1</xdr:row>
          <xdr:rowOff>327660</xdr:rowOff>
        </xdr:from>
        <xdr:to>
          <xdr:col>2</xdr:col>
          <xdr:colOff>1051560</xdr:colOff>
          <xdr:row>2</xdr:row>
          <xdr:rowOff>266700</xdr:rowOff>
        </xdr:to>
        <xdr:sp macro="" textlink="">
          <xdr:nvSpPr>
            <xdr:cNvPr id="8198" name="Option Button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4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6350">
                  <a:solidFill>
                    <a:srgbClr val="595959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Reflexed Camber</a:t>
              </a:r>
            </a:p>
          </xdr:txBody>
        </xdr:sp>
        <xdr:clientData fLocksWithSheet="0"/>
      </xdr:twoCellAnchor>
    </mc:Choice>
    <mc:Fallback/>
  </mc:AlternateContent>
  <xdr:twoCellAnchor editAs="absolute">
    <xdr:from>
      <xdr:col>2</xdr:col>
      <xdr:colOff>6739</xdr:colOff>
      <xdr:row>5</xdr:row>
      <xdr:rowOff>18505</xdr:rowOff>
    </xdr:from>
    <xdr:to>
      <xdr:col>10</xdr:col>
      <xdr:colOff>1614344</xdr:colOff>
      <xdr:row>23</xdr:row>
      <xdr:rowOff>158262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1</xdr:row>
          <xdr:rowOff>60960</xdr:rowOff>
        </xdr:from>
        <xdr:to>
          <xdr:col>10</xdr:col>
          <xdr:colOff>1028700</xdr:colOff>
          <xdr:row>2</xdr:row>
          <xdr:rowOff>45720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4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mean line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1</xdr:row>
          <xdr:rowOff>335280</xdr:rowOff>
        </xdr:from>
        <xdr:to>
          <xdr:col>10</xdr:col>
          <xdr:colOff>1569720</xdr:colOff>
          <xdr:row>2</xdr:row>
          <xdr:rowOff>320040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4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leading-edge radius</a:t>
              </a:r>
            </a:p>
          </xdr:txBody>
        </xdr:sp>
        <xdr:clientData fLock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10254</xdr:colOff>
      <xdr:row>6</xdr:row>
      <xdr:rowOff>17934</xdr:rowOff>
    </xdr:from>
    <xdr:to>
      <xdr:col>11</xdr:col>
      <xdr:colOff>11724</xdr:colOff>
      <xdr:row>24</xdr:row>
      <xdr:rowOff>70338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7620</xdr:rowOff>
        </xdr:from>
        <xdr:to>
          <xdr:col>6</xdr:col>
          <xdr:colOff>144780</xdr:colOff>
          <xdr:row>3</xdr:row>
          <xdr:rowOff>297180</xdr:rowOff>
        </xdr:to>
        <xdr:sp macro="" textlink="">
          <xdr:nvSpPr>
            <xdr:cNvPr id="14337" name="Spinner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6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7620</xdr:rowOff>
        </xdr:from>
        <xdr:to>
          <xdr:col>6</xdr:col>
          <xdr:colOff>144780</xdr:colOff>
          <xdr:row>2</xdr:row>
          <xdr:rowOff>297180</xdr:rowOff>
        </xdr:to>
        <xdr:sp macro="" textlink="">
          <xdr:nvSpPr>
            <xdr:cNvPr id="14338" name="Spinner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6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15240</xdr:rowOff>
        </xdr:from>
        <xdr:to>
          <xdr:col>6</xdr:col>
          <xdr:colOff>144780</xdr:colOff>
          <xdr:row>1</xdr:row>
          <xdr:rowOff>304800</xdr:rowOff>
        </xdr:to>
        <xdr:sp macro="" textlink="">
          <xdr:nvSpPr>
            <xdr:cNvPr id="14339" name="Spinner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6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1501140</xdr:colOff>
          <xdr:row>4</xdr:row>
          <xdr:rowOff>7620</xdr:rowOff>
        </xdr:from>
        <xdr:to>
          <xdr:col>6</xdr:col>
          <xdr:colOff>144780</xdr:colOff>
          <xdr:row>4</xdr:row>
          <xdr:rowOff>297180</xdr:rowOff>
        </xdr:to>
        <xdr:sp macro="" textlink="">
          <xdr:nvSpPr>
            <xdr:cNvPr id="14343" name="Spinner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6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7620</xdr:rowOff>
        </xdr:from>
        <xdr:to>
          <xdr:col>6</xdr:col>
          <xdr:colOff>144780</xdr:colOff>
          <xdr:row>5</xdr:row>
          <xdr:rowOff>297180</xdr:rowOff>
        </xdr:to>
        <xdr:sp macro="" textlink="">
          <xdr:nvSpPr>
            <xdr:cNvPr id="14345" name="Spinner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6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60960</xdr:rowOff>
        </xdr:from>
        <xdr:to>
          <xdr:col>2</xdr:col>
          <xdr:colOff>1188720</xdr:colOff>
          <xdr:row>1</xdr:row>
          <xdr:rowOff>350520</xdr:rowOff>
        </xdr:to>
        <xdr:sp macro="" textlink="">
          <xdr:nvSpPr>
            <xdr:cNvPr id="14354" name="Option Button 18" descr="Symmetrical Airfoil&#10;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6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317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Symmetrical Profile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1</xdr:row>
          <xdr:rowOff>327660</xdr:rowOff>
        </xdr:from>
        <xdr:to>
          <xdr:col>2</xdr:col>
          <xdr:colOff>1203960</xdr:colOff>
          <xdr:row>2</xdr:row>
          <xdr:rowOff>259080</xdr:rowOff>
        </xdr:to>
        <xdr:sp macro="" textlink="">
          <xdr:nvSpPr>
            <xdr:cNvPr id="14355" name="Option Button 19" descr="Cambered Airfoil&#10;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6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317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Cambered Profile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1</xdr:row>
          <xdr:rowOff>38100</xdr:rowOff>
        </xdr:from>
        <xdr:to>
          <xdr:col>10</xdr:col>
          <xdr:colOff>1051560</xdr:colOff>
          <xdr:row>2</xdr:row>
          <xdr:rowOff>15240</xdr:rowOff>
        </xdr:to>
        <xdr:sp macro="" textlink="">
          <xdr:nvSpPr>
            <xdr:cNvPr id="14357" name="Check Box 21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6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mean line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121920</xdr:colOff>
          <xdr:row>1</xdr:row>
          <xdr:rowOff>327660</xdr:rowOff>
        </xdr:from>
        <xdr:to>
          <xdr:col>10</xdr:col>
          <xdr:colOff>1592580</xdr:colOff>
          <xdr:row>2</xdr:row>
          <xdr:rowOff>297180</xdr:rowOff>
        </xdr:to>
        <xdr:sp macro="" textlink="">
          <xdr:nvSpPr>
            <xdr:cNvPr id="14358" name="Check Box 22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6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leading-edge radius</a:t>
              </a:r>
            </a:p>
          </xdr:txBody>
        </xdr:sp>
        <xdr:clientData fLock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1157</xdr:colOff>
      <xdr:row>6</xdr:row>
      <xdr:rowOff>20023</xdr:rowOff>
    </xdr:from>
    <xdr:to>
      <xdr:col>9</xdr:col>
      <xdr:colOff>5861</xdr:colOff>
      <xdr:row>24</xdr:row>
      <xdr:rowOff>35168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5</xdr:row>
          <xdr:rowOff>30480</xdr:rowOff>
        </xdr:from>
        <xdr:to>
          <xdr:col>4</xdr:col>
          <xdr:colOff>144780</xdr:colOff>
          <xdr:row>5</xdr:row>
          <xdr:rowOff>320040</xdr:rowOff>
        </xdr:to>
        <xdr:sp macro="" textlink="">
          <xdr:nvSpPr>
            <xdr:cNvPr id="18443" name="Spinner 11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00000000-0008-0000-0800-00000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4</xdr:row>
          <xdr:rowOff>15240</xdr:rowOff>
        </xdr:from>
        <xdr:to>
          <xdr:col>4</xdr:col>
          <xdr:colOff>144780</xdr:colOff>
          <xdr:row>4</xdr:row>
          <xdr:rowOff>304800</xdr:rowOff>
        </xdr:to>
        <xdr:sp macro="" textlink="">
          <xdr:nvSpPr>
            <xdr:cNvPr id="18444" name="Spinner 12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00000000-0008-0000-0800-00000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</xdr:row>
          <xdr:rowOff>7620</xdr:rowOff>
        </xdr:from>
        <xdr:to>
          <xdr:col>4</xdr:col>
          <xdr:colOff>144780</xdr:colOff>
          <xdr:row>1</xdr:row>
          <xdr:rowOff>297180</xdr:rowOff>
        </xdr:to>
        <xdr:sp macro="" textlink="">
          <xdr:nvSpPr>
            <xdr:cNvPr id="18445" name="Spinner 13" hidden="1">
              <a:extLst>
                <a:ext uri="{63B3BB69-23CF-44E3-9099-C40C66FF867C}">
                  <a14:compatExt spid="_x0000_s18445"/>
                </a:ext>
                <a:ext uri="{FF2B5EF4-FFF2-40B4-BE49-F238E27FC236}">
                  <a16:creationId xmlns:a16="http://schemas.microsoft.com/office/drawing/2014/main" id="{00000000-0008-0000-0800-00000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</xdr:row>
          <xdr:rowOff>15240</xdr:rowOff>
        </xdr:from>
        <xdr:to>
          <xdr:col>4</xdr:col>
          <xdr:colOff>144780</xdr:colOff>
          <xdr:row>2</xdr:row>
          <xdr:rowOff>297180</xdr:rowOff>
        </xdr:to>
        <xdr:sp macro="" textlink="">
          <xdr:nvSpPr>
            <xdr:cNvPr id="18446" name="Spinner 14" hidden="1">
              <a:extLst>
                <a:ext uri="{63B3BB69-23CF-44E3-9099-C40C66FF867C}">
                  <a14:compatExt spid="_x0000_s18446"/>
                </a:ext>
                <a:ext uri="{FF2B5EF4-FFF2-40B4-BE49-F238E27FC236}">
                  <a16:creationId xmlns:a16="http://schemas.microsoft.com/office/drawing/2014/main" id="{00000000-0008-0000-0800-00000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15240</xdr:rowOff>
        </xdr:from>
        <xdr:to>
          <xdr:col>4</xdr:col>
          <xdr:colOff>144780</xdr:colOff>
          <xdr:row>3</xdr:row>
          <xdr:rowOff>297180</xdr:rowOff>
        </xdr:to>
        <xdr:sp macro="" textlink="">
          <xdr:nvSpPr>
            <xdr:cNvPr id="18447" name="Spinner 15" hidden="1">
              <a:extLst>
                <a:ext uri="{63B3BB69-23CF-44E3-9099-C40C66FF867C}">
                  <a14:compatExt spid="_x0000_s18447"/>
                </a:ext>
                <a:ext uri="{FF2B5EF4-FFF2-40B4-BE49-F238E27FC236}">
                  <a16:creationId xmlns:a16="http://schemas.microsoft.com/office/drawing/2014/main" id="{00000000-0008-0000-0800-00000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129540</xdr:colOff>
          <xdr:row>1</xdr:row>
          <xdr:rowOff>15240</xdr:rowOff>
        </xdr:from>
        <xdr:to>
          <xdr:col>8</xdr:col>
          <xdr:colOff>1059180</xdr:colOff>
          <xdr:row>2</xdr:row>
          <xdr:rowOff>7620</xdr:rowOff>
        </xdr:to>
        <xdr:sp macro="" textlink="">
          <xdr:nvSpPr>
            <xdr:cNvPr id="18449" name="Check Box 17" hidden="1">
              <a:extLst>
                <a:ext uri="{63B3BB69-23CF-44E3-9099-C40C66FF867C}">
                  <a14:compatExt spid="_x0000_s18449"/>
                </a:ext>
                <a:ext uri="{FF2B5EF4-FFF2-40B4-BE49-F238E27FC236}">
                  <a16:creationId xmlns:a16="http://schemas.microsoft.com/office/drawing/2014/main" id="{00000000-0008-0000-0800-00001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mean line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129540</xdr:colOff>
          <xdr:row>1</xdr:row>
          <xdr:rowOff>320040</xdr:rowOff>
        </xdr:from>
        <xdr:to>
          <xdr:col>8</xdr:col>
          <xdr:colOff>1592580</xdr:colOff>
          <xdr:row>2</xdr:row>
          <xdr:rowOff>304800</xdr:rowOff>
        </xdr:to>
        <xdr:sp macro="" textlink="">
          <xdr:nvSpPr>
            <xdr:cNvPr id="18450" name="Check Box 18" hidden="1">
              <a:extLst>
                <a:ext uri="{63B3BB69-23CF-44E3-9099-C40C66FF867C}">
                  <a14:compatExt spid="_x0000_s18450"/>
                </a:ext>
                <a:ext uri="{FF2B5EF4-FFF2-40B4-BE49-F238E27FC236}">
                  <a16:creationId xmlns:a16="http://schemas.microsoft.com/office/drawing/2014/main" id="{00000000-0008-0000-0800-00001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leading-edge radius</a:t>
              </a:r>
            </a:p>
          </xdr:txBody>
        </xdr:sp>
        <xdr:clientData fLock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555482</xdr:colOff>
      <xdr:row>3</xdr:row>
      <xdr:rowOff>49808</xdr:rowOff>
    </xdr:from>
    <xdr:to>
      <xdr:col>8</xdr:col>
      <xdr:colOff>1717430</xdr:colOff>
      <xdr:row>21</xdr:row>
      <xdr:rowOff>175843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32826</xdr:rowOff>
        </xdr:from>
        <xdr:to>
          <xdr:col>4</xdr:col>
          <xdr:colOff>144780</xdr:colOff>
          <xdr:row>2</xdr:row>
          <xdr:rowOff>322386</xdr:rowOff>
        </xdr:to>
        <xdr:sp macro="" textlink="">
          <xdr:nvSpPr>
            <xdr:cNvPr id="24577" name="Spinner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A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42204</xdr:rowOff>
        </xdr:from>
        <xdr:to>
          <xdr:col>4</xdr:col>
          <xdr:colOff>144780</xdr:colOff>
          <xdr:row>1</xdr:row>
          <xdr:rowOff>331764</xdr:rowOff>
        </xdr:to>
        <xdr:sp macro="" textlink="">
          <xdr:nvSpPr>
            <xdr:cNvPr id="24578" name="Spinner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A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165882</xdr:colOff>
          <xdr:row>1</xdr:row>
          <xdr:rowOff>84408</xdr:rowOff>
        </xdr:from>
        <xdr:to>
          <xdr:col>8</xdr:col>
          <xdr:colOff>1293642</xdr:colOff>
          <xdr:row>1</xdr:row>
          <xdr:rowOff>358728</xdr:rowOff>
        </xdr:to>
        <xdr:sp macro="" textlink="">
          <xdr:nvSpPr>
            <xdr:cNvPr id="24580" name="Check Box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A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mean line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164124</xdr:colOff>
          <xdr:row>1</xdr:row>
          <xdr:rowOff>356970</xdr:rowOff>
        </xdr:from>
        <xdr:to>
          <xdr:col>8</xdr:col>
          <xdr:colOff>1482384</xdr:colOff>
          <xdr:row>2</xdr:row>
          <xdr:rowOff>255566</xdr:rowOff>
        </xdr:to>
        <xdr:sp macro="" textlink="">
          <xdr:nvSpPr>
            <xdr:cNvPr id="24581" name="Check Box 5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A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leading-edge radius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18.xml"/><Relationship Id="rId12" Type="http://schemas.openxmlformats.org/officeDocument/2006/relationships/ctrlProp" Target="../ctrlProps/ctrlProp2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7.xml"/><Relationship Id="rId11" Type="http://schemas.openxmlformats.org/officeDocument/2006/relationships/ctrlProp" Target="../ctrlProps/ctrlProp22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2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10" Type="http://schemas.openxmlformats.org/officeDocument/2006/relationships/ctrlProp" Target="../ctrlProps/ctrlProp30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33.xml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68CE-FCC4-43EA-AF02-AD8DE5C03935}">
  <sheetPr codeName="Sheet4"/>
  <dimension ref="A1:A46"/>
  <sheetViews>
    <sheetView showGridLines="0" showRowColHeaders="0" zoomScale="110" zoomScaleNormal="110" workbookViewId="0"/>
  </sheetViews>
  <sheetFormatPr defaultRowHeight="14.4" x14ac:dyDescent="0.3"/>
  <sheetData>
    <row r="1" s="17" customFormat="1" x14ac:dyDescent="0.3"/>
    <row r="2" s="17" customFormat="1" x14ac:dyDescent="0.3"/>
    <row r="3" s="17" customFormat="1" x14ac:dyDescent="0.3"/>
    <row r="4" s="17" customFormat="1" x14ac:dyDescent="0.3"/>
    <row r="5" s="17" customFormat="1" x14ac:dyDescent="0.3"/>
    <row r="6" s="17" customFormat="1" x14ac:dyDescent="0.3"/>
    <row r="7" s="17" customFormat="1" x14ac:dyDescent="0.3"/>
    <row r="8" s="17" customFormat="1" x14ac:dyDescent="0.3"/>
    <row r="9" s="66" customFormat="1" x14ac:dyDescent="0.3"/>
    <row r="10" s="66" customFormat="1" x14ac:dyDescent="0.3"/>
    <row r="11" s="66" customFormat="1" x14ac:dyDescent="0.3"/>
    <row r="12" s="66" customFormat="1" x14ac:dyDescent="0.3"/>
    <row r="13" s="66" customFormat="1" x14ac:dyDescent="0.3"/>
    <row r="14" s="66" customFormat="1" x14ac:dyDescent="0.3"/>
    <row r="15" s="66" customFormat="1" x14ac:dyDescent="0.3"/>
    <row r="16" s="66" customFormat="1" x14ac:dyDescent="0.3"/>
    <row r="17" s="66" customFormat="1" x14ac:dyDescent="0.3"/>
    <row r="18" s="66" customFormat="1" x14ac:dyDescent="0.3"/>
    <row r="19" s="66" customFormat="1" x14ac:dyDescent="0.3"/>
    <row r="20" s="66" customFormat="1" x14ac:dyDescent="0.3"/>
    <row r="21" s="66" customFormat="1" x14ac:dyDescent="0.3"/>
    <row r="22" s="66" customFormat="1" x14ac:dyDescent="0.3"/>
    <row r="23" s="66" customFormat="1" x14ac:dyDescent="0.3"/>
    <row r="24" s="66" customFormat="1" x14ac:dyDescent="0.3"/>
    <row r="25" s="66" customFormat="1" x14ac:dyDescent="0.3"/>
    <row r="26" s="66" customFormat="1" x14ac:dyDescent="0.3"/>
    <row r="27" s="66" customFormat="1" x14ac:dyDescent="0.3"/>
    <row r="28" s="66" customFormat="1" x14ac:dyDescent="0.3"/>
    <row r="29" s="66" customFormat="1" x14ac:dyDescent="0.3"/>
    <row r="30" s="66" customFormat="1" x14ac:dyDescent="0.3"/>
    <row r="31" s="66" customFormat="1" x14ac:dyDescent="0.3"/>
    <row r="32" s="66" customFormat="1" x14ac:dyDescent="0.3"/>
    <row r="33" s="66" customFormat="1" x14ac:dyDescent="0.3"/>
    <row r="34" s="66" customFormat="1" x14ac:dyDescent="0.3"/>
    <row r="35" s="66" customFormat="1" x14ac:dyDescent="0.3"/>
    <row r="36" s="66" customFormat="1" x14ac:dyDescent="0.3"/>
    <row r="37" s="66" customFormat="1" x14ac:dyDescent="0.3"/>
    <row r="38" s="66" customFormat="1" x14ac:dyDescent="0.3"/>
    <row r="39" s="66" customFormat="1" x14ac:dyDescent="0.3"/>
    <row r="40" s="66" customFormat="1" x14ac:dyDescent="0.3"/>
    <row r="41" s="66" customFormat="1" x14ac:dyDescent="0.3"/>
    <row r="42" s="66" customFormat="1" x14ac:dyDescent="0.3"/>
    <row r="43" s="66" customFormat="1" x14ac:dyDescent="0.3"/>
    <row r="44" s="66" customFormat="1" x14ac:dyDescent="0.3"/>
    <row r="45" s="66" customFormat="1" x14ac:dyDescent="0.3"/>
    <row r="46" s="66" customFormat="1" x14ac:dyDescent="0.3"/>
  </sheetData>
  <sheetProtection algorithmName="SHA-512" hashValue="lRlHOVBVEZXOwJfk+g3Cwt97FXBE2b/Td470a9Cmix1B9/DF9E2sGdwhVSnFJQP0mbN2JC5lZa6HWT+x7xztEA==" saltValue="AJzEWhsPrcJVGp8M5Pue7g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A913-5FAC-48F1-9E6F-B0A917079643}">
  <sheetPr codeName="Sheet1"/>
  <dimension ref="A1:AF500"/>
  <sheetViews>
    <sheetView zoomScale="77" zoomScaleNormal="130" workbookViewId="0">
      <selection activeCell="Q11" sqref="Q11"/>
    </sheetView>
  </sheetViews>
  <sheetFormatPr defaultRowHeight="14.4" x14ac:dyDescent="0.3"/>
  <cols>
    <col min="1" max="1" width="8.88671875" style="13"/>
    <col min="2" max="4" width="9" style="12" bestFit="1" customWidth="1"/>
    <col min="5" max="7" width="9.21875" style="12" bestFit="1" customWidth="1"/>
    <col min="8" max="9" width="9" style="12" bestFit="1" customWidth="1"/>
    <col min="10" max="10" width="9.21875" style="12" bestFit="1" customWidth="1"/>
    <col min="11" max="11" width="9" style="12" bestFit="1" customWidth="1"/>
    <col min="12" max="12" width="8.88671875" style="13"/>
    <col min="13" max="13" width="13.44140625" style="124" customWidth="1"/>
    <col min="14" max="14" width="8.88671875" style="13"/>
    <col min="15" max="15" width="8.88671875" style="14"/>
    <col min="16" max="16" width="8.88671875" style="5"/>
    <col min="19" max="21" width="8.88671875" style="40"/>
    <col min="29" max="32" width="8.88671875" style="5"/>
  </cols>
  <sheetData>
    <row r="1" spans="1:21" x14ac:dyDescent="0.3">
      <c r="A1" s="11">
        <f>$O$1/100</f>
        <v>0.03</v>
      </c>
      <c r="B1" s="12" cm="1">
        <f t="array" ref="B1:B500">1-COS((_xlfn.SEQUENCE(500,1,0,1)*PI())/(2*(500-1)))</f>
        <v>0</v>
      </c>
      <c r="C1" s="12">
        <f>IF($A$1=0, 0, IF(B1&lt;=$A$2, ($A$1/$A$2^2)*(2*$A$2*B1-B1^2), ($A$1/(1-$A$2)^2)*((1-2*$A$2)+2*$A$2*B1-B1^2)))</f>
        <v>0</v>
      </c>
      <c r="D1" s="12">
        <f>5*$A$3*(0.2969*SQRT(B1)-0.126*B1-0.3516*B1^2+0.2843*B1^3-0.1015*B1^4)</f>
        <v>0</v>
      </c>
      <c r="E1" s="12">
        <f>IF($A$1=0, 0, IF(B1&lt;=$A$2, ($A$1/$A$2^2) *(2*$A$2-2*B1), ($A$1/(1-$A$2)^2)*(2*$A$2-2*B1)))</f>
        <v>0.14999999999999997</v>
      </c>
      <c r="F1" s="12">
        <f>IF($A$1=0, 0,  ATAN(E1))</f>
        <v>0.14888994760949723</v>
      </c>
      <c r="G1" s="12">
        <f>B1-D1*SIN(F1)</f>
        <v>0</v>
      </c>
      <c r="H1" s="12">
        <f>C1+D1*COS(F1)</f>
        <v>0</v>
      </c>
      <c r="I1" s="12">
        <f>B1+D1*SIN(F1)</f>
        <v>0</v>
      </c>
      <c r="J1" s="12">
        <f>C1-D1*COS(F1)</f>
        <v>0</v>
      </c>
      <c r="M1" s="123">
        <f>IF($Q$1,  C1, -0.2)</f>
        <v>-0.2</v>
      </c>
      <c r="N1" s="15">
        <v>3</v>
      </c>
      <c r="O1" s="25">
        <f>IF($P$1=1, 0, $N$1)</f>
        <v>3</v>
      </c>
      <c r="P1" s="15">
        <v>2</v>
      </c>
      <c r="Q1" s="19" t="b">
        <v>0</v>
      </c>
      <c r="R1" s="16">
        <f>ATAN(E1)</f>
        <v>0.14888994760949723</v>
      </c>
      <c r="S1" s="40" cm="1">
        <f t="array" ref="S1:S50">_xlfn.SEQUENCE(50, 1, 0, (2*PI())/(50-1))</f>
        <v>0</v>
      </c>
      <c r="T1" s="40">
        <f>$R$2*(COS($R$1)+COS(S1))</f>
        <v>9.6647335055864717E-2</v>
      </c>
      <c r="U1" s="40">
        <f>IF($Q$2, $R$2*(SIN($R$1)+SIN(S1)), -0.2)</f>
        <v>-0.2</v>
      </c>
    </row>
    <row r="2" spans="1:21" x14ac:dyDescent="0.3">
      <c r="A2" s="11">
        <f>$O$2/10</f>
        <v>0.4</v>
      </c>
      <c r="B2" s="12">
        <v>4.9545966939179564E-6</v>
      </c>
      <c r="C2" s="12">
        <f t="shared" ref="C2:C65" si="0">IF($A$1=0, 0, IF(B2&lt;=$A$2, ($A$1/$A$2^2)*(2*$A$2*B2-B2^2), ($A$1/(1-$A$2)^2)*((1-2*$A$2)+2*$A$2*B2-B2^2)))</f>
        <v>7.4318490133236853E-7</v>
      </c>
      <c r="D2" s="12">
        <f t="shared" ref="D2:D65" si="1">5*$A$3*(0.2969*SQRT(B2)-0.126*B2-0.3516*B2^2+0.2843*B2^3-0.1015*B2^4)</f>
        <v>6.9325530425298526E-4</v>
      </c>
      <c r="E2" s="12">
        <f t="shared" ref="E2:E65" si="2">IF($A$1=0, 0, IF(B2&lt;=$A$2, ($A$1/$A$2^2) *(2*$A$2-2*B2), ($A$1/(1-$A$2)^2)*(2*$A$2-2*B2)))</f>
        <v>0.14999814202623973</v>
      </c>
      <c r="F2" s="12">
        <f t="shared" ref="F2:F65" si="3">IF($A$1=0, 0,  ATAN(E2))</f>
        <v>0.14888813051974989</v>
      </c>
      <c r="G2" s="12">
        <f t="shared" ref="G2:G65" si="4">B2-D2*SIN(F2)</f>
        <v>-9.7881963364943896E-5</v>
      </c>
      <c r="H2" s="12">
        <f t="shared" ref="H2:H65" si="5">C2+D2*COS(F2)</f>
        <v>6.8632874396027234E-4</v>
      </c>
      <c r="I2" s="12">
        <f t="shared" ref="I2:I65" si="6">B2+D2*SIN(F2)</f>
        <v>1.0779115675277981E-4</v>
      </c>
      <c r="J2" s="12">
        <f t="shared" ref="J2:J65" si="7">C2-D2*COS(F2)</f>
        <v>-6.8484237415760753E-4</v>
      </c>
      <c r="M2" s="123">
        <f>IF($Q$1,  C2, -0.2)</f>
        <v>-0.2</v>
      </c>
      <c r="N2" s="15">
        <v>4</v>
      </c>
      <c r="O2" s="25">
        <f>IF($P$1=1, 0, $N$2)</f>
        <v>4</v>
      </c>
      <c r="Q2" s="19" t="b">
        <v>0</v>
      </c>
      <c r="R2">
        <f>(0.2969^2/2)*(A3/0.2)^2</f>
        <v>4.8592472512499985E-2</v>
      </c>
      <c r="S2" s="40">
        <v>0.12822827157509359</v>
      </c>
      <c r="T2" s="40">
        <f t="shared" ref="T2:T50" si="8">$R$2*(COS($R$1)+COS(S2))</f>
        <v>9.6248391528242799E-2</v>
      </c>
      <c r="U2" s="40">
        <f>IF($Q$2, $R$2*(SIN($R$1)+SIN(S2)), -0.2)</f>
        <v>-0.2</v>
      </c>
    </row>
    <row r="3" spans="1:21" x14ac:dyDescent="0.3">
      <c r="A3" s="39">
        <f>O3/100</f>
        <v>0.21</v>
      </c>
      <c r="B3" s="12">
        <v>1.9818337679722298E-5</v>
      </c>
      <c r="C3" s="12">
        <f t="shared" si="0"/>
        <v>2.9726770082380213E-6</v>
      </c>
      <c r="D3" s="12">
        <f t="shared" si="1"/>
        <v>1.3851977828207454E-3</v>
      </c>
      <c r="E3" s="12">
        <f t="shared" si="2"/>
        <v>0.14999256812337006</v>
      </c>
      <c r="F3" s="12">
        <f t="shared" si="3"/>
        <v>0.14888267926257068</v>
      </c>
      <c r="G3" s="12">
        <f t="shared" si="4"/>
        <v>-1.8565257210828673E-4</v>
      </c>
      <c r="H3" s="12">
        <f t="shared" si="5"/>
        <v>1.3728466138222782E-3</v>
      </c>
      <c r="I3" s="12">
        <f t="shared" si="6"/>
        <v>2.2528924746773133E-4</v>
      </c>
      <c r="J3" s="12">
        <f t="shared" si="7"/>
        <v>-1.3669012598058021E-3</v>
      </c>
      <c r="M3" s="123">
        <f>IF($Q$1,  C3, -0.2)</f>
        <v>-0.2</v>
      </c>
      <c r="O3" s="129">
        <v>21</v>
      </c>
      <c r="S3" s="40">
        <v>0.25645654315018718</v>
      </c>
      <c r="T3" s="40">
        <f t="shared" si="8"/>
        <v>9.5058111587071212E-2</v>
      </c>
      <c r="U3" s="40">
        <f>IF($Q$2, $R$2*(SIN($R$1)+SIN(S3)), -0.2)</f>
        <v>-0.2</v>
      </c>
    </row>
    <row r="4" spans="1:21" x14ac:dyDescent="0.3">
      <c r="B4" s="12">
        <v>4.4591075669564439E-5</v>
      </c>
      <c r="C4" s="12">
        <f t="shared" si="0"/>
        <v>6.6882885321791579E-6</v>
      </c>
      <c r="D4" s="12">
        <f t="shared" si="1"/>
        <v>2.0758254099330306E-3</v>
      </c>
      <c r="E4" s="12">
        <f t="shared" si="2"/>
        <v>0.14998327834662387</v>
      </c>
      <c r="F4" s="12">
        <f t="shared" si="3"/>
        <v>0.14887359387414872</v>
      </c>
      <c r="G4" s="12">
        <f t="shared" si="4"/>
        <v>-2.6330423388660693E-4</v>
      </c>
      <c r="H4" s="12">
        <f t="shared" si="5"/>
        <v>2.05955253413561E-3</v>
      </c>
      <c r="I4" s="12">
        <f t="shared" si="6"/>
        <v>3.524863852257358E-4</v>
      </c>
      <c r="J4" s="12">
        <f t="shared" si="7"/>
        <v>-2.046175957071252E-3</v>
      </c>
      <c r="M4" s="123">
        <f>IF($Q$1,  C4, -0.2)</f>
        <v>-0.2</v>
      </c>
      <c r="S4" s="40">
        <v>0.38468481472528077</v>
      </c>
      <c r="T4" s="40">
        <f t="shared" si="8"/>
        <v>9.3096039596076915E-2</v>
      </c>
      <c r="U4" s="40">
        <f>IF($Q$2, $R$2*(SIN($R$1)+SIN(S4)), -0.2)</f>
        <v>-0.2</v>
      </c>
    </row>
    <row r="5" spans="1:21" x14ac:dyDescent="0.3">
      <c r="B5" s="12">
        <v>7.9272565185806165E-5</v>
      </c>
      <c r="C5" s="12">
        <f t="shared" si="0"/>
        <v>1.1889706501697583E-5</v>
      </c>
      <c r="D5" s="12">
        <f t="shared" si="1"/>
        <v>2.7651359554090689E-3</v>
      </c>
      <c r="E5" s="12">
        <f t="shared" si="2"/>
        <v>0.14997027278805528</v>
      </c>
      <c r="F5" s="12">
        <f t="shared" si="3"/>
        <v>0.14886087441480181</v>
      </c>
      <c r="G5" s="12">
        <f t="shared" si="4"/>
        <v>-3.3082945276532083E-4</v>
      </c>
      <c r="H5" s="12">
        <f t="shared" si="5"/>
        <v>2.7464450975604412E-3</v>
      </c>
      <c r="I5" s="12">
        <f t="shared" si="6"/>
        <v>4.8937458313693316E-4</v>
      </c>
      <c r="J5" s="12">
        <f t="shared" si="7"/>
        <v>-2.722665684557046E-3</v>
      </c>
      <c r="M5" s="123">
        <f>IF($Q$1,  C5, -0.2)</f>
        <v>-0.2</v>
      </c>
      <c r="S5" s="40">
        <v>0.51291308630037435</v>
      </c>
      <c r="T5" s="40">
        <f t="shared" si="8"/>
        <v>9.0394392723107633E-2</v>
      </c>
      <c r="U5" s="40">
        <f>IF($Q$2, $R$2*(SIN($R$1)+SIN(S5)), -0.2)</f>
        <v>-0.2</v>
      </c>
    </row>
    <row r="6" spans="1:21" x14ac:dyDescent="0.3">
      <c r="B6" s="12">
        <v>1.2386246256268496E-4</v>
      </c>
      <c r="C6" s="12">
        <f t="shared" si="0"/>
        <v>1.8576492776346722E-5</v>
      </c>
      <c r="D6" s="12">
        <f t="shared" si="1"/>
        <v>3.4531269847289181E-3</v>
      </c>
      <c r="E6" s="12">
        <f t="shared" si="2"/>
        <v>0.14995355157653895</v>
      </c>
      <c r="F6" s="12">
        <f t="shared" si="3"/>
        <v>0.1488445209689804</v>
      </c>
      <c r="G6" s="12">
        <f t="shared" si="4"/>
        <v>-3.8822082937847052E-4</v>
      </c>
      <c r="H6" s="12">
        <f t="shared" si="5"/>
        <v>3.4335225647923809E-3</v>
      </c>
      <c r="I6" s="12">
        <f t="shared" si="6"/>
        <v>6.3594575450384044E-4</v>
      </c>
      <c r="J6" s="12">
        <f t="shared" si="7"/>
        <v>-3.3963695792396872E-3</v>
      </c>
      <c r="M6" s="123">
        <f>IF($Q$1,  C6, -0.2)</f>
        <v>-0.2</v>
      </c>
      <c r="S6" s="40">
        <v>0.64114135787546789</v>
      </c>
      <c r="T6" s="40">
        <f t="shared" si="8"/>
        <v>8.6997531935126479E-2</v>
      </c>
      <c r="U6" s="40">
        <f>IF($Q$2, $R$2*(SIN($R$1)+SIN(S6)), -0.2)</f>
        <v>-0.2</v>
      </c>
    </row>
    <row r="7" spans="1:21" x14ac:dyDescent="0.3">
      <c r="B7" s="12">
        <v>1.7836032595031082E-4</v>
      </c>
      <c r="C7" s="12">
        <f t="shared" si="0"/>
        <v>2.674808406644541E-5</v>
      </c>
      <c r="D7" s="12">
        <f t="shared" si="1"/>
        <v>4.1397958591822088E-3</v>
      </c>
      <c r="E7" s="12">
        <f t="shared" si="2"/>
        <v>0.14993311487776859</v>
      </c>
      <c r="F7" s="12">
        <f t="shared" si="3"/>
        <v>0.14882453364527312</v>
      </c>
      <c r="G7" s="12">
        <f t="shared" si="4"/>
        <v>-4.3547106110834429E-4</v>
      </c>
      <c r="H7" s="12">
        <f t="shared" si="5"/>
        <v>4.1207828645689042E-3</v>
      </c>
      <c r="I7" s="12">
        <f t="shared" si="6"/>
        <v>7.9219171300896592E-4</v>
      </c>
      <c r="J7" s="12">
        <f t="shared" si="7"/>
        <v>-4.0672866964360128E-3</v>
      </c>
      <c r="M7" s="123">
        <f>IF($Q$1,  C7, -0.2)</f>
        <v>-0.2</v>
      </c>
      <c r="S7" s="40">
        <v>0.76936962945056142</v>
      </c>
      <c r="T7" s="40">
        <f t="shared" si="8"/>
        <v>8.2961233592360795E-2</v>
      </c>
      <c r="U7" s="40">
        <f>IF($Q$2, $R$2*(SIN($R$1)+SIN(S7)), -0.2)</f>
        <v>-0.2</v>
      </c>
    </row>
    <row r="8" spans="1:21" x14ac:dyDescent="0.3">
      <c r="B8" s="12">
        <v>2.4276561531888508E-4</v>
      </c>
      <c r="C8" s="12">
        <f t="shared" si="0"/>
        <v>3.6403791958336289E-5</v>
      </c>
      <c r="D8" s="12">
        <f t="shared" si="1"/>
        <v>4.8251397360326168E-3</v>
      </c>
      <c r="E8" s="12">
        <f t="shared" si="2"/>
        <v>0.14990896289425537</v>
      </c>
      <c r="F8" s="12">
        <f t="shared" si="3"/>
        <v>0.14880091257641379</v>
      </c>
      <c r="G8" s="12">
        <f t="shared" si="4"/>
        <v>-4.7257294227788873E-4</v>
      </c>
      <c r="H8" s="12">
        <f t="shared" si="5"/>
        <v>4.8082235936960632E-3</v>
      </c>
      <c r="I8" s="12">
        <f t="shared" si="6"/>
        <v>9.5810417291565888E-4</v>
      </c>
      <c r="J8" s="12">
        <f t="shared" si="7"/>
        <v>-4.7354160097793901E-3</v>
      </c>
      <c r="M8" s="123">
        <f>IF($Q$1,  C8, -0.2)</f>
        <v>-0.2</v>
      </c>
      <c r="S8" s="40">
        <v>0.89759790102565495</v>
      </c>
      <c r="T8" s="40">
        <f t="shared" si="8"/>
        <v>7.8351773602009317E-2</v>
      </c>
      <c r="U8" s="40">
        <f>IF($Q$2, $R$2*(SIN($R$1)+SIN(S8)), -0.2)</f>
        <v>-0.2</v>
      </c>
    </row>
    <row r="9" spans="1:21" x14ac:dyDescent="0.3">
      <c r="B9" s="12">
        <v>3.1707769246391848E-4</v>
      </c>
      <c r="C9" s="12">
        <f t="shared" si="0"/>
        <v>4.7542802945264341E-5</v>
      </c>
      <c r="D9" s="12">
        <f t="shared" si="1"/>
        <v>5.5091555687232074E-3</v>
      </c>
      <c r="E9" s="12">
        <f t="shared" si="2"/>
        <v>0.149881095865326</v>
      </c>
      <c r="F9" s="12">
        <f t="shared" si="3"/>
        <v>0.14877365791929015</v>
      </c>
      <c r="G9" s="12">
        <f t="shared" si="4"/>
        <v>-4.9951936435885778E-4</v>
      </c>
      <c r="H9" s="12">
        <f t="shared" si="5"/>
        <v>5.4958420171204829E-3</v>
      </c>
      <c r="I9" s="12">
        <f t="shared" si="6"/>
        <v>1.1336747492866946E-3</v>
      </c>
      <c r="J9" s="12">
        <f t="shared" si="7"/>
        <v>-5.4007564112299542E-3</v>
      </c>
      <c r="M9" s="123">
        <f>IF($Q$1,  C9, -0.2)</f>
        <v>-0.2</v>
      </c>
      <c r="S9" s="40">
        <v>1.0258261726007485</v>
      </c>
      <c r="T9" s="40">
        <f t="shared" si="8"/>
        <v>7.3244839169678208E-2</v>
      </c>
      <c r="U9" s="40">
        <f>IF($Q$2, $R$2*(SIN($R$1)+SIN(S9)), -0.2)</f>
        <v>-0.2</v>
      </c>
    </row>
    <row r="10" spans="1:21" x14ac:dyDescent="0.3">
      <c r="B10" s="12">
        <v>4.0129582101267047E-4</v>
      </c>
      <c r="C10" s="12">
        <f t="shared" si="0"/>
        <v>6.0164178463907642E-5</v>
      </c>
      <c r="D10" s="12">
        <f t="shared" si="1"/>
        <v>6.1918401071210704E-3</v>
      </c>
      <c r="E10" s="12">
        <f t="shared" si="2"/>
        <v>0.14984951406712022</v>
      </c>
      <c r="F10" s="12">
        <f t="shared" si="3"/>
        <v>0.14874276985495402</v>
      </c>
      <c r="G10" s="12">
        <f t="shared" si="4"/>
        <v>-5.1630331619522893E-4</v>
      </c>
      <c r="H10" s="12">
        <f t="shared" si="5"/>
        <v>6.1836350680451084E-3</v>
      </c>
      <c r="I10" s="12">
        <f t="shared" si="6"/>
        <v>1.3188949582205699E-3</v>
      </c>
      <c r="J10" s="12">
        <f t="shared" si="7"/>
        <v>-6.0633067111172936E-3</v>
      </c>
      <c r="M10" s="123">
        <f>IF($Q$1,  C10, -0.2)</f>
        <v>-0.2</v>
      </c>
      <c r="S10" s="40">
        <v>1.154054444175842</v>
      </c>
      <c r="T10" s="40">
        <f t="shared" si="8"/>
        <v>6.772428601755752E-2</v>
      </c>
      <c r="U10" s="40">
        <f>IF($Q$2, $R$2*(SIN($R$1)+SIN(S10)), -0.2)</f>
        <v>-0.2</v>
      </c>
    </row>
    <row r="11" spans="1:21" x14ac:dyDescent="0.3">
      <c r="B11" s="12">
        <v>4.9541916643136563E-4</v>
      </c>
      <c r="C11" s="12">
        <f t="shared" si="0"/>
        <v>7.4266854936492149E-5</v>
      </c>
      <c r="D11" s="12">
        <f t="shared" si="1"/>
        <v>6.8731898977962731E-3</v>
      </c>
      <c r="E11" s="12">
        <f t="shared" si="2"/>
        <v>0.14981421781258819</v>
      </c>
      <c r="F11" s="12">
        <f t="shared" si="3"/>
        <v>0.14870824858863316</v>
      </c>
      <c r="G11" s="12">
        <f t="shared" si="4"/>
        <v>-5.2291788424158026E-4</v>
      </c>
      <c r="H11" s="12">
        <f t="shared" si="5"/>
        <v>6.8715993480837467E-3</v>
      </c>
      <c r="I11" s="12">
        <f t="shared" si="6"/>
        <v>1.5137562171043115E-3</v>
      </c>
      <c r="J11" s="12">
        <f t="shared" si="7"/>
        <v>-6.7230656382107623E-3</v>
      </c>
      <c r="M11" s="123">
        <f>IF($Q$1,  C11, -0.2)</f>
        <v>-0.2</v>
      </c>
      <c r="S11" s="40">
        <v>1.2822827157509356</v>
      </c>
      <c r="T11" s="40">
        <f t="shared" si="8"/>
        <v>6.188076147578115E-2</v>
      </c>
      <c r="U11" s="40">
        <f>IF($Q$2, $R$2*(SIN($R$1)+SIN(S11)), -0.2)</f>
        <v>-0.2</v>
      </c>
    </row>
    <row r="12" spans="1:21" x14ac:dyDescent="0.3">
      <c r="B12" s="12">
        <v>5.9944679603363138E-4</v>
      </c>
      <c r="C12" s="12">
        <f t="shared" si="0"/>
        <v>8.9849643818555624E-5</v>
      </c>
      <c r="D12" s="12">
        <f t="shared" si="1"/>
        <v>7.5532012843393601E-3</v>
      </c>
      <c r="E12" s="12">
        <f t="shared" si="2"/>
        <v>0.14977520745148734</v>
      </c>
      <c r="F12" s="12">
        <f t="shared" si="3"/>
        <v>0.14867009434974465</v>
      </c>
      <c r="G12" s="12">
        <f t="shared" si="4"/>
        <v>-5.1935625281658853E-4</v>
      </c>
      <c r="H12" s="12">
        <f t="shared" si="5"/>
        <v>7.5597311274586548E-3</v>
      </c>
      <c r="I12" s="12">
        <f t="shared" si="6"/>
        <v>1.7182498448838513E-3</v>
      </c>
      <c r="J12" s="12">
        <f t="shared" si="7"/>
        <v>-7.3800318398215443E-3</v>
      </c>
      <c r="M12" s="123">
        <f>IF($Q$1,  C12, -0.2)</f>
        <v>-0.2</v>
      </c>
      <c r="S12" s="40">
        <v>1.4105109873260291</v>
      </c>
      <c r="T12" s="40">
        <f t="shared" si="8"/>
        <v>5.5810216055772119E-2</v>
      </c>
      <c r="U12" s="40">
        <f>IF($Q$2, $R$2*(SIN($R$1)+SIN(S12)), -0.2)</f>
        <v>-0.2</v>
      </c>
    </row>
    <row r="13" spans="1:21" x14ac:dyDescent="0.3">
      <c r="B13" s="12">
        <v>7.133776789896018E-4</v>
      </c>
      <c r="C13" s="12">
        <f t="shared" si="0"/>
        <v>1.0691123165227513E-4</v>
      </c>
      <c r="D13" s="12">
        <f t="shared" si="1"/>
        <v>8.2318704077129941E-3</v>
      </c>
      <c r="E13" s="12">
        <f t="shared" si="2"/>
        <v>0.14973248337037887</v>
      </c>
      <c r="F13" s="12">
        <f t="shared" si="3"/>
        <v>0.1486283073919098</v>
      </c>
      <c r="G13" s="12">
        <f t="shared" si="4"/>
        <v>-5.0561170437152746E-4</v>
      </c>
      <c r="H13" s="12">
        <f t="shared" si="5"/>
        <v>8.2480263452367614E-3</v>
      </c>
      <c r="I13" s="12">
        <f t="shared" si="6"/>
        <v>1.9323670623507311E-3</v>
      </c>
      <c r="J13" s="12">
        <f t="shared" si="7"/>
        <v>-8.0342038819322115E-3</v>
      </c>
      <c r="M13" s="123">
        <f>IF($Q$1,  C13, -0.2)</f>
        <v>-0.2</v>
      </c>
      <c r="S13" s="40">
        <v>1.5387392589011226</v>
      </c>
      <c r="T13" s="40">
        <f t="shared" si="8"/>
        <v>4.9612327945497685E-2</v>
      </c>
      <c r="U13" s="40">
        <f>IF($Q$2, $R$2*(SIN($R$1)+SIN(S13)), -0.2)</f>
        <v>-0.2</v>
      </c>
    </row>
    <row r="14" spans="1:21" x14ac:dyDescent="0.3">
      <c r="B14" s="12">
        <v>8.3721068633602069E-4</v>
      </c>
      <c r="C14" s="12">
        <f t="shared" si="0"/>
        <v>1.2545018012540649E-4</v>
      </c>
      <c r="D14" s="12">
        <f t="shared" si="1"/>
        <v>8.9091932066407351E-3</v>
      </c>
      <c r="E14" s="12">
        <f t="shared" si="2"/>
        <v>0.14968604599262395</v>
      </c>
      <c r="F14" s="12">
        <f t="shared" si="3"/>
        <v>0.14858288799297059</v>
      </c>
      <c r="G14" s="12">
        <f t="shared" si="4"/>
        <v>-4.8167761977385053E-4</v>
      </c>
      <c r="H14" s="12">
        <f t="shared" si="5"/>
        <v>8.9364806096075382E-3</v>
      </c>
      <c r="I14" s="12">
        <f t="shared" si="6"/>
        <v>2.1560989924458919E-3</v>
      </c>
      <c r="J14" s="12">
        <f t="shared" si="7"/>
        <v>-8.6855802493567245E-3</v>
      </c>
      <c r="M14" s="123">
        <f>IF($Q$1,  C14, -0.2)</f>
        <v>-0.2</v>
      </c>
      <c r="S14" s="40">
        <v>1.6669675304762162</v>
      </c>
      <c r="T14" s="40">
        <f t="shared" si="8"/>
        <v>4.3388866296378663E-2</v>
      </c>
      <c r="U14" s="40">
        <f>IF($Q$2, $R$2*(SIN($R$1)+SIN(S14)), -0.2)</f>
        <v>-0.2</v>
      </c>
    </row>
    <row r="15" spans="1:21" x14ac:dyDescent="0.3">
      <c r="B15" s="12">
        <v>9.7094459098767683E-4</v>
      </c>
      <c r="C15" s="12">
        <f t="shared" si="0"/>
        <v>1.4546492613588244E-4</v>
      </c>
      <c r="D15" s="12">
        <f t="shared" si="1"/>
        <v>9.5851654180341452E-3</v>
      </c>
      <c r="E15" s="12">
        <f t="shared" si="2"/>
        <v>0.14963589577837957</v>
      </c>
      <c r="F15" s="12">
        <f t="shared" si="3"/>
        <v>0.14853383645500795</v>
      </c>
      <c r="G15" s="12">
        <f t="shared" si="4"/>
        <v>-4.4754747860566981E-4</v>
      </c>
      <c r="H15" s="12">
        <f t="shared" si="5"/>
        <v>9.6250891982037623E-3</v>
      </c>
      <c r="I15" s="12">
        <f t="shared" si="6"/>
        <v>2.3894366605810235E-3</v>
      </c>
      <c r="J15" s="12">
        <f t="shared" si="7"/>
        <v>-9.3341593459319964E-3</v>
      </c>
      <c r="M15" s="123">
        <f>IF($Q$1,  C15, -0.2)</f>
        <v>-0.2</v>
      </c>
      <c r="S15" s="40">
        <v>1.7951958020513097</v>
      </c>
      <c r="T15" s="40">
        <f t="shared" si="8"/>
        <v>3.7242020176636734E-2</v>
      </c>
      <c r="U15" s="40">
        <f>IF($Q$2, $R$2*(SIN($R$1)+SIN(S15)), -0.2)</f>
        <v>-0.2</v>
      </c>
    </row>
    <row r="16" spans="1:21" x14ac:dyDescent="0.3">
      <c r="B16" s="12">
        <v>1.1145780677496164E-3</v>
      </c>
      <c r="C16" s="12">
        <f t="shared" si="0"/>
        <v>1.6695378186198456E-4</v>
      </c>
      <c r="D16" s="12">
        <f t="shared" si="1"/>
        <v>1.025978257745472E-2</v>
      </c>
      <c r="E16" s="12">
        <f t="shared" si="2"/>
        <v>0.14958203322459385</v>
      </c>
      <c r="F16" s="12">
        <f t="shared" si="3"/>
        <v>0.14848115310436105</v>
      </c>
      <c r="G16" s="12">
        <f t="shared" si="4"/>
        <v>-4.0321485947712558E-4</v>
      </c>
      <c r="H16" s="12">
        <f t="shared" si="5"/>
        <v>1.0313847058461669E-2</v>
      </c>
      <c r="I16" s="12">
        <f t="shared" si="6"/>
        <v>2.6323709949763584E-3</v>
      </c>
      <c r="J16" s="12">
        <f t="shared" si="7"/>
        <v>-9.9799394947377006E-3</v>
      </c>
      <c r="M16" s="123">
        <f>IF($Q$1,  C16, -0.2)</f>
        <v>-0.2</v>
      </c>
      <c r="S16" s="40">
        <v>1.9234240736264032</v>
      </c>
      <c r="T16" s="40">
        <f t="shared" si="8"/>
        <v>3.1272720629619312E-2</v>
      </c>
      <c r="U16" s="40">
        <f>IF($Q$2, $R$2*(SIN($R$1)+SIN(S16)), -0.2)</f>
        <v>-0.2</v>
      </c>
    </row>
    <row r="17" spans="2:21" x14ac:dyDescent="0.3">
      <c r="B17" s="12">
        <v>1.2681096933296887E-3</v>
      </c>
      <c r="C17" s="12">
        <f t="shared" si="0"/>
        <v>1.8991493483801888E-4</v>
      </c>
      <c r="D17" s="12">
        <f t="shared" si="1"/>
        <v>1.0933040019609354E-2</v>
      </c>
      <c r="E17" s="12">
        <f t="shared" si="2"/>
        <v>0.14952445886500132</v>
      </c>
      <c r="F17" s="12">
        <f t="shared" si="3"/>
        <v>0.14842483829164896</v>
      </c>
      <c r="G17" s="12">
        <f t="shared" si="4"/>
        <v>-3.4867344035487331E-4</v>
      </c>
      <c r="H17" s="12">
        <f t="shared" si="5"/>
        <v>1.1002748808019129E-2</v>
      </c>
      <c r="I17" s="12">
        <f t="shared" si="6"/>
        <v>2.8848928270142505E-3</v>
      </c>
      <c r="J17" s="12">
        <f t="shared" si="7"/>
        <v>-1.0622918938343091E-2</v>
      </c>
      <c r="M17" s="123">
        <f>IF($Q$1,  C17, -0.2)</f>
        <v>-0.2</v>
      </c>
      <c r="S17" s="40">
        <v>2.051652345201497</v>
      </c>
      <c r="T17" s="40">
        <f t="shared" si="8"/>
        <v>2.5578983388858233E-2</v>
      </c>
      <c r="U17" s="40">
        <f>IF($Q$2, $R$2*(SIN($R$1)+SIN(S17)), -0.2)</f>
        <v>-0.2</v>
      </c>
    </row>
    <row r="18" spans="2:21" x14ac:dyDescent="0.3">
      <c r="B18" s="12">
        <v>1.4315379463535338E-3</v>
      </c>
      <c r="C18" s="12">
        <f t="shared" si="0"/>
        <v>2.1434644803580813E-4</v>
      </c>
      <c r="D18" s="12">
        <f t="shared" si="1"/>
        <v>1.1604932878888731E-2</v>
      </c>
      <c r="E18" s="12">
        <f t="shared" si="2"/>
        <v>0.14946317327011738</v>
      </c>
      <c r="F18" s="12">
        <f t="shared" si="3"/>
        <v>0.14836489239179299</v>
      </c>
      <c r="G18" s="12">
        <f t="shared" si="4"/>
        <v>-2.83916998904906E-4</v>
      </c>
      <c r="H18" s="12">
        <f t="shared" si="5"/>
        <v>1.1691788735161501E-2</v>
      </c>
      <c r="I18" s="12">
        <f t="shared" si="6"/>
        <v>3.1469928916119739E-3</v>
      </c>
      <c r="J18" s="12">
        <f t="shared" si="7"/>
        <v>-1.1263095839089883E-2</v>
      </c>
      <c r="M18" s="123">
        <f>IF($Q$1,  C18, -0.2)</f>
        <v>-0.2</v>
      </c>
      <c r="S18" s="40">
        <v>2.1798806167765905</v>
      </c>
      <c r="T18" s="40">
        <f t="shared" si="8"/>
        <v>2.0254299462434934E-2</v>
      </c>
      <c r="U18" s="40">
        <f>IF($Q$2, $R$2*(SIN($R$1)+SIN(S18)), -0.2)</f>
        <v>-0.2</v>
      </c>
    </row>
    <row r="19" spans="2:21" x14ac:dyDescent="0.3">
      <c r="B19" s="12">
        <v>1.6048612073787938E-3</v>
      </c>
      <c r="C19" s="12">
        <f t="shared" si="0"/>
        <v>2.4024625995151599E-4</v>
      </c>
      <c r="D19" s="12">
        <f t="shared" si="1"/>
        <v>1.2275456089933835E-2</v>
      </c>
      <c r="E19" s="12">
        <f t="shared" si="2"/>
        <v>0.14939817704723291</v>
      </c>
      <c r="F19" s="12">
        <f t="shared" si="3"/>
        <v>0.14830131580404127</v>
      </c>
      <c r="G19" s="12">
        <f t="shared" si="4"/>
        <v>-2.0893941285071238E-4</v>
      </c>
      <c r="H19" s="12">
        <f t="shared" si="5"/>
        <v>1.2380960799300044E-2</v>
      </c>
      <c r="I19" s="12">
        <f t="shared" si="6"/>
        <v>3.4186618276083E-3</v>
      </c>
      <c r="J19" s="12">
        <f t="shared" si="7"/>
        <v>-1.1900468279397012E-2</v>
      </c>
      <c r="M19" s="123">
        <f>IF($Q$1,  C19, -0.2)</f>
        <v>-0.2</v>
      </c>
      <c r="S19" s="40">
        <v>2.308108888351684</v>
      </c>
      <c r="T19" s="40">
        <f t="shared" si="8"/>
        <v>1.5386100013212455E-2</v>
      </c>
      <c r="U19" s="40">
        <f>IF($Q$2, $R$2*(SIN($R$1)+SIN(S19)), -0.2)</f>
        <v>-0.2</v>
      </c>
    </row>
    <row r="20" spans="2:21" x14ac:dyDescent="0.3">
      <c r="B20" s="12">
        <v>1.7880777589119878E-3</v>
      </c>
      <c r="C20" s="12">
        <f t="shared" si="0"/>
        <v>2.6761218469831391E-4</v>
      </c>
      <c r="D20" s="12">
        <f t="shared" si="1"/>
        <v>1.2944604388245627E-2</v>
      </c>
      <c r="E20" s="12">
        <f t="shared" si="2"/>
        <v>0.14932947084040796</v>
      </c>
      <c r="F20" s="12">
        <f t="shared" si="3"/>
        <v>0.14823410895199443</v>
      </c>
      <c r="G20" s="12">
        <f t="shared" si="4"/>
        <v>-1.2373466034548632E-4</v>
      </c>
      <c r="H20" s="12">
        <f t="shared" si="5"/>
        <v>1.307025863149832E-2</v>
      </c>
      <c r="I20" s="12">
        <f t="shared" si="6"/>
        <v>3.6998901781694618E-3</v>
      </c>
      <c r="J20" s="12">
        <f t="shared" si="7"/>
        <v>-1.2535034262101691E-2</v>
      </c>
      <c r="M20" s="123">
        <f>IF($Q$1,  C20, -0.2)</f>
        <v>-0.2</v>
      </c>
      <c r="S20" s="40">
        <v>2.4363371599267776</v>
      </c>
      <c r="T20" s="40">
        <f t="shared" si="8"/>
        <v>1.1054320741558387E-2</v>
      </c>
      <c r="U20" s="40">
        <f>IF($Q$2, $R$2*(SIN($R$1)+SIN(S20)), -0.2)</f>
        <v>-0.2</v>
      </c>
    </row>
    <row r="21" spans="2:21" x14ac:dyDescent="0.3">
      <c r="B21" s="12">
        <v>1.9811857854247217E-3</v>
      </c>
      <c r="C21" s="12">
        <f t="shared" si="0"/>
        <v>2.9644191210438902E-4</v>
      </c>
      <c r="D21" s="12">
        <f t="shared" si="1"/>
        <v>1.3612372310823963E-2</v>
      </c>
      <c r="E21" s="12">
        <f t="shared" si="2"/>
        <v>0.14925705533046568</v>
      </c>
      <c r="F21" s="12">
        <f t="shared" si="3"/>
        <v>0.1481632722836333</v>
      </c>
      <c r="G21" s="12">
        <f t="shared" si="4"/>
        <v>-2.8296820359618047E-5</v>
      </c>
      <c r="H21" s="12">
        <f t="shared" si="5"/>
        <v>1.3759675535032318E-2</v>
      </c>
      <c r="I21" s="12">
        <f t="shared" si="6"/>
        <v>3.990668391209061E-3</v>
      </c>
      <c r="J21" s="12">
        <f t="shared" si="7"/>
        <v>-1.3166791710823541E-2</v>
      </c>
      <c r="M21" s="123">
        <f>IF($Q$1,  C21, -0.2)</f>
        <v>-0.2</v>
      </c>
      <c r="S21" s="40">
        <v>2.5645654315018711</v>
      </c>
      <c r="T21" s="40">
        <f t="shared" si="8"/>
        <v>7.3300893433547853E-3</v>
      </c>
      <c r="U21" s="40">
        <f>IF($Q$2, $R$2*(SIN($R$1)+SIN(S21)), -0.2)</f>
        <v>-0.2</v>
      </c>
    </row>
    <row r="22" spans="2:21" x14ac:dyDescent="0.3">
      <c r="B22" s="12">
        <v>2.1841833733722282E-3</v>
      </c>
      <c r="C22" s="12">
        <f t="shared" si="0"/>
        <v>3.267330078167375E-4</v>
      </c>
      <c r="D22" s="12">
        <f t="shared" si="1"/>
        <v>1.4278754196847578E-2</v>
      </c>
      <c r="E22" s="12">
        <f t="shared" si="2"/>
        <v>0.14918093123498538</v>
      </c>
      <c r="F22" s="12">
        <f t="shared" si="3"/>
        <v>0.14808880627134766</v>
      </c>
      <c r="G22" s="12">
        <f t="shared" si="4"/>
        <v>7.7379926917853486E-5</v>
      </c>
      <c r="H22" s="12">
        <f t="shared" si="5"/>
        <v>1.4449204485996479E-2</v>
      </c>
      <c r="I22" s="12">
        <f t="shared" si="6"/>
        <v>4.2909868198266025E-3</v>
      </c>
      <c r="J22" s="12">
        <f t="shared" si="7"/>
        <v>-1.3795738470363004E-2</v>
      </c>
      <c r="M22" s="123">
        <f>IF($Q$1,  C22, -0.2)</f>
        <v>-0.2</v>
      </c>
      <c r="S22" s="40">
        <v>2.6927937030769646</v>
      </c>
      <c r="T22" s="40">
        <f t="shared" si="8"/>
        <v>4.2745575951982214E-3</v>
      </c>
      <c r="U22" s="40">
        <f>IF($Q$2, $R$2*(SIN($R$1)+SIN(S22)), -0.2)</f>
        <v>-0.2</v>
      </c>
    </row>
    <row r="23" spans="2:21" x14ac:dyDescent="0.3">
      <c r="B23" s="12">
        <v>2.3970685112121304E-3</v>
      </c>
      <c r="C23" s="12">
        <f t="shared" si="0"/>
        <v>3.5848291341042361E-4</v>
      </c>
      <c r="D23" s="12">
        <f t="shared" si="1"/>
        <v>1.4943744188386688E-2</v>
      </c>
      <c r="E23" s="12">
        <f t="shared" si="2"/>
        <v>0.1491010993082954</v>
      </c>
      <c r="F23" s="12">
        <f t="shared" si="3"/>
        <v>0.14801071141196678</v>
      </c>
      <c r="G23" s="12">
        <f t="shared" si="4"/>
        <v>1.9330129966302822E-4</v>
      </c>
      <c r="H23" s="12">
        <f t="shared" si="5"/>
        <v>1.5138838133946973E-2</v>
      </c>
      <c r="I23" s="12">
        <f t="shared" si="6"/>
        <v>4.6008357227612321E-3</v>
      </c>
      <c r="J23" s="12">
        <f t="shared" si="7"/>
        <v>-1.4421872307126125E-2</v>
      </c>
      <c r="M23" s="123">
        <f>IF($Q$1,  C23, -0.2)</f>
        <v>-0.2</v>
      </c>
      <c r="S23" s="40">
        <v>2.8210219746520582</v>
      </c>
      <c r="T23" s="40">
        <f t="shared" si="8"/>
        <v>1.937897243918693E-3</v>
      </c>
      <c r="U23" s="40">
        <f>IF($Q$2, $R$2*(SIN($R$1)+SIN(S23)), -0.2)</f>
        <v>-0.2</v>
      </c>
    </row>
    <row r="24" spans="2:21" x14ac:dyDescent="0.3">
      <c r="B24" s="12">
        <v>2.619839089424536E-3</v>
      </c>
      <c r="C24" s="12">
        <f t="shared" si="0"/>
        <v>3.9168894650346589E-4</v>
      </c>
      <c r="D24" s="12">
        <f t="shared" si="1"/>
        <v>1.5607336231152381E-2</v>
      </c>
      <c r="E24" s="12">
        <f t="shared" si="2"/>
        <v>0.14901756034146577</v>
      </c>
      <c r="F24" s="12">
        <f t="shared" si="3"/>
        <v>0.14792898822679174</v>
      </c>
      <c r="G24" s="12">
        <f t="shared" si="4"/>
        <v>3.1947291398671867E-4</v>
      </c>
      <c r="H24" s="12">
        <f t="shared" si="5"/>
        <v>1.582856880258654E-2</v>
      </c>
      <c r="I24" s="12">
        <f t="shared" si="6"/>
        <v>4.9202052648623529E-3</v>
      </c>
      <c r="J24" s="12">
        <f t="shared" si="7"/>
        <v>-1.504519090957961E-2</v>
      </c>
      <c r="M24" s="123">
        <f>IF($Q$1,  C24, -0.2)</f>
        <v>-0.2</v>
      </c>
      <c r="S24" s="40">
        <v>2.9492502462271517</v>
      </c>
      <c r="T24" s="40">
        <f t="shared" si="8"/>
        <v>3.5847618788374365E-4</v>
      </c>
      <c r="U24" s="40">
        <f>IF($Q$2, $R$2*(SIN($R$1)+SIN(S24)), -0.2)</f>
        <v>-0.2</v>
      </c>
    </row>
    <row r="25" spans="2:21" x14ac:dyDescent="0.3">
      <c r="B25" s="12">
        <v>2.8524929005325772E-3</v>
      </c>
      <c r="C25" s="12">
        <f t="shared" si="0"/>
        <v>4.2634830087721356E-4</v>
      </c>
      <c r="D25" s="12">
        <f t="shared" si="1"/>
        <v>1.6269524075279714E-2</v>
      </c>
      <c r="E25" s="12">
        <f t="shared" si="2"/>
        <v>0.14893031516230024</v>
      </c>
      <c r="F25" s="12">
        <f t="shared" si="3"/>
        <v>0.14784363726162866</v>
      </c>
      <c r="G25" s="12">
        <f t="shared" si="4"/>
        <v>4.5590028348947839E-4</v>
      </c>
      <c r="H25" s="12">
        <f t="shared" si="5"/>
        <v>1.651838849048775E-2</v>
      </c>
      <c r="I25" s="12">
        <f t="shared" si="6"/>
        <v>5.2490855175756756E-3</v>
      </c>
      <c r="J25" s="12">
        <f t="shared" si="7"/>
        <v>-1.5665691888733325E-2</v>
      </c>
      <c r="M25" s="123">
        <f>IF($Q$1,  C25, -0.2)</f>
        <v>-0.2</v>
      </c>
      <c r="S25" s="40">
        <v>3.0774785178022452</v>
      </c>
      <c r="T25" s="40">
        <f t="shared" si="8"/>
        <v>-4.377715228319824E-4</v>
      </c>
      <c r="U25" s="40">
        <f>IF($Q$2, $R$2*(SIN($R$1)+SIN(S25)), -0.2)</f>
        <v>-0.2</v>
      </c>
    </row>
    <row r="26" spans="2:21" x14ac:dyDescent="0.3">
      <c r="B26" s="12">
        <v>3.0950276391248366E-3</v>
      </c>
      <c r="C26" s="12">
        <f t="shared" si="0"/>
        <v>4.6245804660242289E-4</v>
      </c>
      <c r="D26" s="12">
        <f t="shared" si="1"/>
        <v>1.6930301276148699E-2</v>
      </c>
      <c r="E26" s="12">
        <f t="shared" si="2"/>
        <v>0.14883936463532815</v>
      </c>
      <c r="F26" s="12">
        <f t="shared" si="3"/>
        <v>0.14775465908682422</v>
      </c>
      <c r="G26" s="12">
        <f t="shared" si="4"/>
        <v>6.0258881880294888E-4</v>
      </c>
      <c r="H26" s="12">
        <f t="shared" si="5"/>
        <v>1.7208288871859038E-2</v>
      </c>
      <c r="I26" s="12">
        <f t="shared" si="6"/>
        <v>5.5874664594467247E-3</v>
      </c>
      <c r="J26" s="12">
        <f t="shared" si="7"/>
        <v>-1.6283372778654194E-2</v>
      </c>
      <c r="M26" s="123">
        <f>IF($Q$1,  C26, -0.2)</f>
        <v>-0.2</v>
      </c>
      <c r="S26" s="40">
        <v>3.2057067893773388</v>
      </c>
      <c r="T26" s="40">
        <f t="shared" si="8"/>
        <v>-4.3777152283199324E-4</v>
      </c>
      <c r="U26" s="40">
        <f>IF($Q$2, $R$2*(SIN($R$1)+SIN(S26)), -0.2)</f>
        <v>-0.2</v>
      </c>
    </row>
    <row r="27" spans="2:21" x14ac:dyDescent="0.3">
      <c r="B27" s="12">
        <v>3.3474409018774409E-3</v>
      </c>
      <c r="C27" s="12">
        <f t="shared" si="0"/>
        <v>5.0001513017069814E-4</v>
      </c>
      <c r="D27" s="12">
        <f t="shared" si="1"/>
        <v>1.7589661195236628E-2</v>
      </c>
      <c r="E27" s="12">
        <f t="shared" si="2"/>
        <v>0.14874470966179593</v>
      </c>
      <c r="F27" s="12">
        <f t="shared" si="3"/>
        <v>0.14766205429730223</v>
      </c>
      <c r="G27" s="12">
        <f t="shared" si="4"/>
        <v>7.5954382711638417E-4</v>
      </c>
      <c r="H27" s="12">
        <f t="shared" si="5"/>
        <v>1.7898261297346754E-2</v>
      </c>
      <c r="I27" s="12">
        <f t="shared" si="6"/>
        <v>5.9353379766384981E-3</v>
      </c>
      <c r="J27" s="12">
        <f t="shared" si="7"/>
        <v>-1.689823103700536E-2</v>
      </c>
      <c r="M27" s="123">
        <f>IF($Q$1,  C27, -0.2)</f>
        <v>-0.2</v>
      </c>
      <c r="S27" s="40">
        <v>3.3339350609524323</v>
      </c>
      <c r="T27" s="40">
        <f t="shared" si="8"/>
        <v>3.5847618788371666E-4</v>
      </c>
      <c r="U27" s="40">
        <f>IF($Q$2, $R$2*(SIN($R$1)+SIN(S27)), -0.2)</f>
        <v>-0.2</v>
      </c>
    </row>
    <row r="28" spans="2:21" x14ac:dyDescent="0.3">
      <c r="B28" s="12">
        <v>3.609730187578708E-3</v>
      </c>
      <c r="C28" s="12">
        <f t="shared" si="0"/>
        <v>5.390163746317216E-4</v>
      </c>
      <c r="D28" s="12">
        <f t="shared" si="1"/>
        <v>1.8247597001009672E-2</v>
      </c>
      <c r="E28" s="12">
        <f t="shared" si="2"/>
        <v>0.14864635117965794</v>
      </c>
      <c r="F28" s="12">
        <f t="shared" si="3"/>
        <v>0.14756582351260175</v>
      </c>
      <c r="G28" s="12">
        <f t="shared" si="4"/>
        <v>9.2677051169013118E-4</v>
      </c>
      <c r="H28" s="12">
        <f t="shared" si="5"/>
        <v>1.8588296794881529E-2</v>
      </c>
      <c r="I28" s="12">
        <f t="shared" si="6"/>
        <v>6.2926898634672844E-3</v>
      </c>
      <c r="J28" s="12">
        <f t="shared" si="7"/>
        <v>-1.7510264045618087E-2</v>
      </c>
      <c r="M28" s="123">
        <f>IF($Q$1,  C28, -0.2)</f>
        <v>-0.2</v>
      </c>
      <c r="S28" s="40">
        <v>3.4621633325275258</v>
      </c>
      <c r="T28" s="40">
        <f t="shared" si="8"/>
        <v>1.9378972439186551E-3</v>
      </c>
      <c r="U28" s="40">
        <f>IF($Q$2, $R$2*(SIN($R$1)+SIN(S28)), -0.2)</f>
        <v>-0.2</v>
      </c>
    </row>
    <row r="29" spans="2:21" x14ac:dyDescent="0.3">
      <c r="B29" s="12">
        <v>3.8818928971533495E-3</v>
      </c>
      <c r="C29" s="12">
        <f t="shared" si="0"/>
        <v>5.7945847973582055E-4</v>
      </c>
      <c r="D29" s="12">
        <f t="shared" si="1"/>
        <v>1.8904101669845273E-2</v>
      </c>
      <c r="E29" s="12">
        <f t="shared" si="2"/>
        <v>0.14854429016356746</v>
      </c>
      <c r="F29" s="12">
        <f t="shared" si="3"/>
        <v>0.14746596737691703</v>
      </c>
      <c r="G29" s="12">
        <f t="shared" si="4"/>
        <v>1.1042739713544069E-3</v>
      </c>
      <c r="H29" s="12">
        <f t="shared" si="5"/>
        <v>1.9278386070560125E-2</v>
      </c>
      <c r="I29" s="12">
        <f t="shared" si="6"/>
        <v>6.6595118229522922E-3</v>
      </c>
      <c r="J29" s="12">
        <f t="shared" si="7"/>
        <v>-1.8119469111088481E-2</v>
      </c>
      <c r="M29" s="123">
        <f>IF($Q$1,  C29, -0.2)</f>
        <v>-0.2</v>
      </c>
      <c r="S29" s="40">
        <v>3.5903916041026194</v>
      </c>
      <c r="T29" s="40">
        <f t="shared" si="8"/>
        <v>4.2745575951981677E-3</v>
      </c>
      <c r="U29" s="40">
        <f>IF($Q$2, $R$2*(SIN($R$1)+SIN(S29)), -0.2)</f>
        <v>-0.2</v>
      </c>
    </row>
    <row r="30" spans="2:21" x14ac:dyDescent="0.3">
      <c r="B30" s="12">
        <v>4.1639263336883392E-3</v>
      </c>
      <c r="C30" s="12">
        <f t="shared" si="0"/>
        <v>6.2133802208217889E-4</v>
      </c>
      <c r="D30" s="12">
        <f t="shared" si="1"/>
        <v>1.9559167986991137E-2</v>
      </c>
      <c r="E30" s="12">
        <f t="shared" si="2"/>
        <v>0.14843852762486684</v>
      </c>
      <c r="F30" s="12">
        <f t="shared" si="3"/>
        <v>0.14736248655913867</v>
      </c>
      <c r="G30" s="12">
        <f t="shared" si="4"/>
        <v>1.2920591999947277E-3</v>
      </c>
      <c r="H30" s="12">
        <f t="shared" si="5"/>
        <v>1.9968519509568912E-2</v>
      </c>
      <c r="I30" s="12">
        <f t="shared" si="6"/>
        <v>7.0357934673819511E-3</v>
      </c>
      <c r="J30" s="12">
        <f t="shared" si="7"/>
        <v>-1.8725843465404554E-2</v>
      </c>
      <c r="M30" s="123">
        <f>IF($Q$1,  C30, -0.2)</f>
        <v>-0.2</v>
      </c>
      <c r="S30" s="40">
        <v>3.7186198756777129</v>
      </c>
      <c r="T30" s="40">
        <f t="shared" si="8"/>
        <v>7.3300893433547202E-3</v>
      </c>
      <c r="U30" s="40">
        <f>IF($Q$2, $R$2*(SIN($R$1)+SIN(S30)), -0.2)</f>
        <v>-0.2</v>
      </c>
    </row>
    <row r="31" spans="2:21" x14ac:dyDescent="0.3">
      <c r="B31" s="12">
        <v>4.4558277024601134E-3</v>
      </c>
      <c r="C31" s="12">
        <f t="shared" si="0"/>
        <v>6.6465145527263984E-4</v>
      </c>
      <c r="D31" s="12">
        <f t="shared" si="1"/>
        <v>2.0212788547559229E-2</v>
      </c>
      <c r="E31" s="12">
        <f t="shared" si="2"/>
        <v>0.14832906461157741</v>
      </c>
      <c r="F31" s="12">
        <f t="shared" si="3"/>
        <v>0.1472553817528964</v>
      </c>
      <c r="G31" s="12">
        <f t="shared" si="4"/>
        <v>1.4901310860239774E-3</v>
      </c>
      <c r="H31" s="12">
        <f t="shared" si="5"/>
        <v>2.0658687177147323E-2</v>
      </c>
      <c r="I31" s="12">
        <f t="shared" si="6"/>
        <v>7.4215243188962493E-3</v>
      </c>
      <c r="J31" s="12">
        <f t="shared" si="7"/>
        <v>-1.9329384266602041E-2</v>
      </c>
      <c r="M31" s="123">
        <f>IF($Q$1,  C31, -0.2)</f>
        <v>-0.2</v>
      </c>
      <c r="S31" s="40">
        <v>3.8468481472528064</v>
      </c>
      <c r="T31" s="40">
        <f t="shared" si="8"/>
        <v>1.1054320741558306E-2</v>
      </c>
      <c r="U31" s="40">
        <f>IF($Q$2, $R$2*(SIN($R$1)+SIN(S31)), -0.2)</f>
        <v>-0.2</v>
      </c>
    </row>
    <row r="32" spans="2:21" x14ac:dyDescent="0.3">
      <c r="B32" s="12">
        <v>4.7575941109612163E-3</v>
      </c>
      <c r="C32" s="12">
        <f t="shared" si="0"/>
        <v>7.0939511007080981E-4</v>
      </c>
      <c r="D32" s="12">
        <f t="shared" si="1"/>
        <v>2.0864955757550624E-2</v>
      </c>
      <c r="E32" s="12">
        <f t="shared" si="2"/>
        <v>0.14821590220838951</v>
      </c>
      <c r="F32" s="12">
        <f t="shared" si="3"/>
        <v>0.14714465367660376</v>
      </c>
      <c r="G32" s="12">
        <f t="shared" si="4"/>
        <v>1.6984944118399281E-3</v>
      </c>
      <c r="H32" s="12">
        <f t="shared" si="5"/>
        <v>2.1348878819586921E-2</v>
      </c>
      <c r="I32" s="12">
        <f t="shared" si="6"/>
        <v>7.8166938100825041E-3</v>
      </c>
      <c r="J32" s="12">
        <f t="shared" si="7"/>
        <v>-1.9930088599445304E-2</v>
      </c>
      <c r="M32" s="123">
        <f>IF($Q$1,  C32, -0.2)</f>
        <v>-0.2</v>
      </c>
      <c r="S32" s="40">
        <v>3.9750764188279</v>
      </c>
      <c r="T32" s="40">
        <f t="shared" si="8"/>
        <v>1.5386100013212368E-2</v>
      </c>
      <c r="U32" s="40">
        <f>IF($Q$2, $R$2*(SIN($R$1)+SIN(S32)), -0.2)</f>
        <v>-0.2</v>
      </c>
    </row>
    <row r="33" spans="2:21" x14ac:dyDescent="0.3">
      <c r="B33" s="12">
        <v>5.0692225689300541E-3</v>
      </c>
      <c r="C33" s="12">
        <f t="shared" si="0"/>
        <v>7.5556519456700479E-4</v>
      </c>
      <c r="D33" s="12">
        <f t="shared" si="1"/>
        <v>2.151566183491908E-2</v>
      </c>
      <c r="E33" s="12">
        <f t="shared" si="2"/>
        <v>0.14809904153665118</v>
      </c>
      <c r="F33" s="12">
        <f t="shared" si="3"/>
        <v>0.14703030307350337</v>
      </c>
      <c r="G33" s="12">
        <f t="shared" si="4"/>
        <v>1.9171538532708481E-3</v>
      </c>
      <c r="H33" s="12">
        <f t="shared" si="5"/>
        <v>2.2039083865274534E-2</v>
      </c>
      <c r="I33" s="12">
        <f t="shared" si="6"/>
        <v>8.2212912845892605E-3</v>
      </c>
      <c r="J33" s="12">
        <f t="shared" si="7"/>
        <v>-2.0527953476140524E-2</v>
      </c>
      <c r="M33" s="123">
        <f>IF($Q$1,  C33, -0.2)</f>
        <v>-0.2</v>
      </c>
      <c r="S33" s="40">
        <v>4.1033046904029939</v>
      </c>
      <c r="T33" s="40">
        <f t="shared" si="8"/>
        <v>2.0254299462434854E-2</v>
      </c>
      <c r="U33" s="40">
        <f>IF($Q$2, $R$2*(SIN($R$1)+SIN(S33)), -0.2)</f>
        <v>-0.2</v>
      </c>
    </row>
    <row r="34" spans="2:21" x14ac:dyDescent="0.3">
      <c r="B34" s="12">
        <v>5.3907099883800935E-3</v>
      </c>
      <c r="C34" s="12">
        <f t="shared" si="0"/>
        <v>8.0315779434848497E-4</v>
      </c>
      <c r="D34" s="12">
        <f t="shared" si="1"/>
        <v>2.2164898810665135E-2</v>
      </c>
      <c r="E34" s="12">
        <f t="shared" si="2"/>
        <v>0.14797848375435743</v>
      </c>
      <c r="F34" s="12">
        <f t="shared" si="3"/>
        <v>0.14691233071171469</v>
      </c>
      <c r="G34" s="12">
        <f t="shared" si="4"/>
        <v>2.146113979006813E-3</v>
      </c>
      <c r="H34" s="12">
        <f t="shared" si="5"/>
        <v>2.2729291425770685E-2</v>
      </c>
      <c r="I34" s="12">
        <f t="shared" si="6"/>
        <v>8.6353059977533741E-3</v>
      </c>
      <c r="J34" s="12">
        <f t="shared" si="7"/>
        <v>-2.1122975837073715E-2</v>
      </c>
      <c r="M34" s="123">
        <f>IF($Q$1,  C34, -0.2)</f>
        <v>-0.2</v>
      </c>
      <c r="S34" s="40">
        <v>4.2315329619780879</v>
      </c>
      <c r="T34" s="40">
        <f t="shared" si="8"/>
        <v>2.5578983388858161E-2</v>
      </c>
      <c r="U34" s="40">
        <f>IF($Q$2, $R$2*(SIN($R$1)+SIN(S34)), -0.2)</f>
        <v>-0.2</v>
      </c>
    </row>
    <row r="35" spans="2:21" x14ac:dyDescent="0.3">
      <c r="B35" s="12">
        <v>5.7220531836302824E-3</v>
      </c>
      <c r="C35" s="12">
        <f t="shared" si="0"/>
        <v>8.5216887267523713E-4</v>
      </c>
      <c r="D35" s="12">
        <f t="shared" si="1"/>
        <v>2.2812658529964367E-2</v>
      </c>
      <c r="E35" s="12">
        <f t="shared" si="2"/>
        <v>0.1478542300561386</v>
      </c>
      <c r="F35" s="12">
        <f t="shared" si="3"/>
        <v>0.14679073738428275</v>
      </c>
      <c r="G35" s="12">
        <f t="shared" si="4"/>
        <v>2.3853792500180835E-3</v>
      </c>
      <c r="H35" s="12">
        <f t="shared" si="5"/>
        <v>2.3419490296927362E-2</v>
      </c>
      <c r="I35" s="12">
        <f t="shared" si="6"/>
        <v>9.0587271172424821E-3</v>
      </c>
      <c r="J35" s="12">
        <f t="shared" si="7"/>
        <v>-2.1715152551576886E-2</v>
      </c>
      <c r="M35" s="123">
        <f>IF($Q$1,  C35, -0.2)</f>
        <v>-0.2</v>
      </c>
      <c r="S35" s="40">
        <v>4.3597612335531819</v>
      </c>
      <c r="T35" s="40">
        <f t="shared" si="8"/>
        <v>3.1272720629619256E-2</v>
      </c>
      <c r="U35" s="40">
        <f>IF($Q$2, $R$2*(SIN($R$1)+SIN(S35)), -0.2)</f>
        <v>-0.2</v>
      </c>
    </row>
    <row r="36" spans="2:21" x14ac:dyDescent="0.3">
      <c r="B36" s="12">
        <v>6.0632488713366905E-3</v>
      </c>
      <c r="C36" s="12">
        <f t="shared" si="0"/>
        <v>9.0259427066129736E-4</v>
      </c>
      <c r="D36" s="12">
        <f t="shared" si="1"/>
        <v>2.3458932653329635E-2</v>
      </c>
      <c r="E36" s="12">
        <f t="shared" si="2"/>
        <v>0.14772628167324869</v>
      </c>
      <c r="F36" s="12">
        <f t="shared" si="3"/>
        <v>0.14666552390922866</v>
      </c>
      <c r="G36" s="12">
        <f t="shared" si="4"/>
        <v>2.6349540189606925E-3</v>
      </c>
      <c r="H36" s="12">
        <f t="shared" si="5"/>
        <v>2.4109668960044871E-2</v>
      </c>
      <c r="I36" s="12">
        <f t="shared" si="6"/>
        <v>9.4915437237126886E-3</v>
      </c>
      <c r="J36" s="12">
        <f t="shared" si="7"/>
        <v>-2.2304480418722274E-2</v>
      </c>
      <c r="M36" s="123">
        <f>IF($Q$1,  C36, -0.2)</f>
        <v>-0.2</v>
      </c>
      <c r="S36" s="40">
        <v>4.4879895051282759</v>
      </c>
      <c r="T36" s="40">
        <f t="shared" si="8"/>
        <v>3.7242020176636692E-2</v>
      </c>
      <c r="U36" s="40">
        <f>IF($Q$2, $R$2*(SIN($R$1)+SIN(S36)), -0.2)</f>
        <v>-0.2</v>
      </c>
    </row>
    <row r="37" spans="2:21" x14ac:dyDescent="0.3">
      <c r="B37" s="12">
        <v>6.4142936705253728E-3</v>
      </c>
      <c r="C37" s="12">
        <f t="shared" si="0"/>
        <v>9.5442970746160418E-4</v>
      </c>
      <c r="D37" s="12">
        <f t="shared" si="1"/>
        <v>2.4103712657807041E-2</v>
      </c>
      <c r="E37" s="12">
        <f t="shared" si="2"/>
        <v>0.14759463987355295</v>
      </c>
      <c r="F37" s="12">
        <f t="shared" si="3"/>
        <v>0.14653669112960122</v>
      </c>
      <c r="G37" s="12">
        <f t="shared" si="4"/>
        <v>2.8948425295693965E-3</v>
      </c>
      <c r="H37" s="12">
        <f t="shared" si="5"/>
        <v>2.4799815583067621E-2</v>
      </c>
      <c r="I37" s="12">
        <f t="shared" si="6"/>
        <v>9.9337448114813487E-3</v>
      </c>
      <c r="J37" s="12">
        <f t="shared" si="7"/>
        <v>-2.2890956168144416E-2</v>
      </c>
      <c r="M37" s="123">
        <f>IF($Q$1,  C37, -0.2)</f>
        <v>-0.2</v>
      </c>
      <c r="S37" s="40">
        <v>4.6162177767033699</v>
      </c>
      <c r="T37" s="40">
        <f t="shared" si="8"/>
        <v>4.3388866296378642E-2</v>
      </c>
      <c r="U37" s="40">
        <f>IF($Q$2, $R$2*(SIN($R$1)+SIN(S37)), -0.2)</f>
        <v>-0.2</v>
      </c>
    </row>
    <row r="38" spans="2:21" x14ac:dyDescent="0.3">
      <c r="B38" s="12">
        <v>6.7751841026255644E-3</v>
      </c>
      <c r="C38" s="12">
        <f t="shared" si="0"/>
        <v>1.0076707804642462E-3</v>
      </c>
      <c r="D38" s="12">
        <f t="shared" si="1"/>
        <v>2.4746989838203566E-2</v>
      </c>
      <c r="E38" s="12">
        <f t="shared" si="2"/>
        <v>0.14745930596151538</v>
      </c>
      <c r="F38" s="12">
        <f t="shared" si="3"/>
        <v>0.14640423991353033</v>
      </c>
      <c r="G38" s="12">
        <f t="shared" si="4"/>
        <v>3.1650489160375077E-3</v>
      </c>
      <c r="H38" s="12">
        <f t="shared" si="5"/>
        <v>2.5489918021816691E-2</v>
      </c>
      <c r="I38" s="12">
        <f t="shared" si="6"/>
        <v>1.0385319289213621E-2</v>
      </c>
      <c r="J38" s="12">
        <f t="shared" si="7"/>
        <v>-2.3474576460888196E-2</v>
      </c>
      <c r="M38" s="123">
        <f>IF($Q$1,  C38, -0.2)</f>
        <v>-0.2</v>
      </c>
      <c r="S38" s="40">
        <v>4.7444460482784638</v>
      </c>
      <c r="T38" s="40">
        <f t="shared" si="8"/>
        <v>4.9612327945497671E-2</v>
      </c>
      <c r="U38" s="40">
        <f>IF($Q$2, $R$2*(SIN($R$1)+SIN(S38)), -0.2)</f>
        <v>-0.2</v>
      </c>
    </row>
    <row r="39" spans="2:21" x14ac:dyDescent="0.3">
      <c r="B39" s="12">
        <v>7.1459165915040979E-3</v>
      </c>
      <c r="C39" s="12">
        <f t="shared" si="0"/>
        <v>1.0623129654882268E-3</v>
      </c>
      <c r="D39" s="12">
        <f t="shared" si="1"/>
        <v>2.5388755308348106E-2</v>
      </c>
      <c r="E39" s="12">
        <f t="shared" si="2"/>
        <v>0.14732028127818592</v>
      </c>
      <c r="F39" s="12">
        <f t="shared" si="3"/>
        <v>0.14626817115428198</v>
      </c>
      <c r="G39" s="12">
        <f t="shared" si="4"/>
        <v>3.445577202384384E-3</v>
      </c>
      <c r="H39" s="12">
        <f t="shared" si="5"/>
        <v>2.6179963821261011E-2</v>
      </c>
      <c r="I39" s="12">
        <f t="shared" si="6"/>
        <v>1.0846255980623812E-2</v>
      </c>
      <c r="J39" s="12">
        <f t="shared" si="7"/>
        <v>-2.4055337890284557E-2</v>
      </c>
      <c r="M39" s="123">
        <f>IF($Q$1,  C39, -0.2)</f>
        <v>-0.2</v>
      </c>
      <c r="S39" s="40">
        <v>4.8726743198535578</v>
      </c>
      <c r="T39" s="40">
        <f t="shared" si="8"/>
        <v>5.581021605577214E-2</v>
      </c>
      <c r="U39" s="40">
        <f>IF($Q$2, $R$2*(SIN($R$1)+SIN(S39)), -0.2)</f>
        <v>-0.2</v>
      </c>
    </row>
    <row r="40" spans="2:21" x14ac:dyDescent="0.3">
      <c r="B40" s="12">
        <v>7.5264874635010415E-3</v>
      </c>
      <c r="C40" s="12">
        <f t="shared" si="0"/>
        <v>1.1183516169867363E-3</v>
      </c>
      <c r="D40" s="12">
        <f t="shared" si="1"/>
        <v>2.6029000002385432E-2</v>
      </c>
      <c r="E40" s="12">
        <f t="shared" si="2"/>
        <v>0.14717756720118708</v>
      </c>
      <c r="F40" s="12">
        <f t="shared" si="3"/>
        <v>0.14612848577031456</v>
      </c>
      <c r="G40" s="12">
        <f t="shared" si="4"/>
        <v>3.7364313018107527E-3</v>
      </c>
      <c r="H40" s="12">
        <f t="shared" si="5"/>
        <v>2.6869940216826833E-2</v>
      </c>
      <c r="I40" s="12">
        <f t="shared" si="6"/>
        <v>1.1316543625191331E-2</v>
      </c>
      <c r="J40" s="12">
        <f t="shared" si="7"/>
        <v>-2.4633236982853361E-2</v>
      </c>
      <c r="M40" s="123">
        <f>IF($Q$1,  C40, -0.2)</f>
        <v>-0.2</v>
      </c>
      <c r="S40" s="40">
        <v>5.0009025914286518</v>
      </c>
      <c r="T40" s="40">
        <f t="shared" si="8"/>
        <v>6.1880761475781199E-2</v>
      </c>
      <c r="U40" s="40">
        <f>IF($Q$2, $R$2*(SIN($R$1)+SIN(S40)), -0.2)</f>
        <v>-0.2</v>
      </c>
    </row>
    <row r="41" spans="2:21" x14ac:dyDescent="0.3">
      <c r="B41" s="12">
        <v>7.9168929474660032E-3</v>
      </c>
      <c r="C41" s="12">
        <f t="shared" si="0"/>
        <v>1.1757819682558432E-3</v>
      </c>
      <c r="D41" s="12">
        <f t="shared" si="1"/>
        <v>2.6667714676101947E-2</v>
      </c>
      <c r="E41" s="12">
        <f t="shared" si="2"/>
        <v>0.14703116514470022</v>
      </c>
      <c r="F41" s="12">
        <f t="shared" si="3"/>
        <v>0.14598518470533636</v>
      </c>
      <c r="G41" s="12">
        <f t="shared" si="4"/>
        <v>4.0376150160416372E-3</v>
      </c>
      <c r="H41" s="12">
        <f t="shared" si="5"/>
        <v>2.7559834135744202E-2</v>
      </c>
      <c r="I41" s="12">
        <f t="shared" si="6"/>
        <v>1.1796170878890368E-2</v>
      </c>
      <c r="J41" s="12">
        <f t="shared" si="7"/>
        <v>-2.5208270199232514E-2</v>
      </c>
      <c r="M41" s="123">
        <f>IF($Q$1,  C41, -0.2)</f>
        <v>-0.2</v>
      </c>
      <c r="S41" s="40">
        <v>5.1291308630037458</v>
      </c>
      <c r="T41" s="40">
        <f t="shared" si="8"/>
        <v>6.7724286017557589E-2</v>
      </c>
      <c r="U41" s="40">
        <f>IF($Q$2, $R$2*(SIN($R$1)+SIN(S41)), -0.2)</f>
        <v>-0.2</v>
      </c>
    </row>
    <row r="42" spans="2:21" x14ac:dyDescent="0.3">
      <c r="B42" s="12">
        <v>8.3171291747956566E-3</v>
      </c>
      <c r="C42" s="12">
        <f t="shared" si="0"/>
        <v>1.2345991316486788E-3</v>
      </c>
      <c r="D42" s="12">
        <f t="shared" si="1"/>
        <v>2.7304889908283975E-2</v>
      </c>
      <c r="E42" s="12">
        <f t="shared" si="2"/>
        <v>0.1468810765594516</v>
      </c>
      <c r="F42" s="12">
        <f t="shared" si="3"/>
        <v>0.14583826892836516</v>
      </c>
      <c r="G42" s="12">
        <f t="shared" si="4"/>
        <v>4.34913203465743E-3</v>
      </c>
      <c r="H42" s="12">
        <f t="shared" si="5"/>
        <v>2.8249632198431383E-2</v>
      </c>
      <c r="I42" s="12">
        <f t="shared" si="6"/>
        <v>1.2285126314933883E-2</v>
      </c>
      <c r="J42" s="12">
        <f t="shared" si="7"/>
        <v>-2.5780433935134028E-2</v>
      </c>
      <c r="M42" s="123">
        <f>IF($Q$1,  C42, -0.2)</f>
        <v>-0.2</v>
      </c>
      <c r="S42" s="40">
        <v>5.2573591345788397</v>
      </c>
      <c r="T42" s="40">
        <f t="shared" si="8"/>
        <v>7.3244839169678277E-2</v>
      </c>
      <c r="U42" s="40">
        <f>IF($Q$2, $R$2*(SIN($R$1)+SIN(S42)), -0.2)</f>
        <v>-0.2</v>
      </c>
    </row>
    <row r="43" spans="2:21" x14ac:dyDescent="0.3">
      <c r="B43" s="12">
        <v>8.727192179471821E-3</v>
      </c>
      <c r="C43" s="12">
        <f t="shared" si="0"/>
        <v>1.2947980987950039E-3</v>
      </c>
      <c r="D43" s="12">
        <f t="shared" si="1"/>
        <v>2.7940516102107155E-2</v>
      </c>
      <c r="E43" s="12">
        <f t="shared" si="2"/>
        <v>0.14672730293269803</v>
      </c>
      <c r="F43" s="12">
        <f t="shared" si="3"/>
        <v>0.14568773943378879</v>
      </c>
      <c r="G43" s="12">
        <f t="shared" si="4"/>
        <v>4.6709859344128222E-3</v>
      </c>
      <c r="H43" s="12">
        <f t="shared" si="5"/>
        <v>2.8939320719915691E-2</v>
      </c>
      <c r="I43" s="12">
        <f t="shared" si="6"/>
        <v>1.278339842453082E-2</v>
      </c>
      <c r="J43" s="12">
        <f t="shared" si="7"/>
        <v>-2.6349724522325684E-2</v>
      </c>
      <c r="M43" s="123">
        <f>IF($Q$1,  C43, -0.2)</f>
        <v>-0.2</v>
      </c>
      <c r="S43" s="40">
        <v>5.3855874061539337</v>
      </c>
      <c r="T43" s="40">
        <f t="shared" si="8"/>
        <v>7.83517736020094E-2</v>
      </c>
      <c r="U43" s="40">
        <f>IF($Q$2, $R$2*(SIN($R$1)+SIN(S43)), -0.2)</f>
        <v>-0.2</v>
      </c>
    </row>
    <row r="44" spans="2:21" x14ac:dyDescent="0.3">
      <c r="B44" s="12">
        <v>9.1470778981007639E-3</v>
      </c>
      <c r="C44" s="12">
        <f t="shared" si="0"/>
        <v>1.3563737408262538E-3</v>
      </c>
      <c r="D44" s="12">
        <f t="shared" si="1"/>
        <v>2.8574583486557902E-2</v>
      </c>
      <c r="E44" s="12">
        <f t="shared" si="2"/>
        <v>0.14656984578821217</v>
      </c>
      <c r="F44" s="12">
        <f t="shared" si="3"/>
        <v>0.14553359724142742</v>
      </c>
      <c r="G44" s="12">
        <f t="shared" si="4"/>
        <v>5.0031801785442353E-3</v>
      </c>
      <c r="H44" s="12">
        <f t="shared" si="5"/>
        <v>2.9628885711291873E-2</v>
      </c>
      <c r="I44" s="12">
        <f t="shared" si="6"/>
        <v>1.3290975617657293E-2</v>
      </c>
      <c r="J44" s="12">
        <f t="shared" si="7"/>
        <v>-2.6916138229639369E-2</v>
      </c>
      <c r="M44" s="123">
        <f>IF($Q$1,  C44, -0.2)</f>
        <v>-0.2</v>
      </c>
      <c r="S44" s="40">
        <v>5.5138156777290277</v>
      </c>
      <c r="T44" s="40">
        <f t="shared" si="8"/>
        <v>8.2961233592360892E-2</v>
      </c>
      <c r="U44" s="40">
        <f>IF($Q$2, $R$2*(SIN($R$1)+SIN(S44)), -0.2)</f>
        <v>-0.2</v>
      </c>
    </row>
    <row r="45" spans="2:21" x14ac:dyDescent="0.3">
      <c r="B45" s="12">
        <v>9.5767821699537237E-3</v>
      </c>
      <c r="C45" s="12">
        <f t="shared" si="0"/>
        <v>1.4193208086060438E-3</v>
      </c>
      <c r="D45" s="12">
        <f t="shared" si="1"/>
        <v>2.9207082117886553E-2</v>
      </c>
      <c r="E45" s="12">
        <f t="shared" si="2"/>
        <v>0.14640870668626732</v>
      </c>
      <c r="F45" s="12">
        <f t="shared" si="3"/>
        <v>0.14537584339659715</v>
      </c>
      <c r="G45" s="12">
        <f t="shared" si="4"/>
        <v>5.3457181160659695E-3</v>
      </c>
      <c r="H45" s="12">
        <f t="shared" si="5"/>
        <v>3.031831288121763E-2</v>
      </c>
      <c r="I45" s="12">
        <f t="shared" si="6"/>
        <v>1.3807846223841479E-2</v>
      </c>
      <c r="J45" s="12">
        <f t="shared" si="7"/>
        <v>-2.747967126400554E-2</v>
      </c>
      <c r="M45" s="123">
        <f>IF($Q$1,  C45, -0.2)</f>
        <v>-0.2</v>
      </c>
      <c r="S45" s="40">
        <v>5.6420439493041217</v>
      </c>
      <c r="T45" s="40">
        <f t="shared" si="8"/>
        <v>8.6997531935126562E-2</v>
      </c>
      <c r="U45" s="40">
        <f>IF($Q$2, $R$2*(SIN($R$1)+SIN(S45)), -0.2)</f>
        <v>-0.2</v>
      </c>
    </row>
    <row r="46" spans="2:21" x14ac:dyDescent="0.3">
      <c r="B46" s="12">
        <v>1.0016300737007988E-2</v>
      </c>
      <c r="C46" s="12">
        <f t="shared" si="0"/>
        <v>1.4836339329660376E-3</v>
      </c>
      <c r="D46" s="12">
        <f t="shared" si="1"/>
        <v>2.983800188109096E-2</v>
      </c>
      <c r="E46" s="12">
        <f t="shared" si="2"/>
        <v>0.14624388722362197</v>
      </c>
      <c r="F46" s="12">
        <f t="shared" si="3"/>
        <v>0.14521447897017503</v>
      </c>
      <c r="G46" s="12">
        <f t="shared" si="4"/>
        <v>5.6986029810547146E-3</v>
      </c>
      <c r="H46" s="12">
        <f t="shared" si="5"/>
        <v>3.1007587637445114E-2</v>
      </c>
      <c r="I46" s="12">
        <f t="shared" si="6"/>
        <v>1.4333998492961263E-2</v>
      </c>
      <c r="J46" s="12">
        <f t="shared" si="7"/>
        <v>-2.8040319771513042E-2</v>
      </c>
      <c r="M46" s="123">
        <f>IF($Q$1,  C46, -0.2)</f>
        <v>-0.2</v>
      </c>
      <c r="S46" s="40">
        <v>5.7702722208792157</v>
      </c>
      <c r="T46" s="40">
        <f t="shared" si="8"/>
        <v>9.039439272310773E-2</v>
      </c>
      <c r="U46" s="40">
        <f>IF($Q$2, $R$2*(SIN($R$1)+SIN(S46)), -0.2)</f>
        <v>-0.2</v>
      </c>
    </row>
    <row r="47" spans="2:21" x14ac:dyDescent="0.3">
      <c r="B47" s="12">
        <v>1.0465629243989194E-2</v>
      </c>
      <c r="C47" s="12">
        <f t="shared" si="0"/>
        <v>1.5493076249472584E-3</v>
      </c>
      <c r="D47" s="12">
        <f t="shared" si="1"/>
        <v>3.0467332491431152E-2</v>
      </c>
      <c r="E47" s="12">
        <f t="shared" si="2"/>
        <v>0.14607538903350401</v>
      </c>
      <c r="F47" s="12">
        <f t="shared" si="3"/>
        <v>0.14504950505866565</v>
      </c>
      <c r="G47" s="12">
        <f t="shared" si="4"/>
        <v>6.0618378919231591E-3</v>
      </c>
      <c r="H47" s="12">
        <f t="shared" si="5"/>
        <v>3.1696695088389008E-2</v>
      </c>
      <c r="I47" s="12">
        <f t="shared" si="6"/>
        <v>1.4869420596055229E-2</v>
      </c>
      <c r="J47" s="12">
        <f t="shared" si="7"/>
        <v>-2.8598079838494495E-2</v>
      </c>
      <c r="M47" s="123">
        <f>IF($Q$1,  C47, -0.2)</f>
        <v>-0.2</v>
      </c>
      <c r="S47" s="40">
        <v>5.8985004924543096</v>
      </c>
      <c r="T47" s="40">
        <f t="shared" si="8"/>
        <v>9.3096039596076985E-2</v>
      </c>
      <c r="U47" s="40">
        <f>IF($Q$2, $R$2*(SIN($R$1)+SIN(S47)), -0.2)</f>
        <v>-0.2</v>
      </c>
    </row>
    <row r="48" spans="2:21" x14ac:dyDescent="0.3">
      <c r="B48" s="12">
        <v>1.092476323841407E-2</v>
      </c>
      <c r="C48" s="12">
        <f t="shared" si="0"/>
        <v>1.6163362760467218E-3</v>
      </c>
      <c r="D48" s="12">
        <f t="shared" si="1"/>
        <v>3.1095063495973956E-2</v>
      </c>
      <c r="E48" s="12">
        <f t="shared" si="2"/>
        <v>0.14590321378559468</v>
      </c>
      <c r="F48" s="12">
        <f t="shared" si="3"/>
        <v>0.14488092278426928</v>
      </c>
      <c r="G48" s="12">
        <f t="shared" si="4"/>
        <v>6.435425850682225E-3</v>
      </c>
      <c r="H48" s="12">
        <f t="shared" si="5"/>
        <v>3.238562004473014E-2</v>
      </c>
      <c r="I48" s="12">
        <f t="shared" si="6"/>
        <v>1.5414100626145916E-2</v>
      </c>
      <c r="J48" s="12">
        <f t="shared" si="7"/>
        <v>-2.9152947492636697E-2</v>
      </c>
      <c r="M48" s="123">
        <f>IF($Q$1,  C48, -0.2)</f>
        <v>-0.2</v>
      </c>
      <c r="S48" s="40">
        <v>6.0267287640294036</v>
      </c>
      <c r="T48" s="40">
        <f t="shared" si="8"/>
        <v>9.5058111587071267E-2</v>
      </c>
      <c r="U48" s="40">
        <f>IF($Q$2, $R$2*(SIN($R$1)+SIN(S48)), -0.2)</f>
        <v>-0.2</v>
      </c>
    </row>
    <row r="49" spans="2:21" x14ac:dyDescent="0.3">
      <c r="B49" s="12">
        <v>1.1393698170635291E-2</v>
      </c>
      <c r="C49" s="12">
        <f t="shared" si="0"/>
        <v>1.6847141584696299E-3</v>
      </c>
      <c r="D49" s="12">
        <f t="shared" si="1"/>
        <v>3.1721184275169345E-2</v>
      </c>
      <c r="E49" s="12">
        <f t="shared" si="2"/>
        <v>0.14572736318601173</v>
      </c>
      <c r="F49" s="12">
        <f t="shared" si="3"/>
        <v>0.1447087332949509</v>
      </c>
      <c r="G49" s="12">
        <f t="shared" si="4"/>
        <v>6.8193697421935094E-3</v>
      </c>
      <c r="H49" s="12">
        <f t="shared" si="5"/>
        <v>3.3074347021056605E-2</v>
      </c>
      <c r="I49" s="12">
        <f t="shared" si="6"/>
        <v>1.5968026599077072E-2</v>
      </c>
      <c r="J49" s="12">
        <f t="shared" si="7"/>
        <v>-2.9704918704117345E-2</v>
      </c>
      <c r="M49" s="123">
        <f>IF($Q$1,  C49, -0.2)</f>
        <v>-0.2</v>
      </c>
      <c r="S49" s="40">
        <v>6.1549570356044976</v>
      </c>
      <c r="T49" s="40">
        <f t="shared" si="8"/>
        <v>9.6248391528242827E-2</v>
      </c>
      <c r="U49" s="40">
        <f>IF($Q$2, $R$2*(SIN($R$1)+SIN(S49)), -0.2)</f>
        <v>-0.2</v>
      </c>
    </row>
    <row r="50" spans="2:21" x14ac:dyDescent="0.3">
      <c r="B50" s="12">
        <v>1.1872429393885775E-2</v>
      </c>
      <c r="C50" s="12">
        <f t="shared" si="0"/>
        <v>1.7544354253867154E-3</v>
      </c>
      <c r="D50" s="12">
        <f t="shared" si="1"/>
        <v>3.2345684044454634E-2</v>
      </c>
      <c r="E50" s="12">
        <f t="shared" si="2"/>
        <v>0.14554783897729279</v>
      </c>
      <c r="F50" s="12">
        <f t="shared" si="3"/>
        <v>0.14453293776451132</v>
      </c>
      <c r="G50" s="12">
        <f t="shared" si="4"/>
        <v>7.2136723334099697E-3</v>
      </c>
      <c r="H50" s="12">
        <f t="shared" si="5"/>
        <v>3.3762860237538189E-2</v>
      </c>
      <c r="I50" s="12">
        <f t="shared" si="6"/>
        <v>1.6531186454361579E-2</v>
      </c>
      <c r="J50" s="12">
        <f t="shared" si="7"/>
        <v>-3.0253989386764758E-2</v>
      </c>
      <c r="M50" s="123">
        <f>IF($Q$1,  C50, -0.2)</f>
        <v>-0.2</v>
      </c>
      <c r="S50" s="40">
        <v>6.2831853071795916</v>
      </c>
      <c r="T50" s="40">
        <f t="shared" si="8"/>
        <v>9.6647335055864717E-2</v>
      </c>
      <c r="U50" s="40">
        <f>IF($Q$2, $R$2*(SIN($R$1)+SIN(S50)), -0.2)</f>
        <v>-0.2</v>
      </c>
    </row>
    <row r="51" spans="2:21" x14ac:dyDescent="0.3">
      <c r="B51" s="12">
        <v>1.2360952164325312E-2</v>
      </c>
      <c r="C51" s="12">
        <f t="shared" si="0"/>
        <v>1.8254941111971576E-3</v>
      </c>
      <c r="D51" s="12">
        <f t="shared" si="1"/>
        <v>3.2968551855890253E-2</v>
      </c>
      <c r="E51" s="12">
        <f t="shared" si="2"/>
        <v>0.14536464293837797</v>
      </c>
      <c r="F51" s="12">
        <f t="shared" si="3"/>
        <v>0.14435353739265935</v>
      </c>
      <c r="G51" s="12">
        <f t="shared" si="4"/>
        <v>7.6183362726073671E-3</v>
      </c>
      <c r="H51" s="12">
        <f t="shared" si="5"/>
        <v>3.4451143621638314E-2</v>
      </c>
      <c r="I51" s="12">
        <f t="shared" si="6"/>
        <v>1.7103568056043256E-2</v>
      </c>
      <c r="J51" s="12">
        <f t="shared" si="7"/>
        <v>-3.0800155399243998E-2</v>
      </c>
      <c r="M51" s="123">
        <f>IF($Q$1,  C51, -0.2)</f>
        <v>-0.2</v>
      </c>
    </row>
    <row r="52" spans="2:21" x14ac:dyDescent="0.3">
      <c r="B52" s="12">
        <v>1.2859261641087194E-2</v>
      </c>
      <c r="C52" s="12">
        <f t="shared" si="0"/>
        <v>1.8978841317967155E-3</v>
      </c>
      <c r="D52" s="12">
        <f t="shared" si="1"/>
        <v>3.3589776599823581E-2</v>
      </c>
      <c r="E52" s="12">
        <f t="shared" si="2"/>
        <v>0.14517777688459227</v>
      </c>
      <c r="F52" s="12">
        <f t="shared" si="3"/>
        <v>0.14417053340508534</v>
      </c>
      <c r="G52" s="12">
        <f t="shared" si="4"/>
        <v>8.0333640886048295E-3</v>
      </c>
      <c r="H52" s="12">
        <f t="shared" si="5"/>
        <v>3.5139180809859692E-2</v>
      </c>
      <c r="I52" s="12">
        <f t="shared" si="6"/>
        <v>1.7685159193569559E-2</v>
      </c>
      <c r="J52" s="12">
        <f t="shared" si="7"/>
        <v>-3.1343412546266262E-2</v>
      </c>
      <c r="M52" s="123">
        <f>IF($Q$1,  C52, -0.2)</f>
        <v>-0.2</v>
      </c>
    </row>
    <row r="53" spans="2:21" x14ac:dyDescent="0.3">
      <c r="B53" s="12">
        <v>1.3367352886326511E-2</v>
      </c>
      <c r="C53" s="12">
        <f t="shared" si="0"/>
        <v>1.9715992848513045E-3</v>
      </c>
      <c r="D53" s="12">
        <f t="shared" si="1"/>
        <v>3.4209347006582777E-2</v>
      </c>
      <c r="E53" s="12">
        <f t="shared" si="2"/>
        <v>0.14498724266762752</v>
      </c>
      <c r="F53" s="12">
        <f t="shared" si="3"/>
        <v>0.1439839270535363</v>
      </c>
      <c r="G53" s="12">
        <f t="shared" si="4"/>
        <v>8.4587581899760525E-3</v>
      </c>
      <c r="H53" s="12">
        <f t="shared" si="5"/>
        <v>3.5826955149525871E-2</v>
      </c>
      <c r="I53" s="12">
        <f t="shared" si="6"/>
        <v>1.827594758267697E-2</v>
      </c>
      <c r="J53" s="12">
        <f t="shared" si="7"/>
        <v>-3.1883756579823258E-2</v>
      </c>
      <c r="M53" s="123">
        <f>IF($Q$1,  C53, -0.2)</f>
        <v>-0.2</v>
      </c>
    </row>
    <row r="54" spans="2:21" x14ac:dyDescent="0.3">
      <c r="B54" s="12">
        <v>1.3885220865268999E-2</v>
      </c>
      <c r="C54" s="12">
        <f t="shared" si="0"/>
        <v>2.0466332500758549E-3</v>
      </c>
      <c r="D54" s="12">
        <f t="shared" si="1"/>
        <v>3.4827251648198755E-2</v>
      </c>
      <c r="E54" s="12">
        <f t="shared" si="2"/>
        <v>0.14479304217552408</v>
      </c>
      <c r="F54" s="12">
        <f t="shared" si="3"/>
        <v>0.14379371961589221</v>
      </c>
      <c r="G54" s="12">
        <f t="shared" si="4"/>
        <v>8.8945208642505092E-3</v>
      </c>
      <c r="H54" s="12">
        <f t="shared" si="5"/>
        <v>3.6514449700596724E-2</v>
      </c>
      <c r="I54" s="12">
        <f t="shared" si="6"/>
        <v>1.8875920866287491E-2</v>
      </c>
      <c r="J54" s="12">
        <f t="shared" si="7"/>
        <v>-3.2421183200445014E-2</v>
      </c>
      <c r="M54" s="123">
        <f>IF($Q$1,  C54, -0.2)</f>
        <v>-0.2</v>
      </c>
    </row>
    <row r="55" spans="2:21" x14ac:dyDescent="0.3">
      <c r="B55" s="12">
        <v>1.4412860446260445E-2</v>
      </c>
      <c r="C55" s="12">
        <f t="shared" si="0"/>
        <v>2.1229795895184329E-3</v>
      </c>
      <c r="D55" s="12">
        <f t="shared" si="1"/>
        <v>3.5443478940155267E-2</v>
      </c>
      <c r="E55" s="12">
        <f t="shared" si="2"/>
        <v>0.14459517733265229</v>
      </c>
      <c r="F55" s="12">
        <f t="shared" si="3"/>
        <v>0.14359991239624426</v>
      </c>
      <c r="G55" s="12">
        <f t="shared" si="4"/>
        <v>9.3406542771047787E-3</v>
      </c>
      <c r="H55" s="12">
        <f t="shared" si="5"/>
        <v>3.7201647237517961E-2</v>
      </c>
      <c r="I55" s="12">
        <f t="shared" si="6"/>
        <v>1.9485066615416109E-2</v>
      </c>
      <c r="J55" s="12">
        <f t="shared" si="7"/>
        <v>-3.2955688058481099E-2</v>
      </c>
      <c r="M55" s="123">
        <f>IF($Q$1,  C55, -0.2)</f>
        <v>-0.2</v>
      </c>
    </row>
    <row r="56" spans="2:21" x14ac:dyDescent="0.3">
      <c r="B56" s="12">
        <v>1.4950266400818424E-2</v>
      </c>
      <c r="C56" s="12">
        <f t="shared" si="0"/>
        <v>2.2006317478498682E-3</v>
      </c>
      <c r="D56" s="12">
        <f t="shared" si="1"/>
        <v>3.6058017143168669E-2</v>
      </c>
      <c r="E56" s="12">
        <f t="shared" si="2"/>
        <v>0.14439365009969304</v>
      </c>
      <c r="F56" s="12">
        <f t="shared" si="3"/>
        <v>0.14340250672497334</v>
      </c>
      <c r="G56" s="12">
        <f t="shared" si="4"/>
        <v>9.797160471545838E-3</v>
      </c>
      <c r="H56" s="12">
        <f t="shared" si="5"/>
        <v>3.7888530251106424E-2</v>
      </c>
      <c r="I56" s="12">
        <f t="shared" si="6"/>
        <v>2.0103372330091011E-2</v>
      </c>
      <c r="J56" s="12">
        <f t="shared" si="7"/>
        <v>-3.348726675540669E-2</v>
      </c>
      <c r="M56" s="123">
        <f>IF($Q$1,  C56, -0.2)</f>
        <v>-0.2</v>
      </c>
    </row>
    <row r="57" spans="2:21" x14ac:dyDescent="0.3">
      <c r="B57" s="12">
        <v>1.5497433403683258E-2</v>
      </c>
      <c r="C57" s="12">
        <f t="shared" si="0"/>
        <v>2.2795830526584383E-3</v>
      </c>
      <c r="D57" s="12">
        <f t="shared" si="1"/>
        <v>3.6670854364993385E-2</v>
      </c>
      <c r="E57" s="12">
        <f t="shared" si="2"/>
        <v>0.14418846247361874</v>
      </c>
      <c r="F57" s="12">
        <f t="shared" si="3"/>
        <v>0.14320150395883133</v>
      </c>
      <c r="G57" s="12">
        <f t="shared" si="4"/>
        <v>1.0264041367083809E-2</v>
      </c>
      <c r="H57" s="12">
        <f t="shared" si="5"/>
        <v>3.8575080950466814E-2</v>
      </c>
      <c r="I57" s="12">
        <f t="shared" si="6"/>
        <v>2.0730825440282707E-2</v>
      </c>
      <c r="J57" s="12">
        <f t="shared" si="7"/>
        <v>-3.401591484514993E-2</v>
      </c>
      <c r="M57" s="123">
        <f>IF($Q$1,  C57, -0.2)</f>
        <v>-0.2</v>
      </c>
    </row>
    <row r="58" spans="2:21" x14ac:dyDescent="0.3">
      <c r="B58" s="12">
        <v>1.605435603287142E-2</v>
      </c>
      <c r="C58" s="12">
        <f t="shared" si="0"/>
        <v>2.359826714750051E-3</v>
      </c>
      <c r="D58" s="12">
        <f t="shared" si="1"/>
        <v>3.7281978562256755E-2</v>
      </c>
      <c r="E58" s="12">
        <f t="shared" si="2"/>
        <v>0.14397961648767318</v>
      </c>
      <c r="F58" s="12">
        <f t="shared" si="3"/>
        <v>0.14299690548102253</v>
      </c>
      <c r="G58" s="12">
        <f t="shared" si="4"/>
        <v>1.0741298758897169E-2</v>
      </c>
      <c r="H58" s="12">
        <f t="shared" si="5"/>
        <v>3.9261281264944159E-2</v>
      </c>
      <c r="I58" s="12">
        <f t="shared" si="6"/>
        <v>2.1367413306845669E-2</v>
      </c>
      <c r="J58" s="12">
        <f t="shared" si="7"/>
        <v>-3.4541627835444053E-2</v>
      </c>
      <c r="M58" s="123">
        <f>IF($Q$1,  C58, -0.2)</f>
        <v>-0.2</v>
      </c>
    </row>
    <row r="59" spans="2:21" x14ac:dyDescent="0.3">
      <c r="B59" s="12">
        <v>1.6621028769728818E-2</v>
      </c>
      <c r="C59" s="12">
        <f t="shared" si="0"/>
        <v>2.4413558284535433E-3</v>
      </c>
      <c r="D59" s="12">
        <f t="shared" si="1"/>
        <v>3.7891377542319617E-2</v>
      </c>
      <c r="E59" s="12">
        <f t="shared" si="2"/>
        <v>0.14376711421135166</v>
      </c>
      <c r="F59" s="12">
        <f t="shared" si="3"/>
        <v>0.14278871270128721</v>
      </c>
      <c r="G59" s="12">
        <f t="shared" si="4"/>
        <v>1.1228934316988497E-2</v>
      </c>
      <c r="H59" s="12">
        <f t="shared" si="5"/>
        <v>3.994711284610792E-2</v>
      </c>
      <c r="I59" s="12">
        <f t="shared" si="6"/>
        <v>2.2013123222469139E-2</v>
      </c>
      <c r="J59" s="12">
        <f t="shared" si="7"/>
        <v>-3.5064401189200838E-2</v>
      </c>
      <c r="M59" s="123">
        <f>IF($Q$1,  C59, -0.2)</f>
        <v>-0.2</v>
      </c>
    </row>
    <row r="60" spans="2:21" x14ac:dyDescent="0.3">
      <c r="B60" s="12">
        <v>1.719744599898565E-2</v>
      </c>
      <c r="C60" s="12">
        <f t="shared" si="0"/>
        <v>2.5241633719313419E-3</v>
      </c>
      <c r="D60" s="12">
        <f t="shared" si="1"/>
        <v>3.8499038965164427E-2</v>
      </c>
      <c r="E60" s="12">
        <f t="shared" si="2"/>
        <v>0.14355095775038035</v>
      </c>
      <c r="F60" s="12">
        <f t="shared" si="3"/>
        <v>0.14257692705598621</v>
      </c>
      <c r="G60" s="12">
        <f t="shared" si="4"/>
        <v>1.1726949585332377E-2</v>
      </c>
      <c r="H60" s="12">
        <f t="shared" si="5"/>
        <v>4.0632557069769822E-2</v>
      </c>
      <c r="I60" s="12">
        <f t="shared" si="6"/>
        <v>2.2667942412638923E-2</v>
      </c>
      <c r="J60" s="12">
        <f t="shared" si="7"/>
        <v>-3.5584230325907136E-2</v>
      </c>
      <c r="M60" s="123">
        <f>IF($Q$1,  C60, -0.2)</f>
        <v>-0.2</v>
      </c>
    </row>
    <row r="61" spans="2:21" x14ac:dyDescent="0.3">
      <c r="B61" s="12">
        <v>1.7783602008812238E-2</v>
      </c>
      <c r="C61" s="12">
        <f t="shared" si="0"/>
        <v>2.6082422074953666E-3</v>
      </c>
      <c r="D61" s="12">
        <f t="shared" si="1"/>
        <v>3.9104950345310002E-2</v>
      </c>
      <c r="E61" s="12">
        <f t="shared" si="2"/>
        <v>0.14333114924669538</v>
      </c>
      <c r="F61" s="12">
        <f t="shared" si="3"/>
        <v>0.14236155000818676</v>
      </c>
      <c r="G61" s="12">
        <f t="shared" si="4"/>
        <v>1.2235345981015232E-2</v>
      </c>
      <c r="H61" s="12">
        <f t="shared" si="5"/>
        <v>4.1317595038034588E-2</v>
      </c>
      <c r="I61" s="12">
        <f t="shared" si="6"/>
        <v>2.3331858036609244E-2</v>
      </c>
      <c r="J61" s="12">
        <f t="shared" si="7"/>
        <v>-3.6101110623043858E-2</v>
      </c>
      <c r="M61" s="123">
        <f>IF($Q$1,  C61, -0.2)</f>
        <v>-0.2</v>
      </c>
    </row>
    <row r="62" spans="2:21" x14ac:dyDescent="0.3">
      <c r="B62" s="12">
        <v>1.8379490990875214E-2</v>
      </c>
      <c r="C62" s="12">
        <f t="shared" si="0"/>
        <v>2.6935850819280942E-3</v>
      </c>
      <c r="D62" s="12">
        <f t="shared" si="1"/>
        <v>3.9709099053751543E-2</v>
      </c>
      <c r="E62" s="12">
        <f t="shared" si="2"/>
        <v>0.14310769087842176</v>
      </c>
      <c r="F62" s="12">
        <f t="shared" si="3"/>
        <v>0.14214258304775004</v>
      </c>
      <c r="G62" s="12">
        <f t="shared" si="4"/>
        <v>1.2754124793366777E-2</v>
      </c>
      <c r="H62" s="12">
        <f t="shared" si="5"/>
        <v>4.2002207581382095E-2</v>
      </c>
      <c r="I62" s="12">
        <f t="shared" si="6"/>
        <v>2.400485718838365E-2</v>
      </c>
      <c r="J62" s="12">
        <f t="shared" si="7"/>
        <v>-3.6615037417525906E-2</v>
      </c>
      <c r="M62" s="123">
        <f>IF($Q$1,  C62, -0.2)</f>
        <v>-0.2</v>
      </c>
    </row>
    <row r="63" spans="2:21" x14ac:dyDescent="0.3">
      <c r="B63" s="12">
        <v>1.8985107040395466E-2</v>
      </c>
      <c r="C63" s="12">
        <f t="shared" si="0"/>
        <v>2.7801846268089552E-3</v>
      </c>
      <c r="D63" s="12">
        <f t="shared" si="1"/>
        <v>4.0311472319927336E-2</v>
      </c>
      <c r="E63" s="12">
        <f t="shared" si="2"/>
        <v>0.14288058485985167</v>
      </c>
      <c r="F63" s="12">
        <f t="shared" si="3"/>
        <v>0.14192002769141959</v>
      </c>
      <c r="G63" s="12">
        <f t="shared" si="4"/>
        <v>1.3283287183084582E-2</v>
      </c>
      <c r="H63" s="12">
        <f t="shared" si="5"/>
        <v>4.2686375260782568E-2</v>
      </c>
      <c r="I63" s="12">
        <f t="shared" si="6"/>
        <v>2.4686926897706352E-2</v>
      </c>
      <c r="J63" s="12">
        <f t="shared" si="7"/>
        <v>-3.7126006007164654E-2</v>
      </c>
      <c r="M63" s="123">
        <f>IF($Q$1,  C63, -0.2)</f>
        <v>-0.2</v>
      </c>
    </row>
    <row r="64" spans="2:21" x14ac:dyDescent="0.3">
      <c r="B64" s="12">
        <v>1.9600444156206542E-2</v>
      </c>
      <c r="C64" s="12">
        <f t="shared" si="0"/>
        <v>2.8680333588458739E-3</v>
      </c>
      <c r="D64" s="12">
        <f t="shared" si="1"/>
        <v>4.0912057233710449E-2</v>
      </c>
      <c r="E64" s="12">
        <f t="shared" si="2"/>
        <v>0.14264983344142251</v>
      </c>
      <c r="F64" s="12">
        <f t="shared" si="3"/>
        <v>0.14169388548291131</v>
      </c>
      <c r="G64" s="12">
        <f t="shared" si="4"/>
        <v>1.3822834181350788E-2</v>
      </c>
      <c r="H64" s="12">
        <f t="shared" si="5"/>
        <v>4.3370078369843121E-2</v>
      </c>
      <c r="I64" s="12">
        <f t="shared" si="6"/>
        <v>2.5378054131062297E-2</v>
      </c>
      <c r="J64" s="12">
        <f t="shared" si="7"/>
        <v>-3.763401165215137E-2</v>
      </c>
      <c r="M64" s="123">
        <f>IF($Q$1,  C64, -0.2)</f>
        <v>-0.2</v>
      </c>
    </row>
    <row r="65" spans="2:13" x14ac:dyDescent="0.3">
      <c r="B65" s="12">
        <v>2.0225496240813712E-2</v>
      </c>
      <c r="C65" s="12">
        <f t="shared" si="0"/>
        <v>2.9571236802119621E-3</v>
      </c>
      <c r="D65" s="12">
        <f t="shared" si="1"/>
        <v>4.1510840747425025E-2</v>
      </c>
      <c r="E65" s="12">
        <f t="shared" si="2"/>
        <v>0.14241543890969482</v>
      </c>
      <c r="F65" s="12">
        <f t="shared" si="3"/>
        <v>0.14146415799300482</v>
      </c>
      <c r="G65" s="12">
        <f t="shared" si="4"/>
        <v>1.4372766688941489E-2</v>
      </c>
      <c r="H65" s="12">
        <f t="shared" si="5"/>
        <v>4.405329693698519E-2</v>
      </c>
      <c r="I65" s="12">
        <f t="shared" si="6"/>
        <v>2.6078225792685934E-2</v>
      </c>
      <c r="J65" s="12">
        <f t="shared" si="7"/>
        <v>-3.8139049576561265E-2</v>
      </c>
      <c r="M65" s="123">
        <f>IF($Q$1,  C65, -0.2)</f>
        <v>-0.2</v>
      </c>
    </row>
    <row r="66" spans="2:13" x14ac:dyDescent="0.3">
      <c r="B66" s="12">
        <v>2.0860257100455248E-2</v>
      </c>
      <c r="C66" s="12">
        <f t="shared" ref="C66:C129" si="9">IF($A$1=0, 0, IF(B66&lt;=$A$2, ($A$1/$A$2^2)*(2*$A$2*B66-B66^2), ($A$1/(1-$A$2)^2)*((1-2*$A$2)+2*$A$2*B66-B66^2)))</f>
        <v>3.0474478788875816E-3</v>
      </c>
      <c r="D66" s="12">
        <f t="shared" ref="D66:D129" si="10">5*$A$3*(0.2969*SQRT(B66)-0.126*B66-0.3516*B66^2+0.2843*B66^3-0.1015*B66^4)</f>
        <v>4.2107809677888602E-2</v>
      </c>
      <c r="E66" s="12">
        <f t="shared" ref="E66:E129" si="11">IF($A$1=0, 0, IF(B66&lt;=$A$2, ($A$1/$A$2^2) *(2*$A$2-2*B66), ($A$1/(1-$A$2)^2)*(2*$A$2-2*B66)))</f>
        <v>0.14217740358732925</v>
      </c>
      <c r="F66" s="12">
        <f t="shared" ref="F66:F129" si="12">IF($A$1=0, 0,  ATAN(E66))</f>
        <v>0.14123084681963582</v>
      </c>
      <c r="G66" s="12">
        <f t="shared" ref="G66:G129" si="13">B66-D66*SIN(F66)</f>
        <v>1.493308547533035E-2</v>
      </c>
      <c r="H66" s="12">
        <f t="shared" ref="H66:H129" si="14">C66+D66*COS(F66)</f>
        <v>4.4736010727654672E-2</v>
      </c>
      <c r="I66" s="12">
        <f t="shared" ref="I66:I129" si="15">B66+D66*SIN(F66)</f>
        <v>2.6787428725580147E-2</v>
      </c>
      <c r="J66" s="12">
        <f t="shared" ref="J66:J129" si="16">C66-D66*COS(F66)</f>
        <v>-3.8641114969879507E-2</v>
      </c>
      <c r="M66" s="123">
        <f>IF($Q$1,  C66, -0.2)</f>
        <v>-0.2</v>
      </c>
    </row>
    <row r="67" spans="2:13" x14ac:dyDescent="0.3">
      <c r="B67" s="12">
        <v>2.1504720445162939E-2</v>
      </c>
      <c r="C67" s="12">
        <f t="shared" si="9"/>
        <v>3.1389981290073257E-3</v>
      </c>
      <c r="D67" s="12">
        <f t="shared" si="10"/>
        <v>4.2702950708477044E-2</v>
      </c>
      <c r="E67" s="12">
        <f t="shared" si="11"/>
        <v>0.14193572983306385</v>
      </c>
      <c r="F67" s="12">
        <f t="shared" si="12"/>
        <v>0.14099395358799002</v>
      </c>
      <c r="G67" s="12">
        <f t="shared" si="13"/>
        <v>1.5503791177784096E-2</v>
      </c>
      <c r="H67" s="12">
        <f t="shared" si="14"/>
        <v>4.5418199246560813E-2</v>
      </c>
      <c r="I67" s="12">
        <f t="shared" si="15"/>
        <v>2.7505649712541783E-2</v>
      </c>
      <c r="J67" s="12">
        <f t="shared" si="16"/>
        <v>-3.9140202988546167E-2</v>
      </c>
      <c r="M67" s="123">
        <f>IF($Q$1,  C67, -0.2)</f>
        <v>-0.2</v>
      </c>
    </row>
    <row r="68" spans="2:13" x14ac:dyDescent="0.3">
      <c r="B68" s="12">
        <v>2.2158879888824812E-2</v>
      </c>
      <c r="C68" s="12">
        <f t="shared" si="9"/>
        <v>3.2317664912123404E-3</v>
      </c>
      <c r="D68" s="12">
        <f t="shared" si="10"/>
        <v>4.3296250391214645E-2</v>
      </c>
      <c r="E68" s="12">
        <f t="shared" si="11"/>
        <v>0.14169042004169066</v>
      </c>
      <c r="F68" s="12">
        <f t="shared" si="12"/>
        <v>0.14075347995059828</v>
      </c>
      <c r="G68" s="12">
        <f t="shared" si="13"/>
        <v>1.6084884300452771E-2</v>
      </c>
      <c r="H68" s="12">
        <f t="shared" si="14"/>
        <v>4.6099841739947162E-2</v>
      </c>
      <c r="I68" s="12">
        <f t="shared" si="15"/>
        <v>2.8232875477196853E-2</v>
      </c>
      <c r="J68" s="12">
        <f t="shared" si="16"/>
        <v>-3.9636308757522484E-2</v>
      </c>
      <c r="M68" s="123">
        <f>IF($Q$1,  C68, -0.2)</f>
        <v>-0.2</v>
      </c>
    </row>
    <row r="69" spans="2:13" x14ac:dyDescent="0.3">
      <c r="B69" s="12">
        <v>2.2822728949248527E-2</v>
      </c>
      <c r="C69" s="12">
        <f t="shared" si="9"/>
        <v>3.3257449130077409E-3</v>
      </c>
      <c r="D69" s="12">
        <f t="shared" si="10"/>
        <v>4.3887695148887448E-2</v>
      </c>
      <c r="E69" s="12">
        <f t="shared" si="11"/>
        <v>0.14144147664403176</v>
      </c>
      <c r="F69" s="12">
        <f t="shared" si="12"/>
        <v>0.14050942758743276</v>
      </c>
      <c r="G69" s="12">
        <f t="shared" si="13"/>
        <v>1.6676365213453677E-2</v>
      </c>
      <c r="H69" s="12">
        <f t="shared" si="14"/>
        <v>4.6780917197892138E-2</v>
      </c>
      <c r="I69" s="12">
        <f t="shared" si="15"/>
        <v>2.8969092685043378E-2</v>
      </c>
      <c r="J69" s="12">
        <f t="shared" si="16"/>
        <v>-4.012942737187665E-2</v>
      </c>
      <c r="M69" s="123">
        <f>IF($Q$1,  C69, -0.2)</f>
        <v>-0.2</v>
      </c>
    </row>
    <row r="70" spans="2:13" x14ac:dyDescent="0.3">
      <c r="B70" s="12">
        <v>2.349626104822522E-2</v>
      </c>
      <c r="C70" s="12">
        <f t="shared" si="9"/>
        <v>3.4209252291250926E-3</v>
      </c>
      <c r="D70" s="12">
        <f t="shared" si="10"/>
        <v>4.4477271277179327E-2</v>
      </c>
      <c r="E70" s="12">
        <f t="shared" si="11"/>
        <v>0.14118890210691551</v>
      </c>
      <c r="F70" s="12">
        <f t="shared" si="12"/>
        <v>0.14026179820600493</v>
      </c>
      <c r="G70" s="12">
        <f t="shared" si="13"/>
        <v>1.7278234151949005E-2</v>
      </c>
      <c r="H70" s="12">
        <f t="shared" si="14"/>
        <v>4.7461404356638981E-2</v>
      </c>
      <c r="I70" s="12">
        <f t="shared" si="15"/>
        <v>2.9714287944501434E-2</v>
      </c>
      <c r="J70" s="12">
        <f t="shared" si="16"/>
        <v>-4.0619553898388797E-2</v>
      </c>
      <c r="M70" s="123">
        <f>IF($Q$1,  C70, -0.2)</f>
        <v>-0.2</v>
      </c>
    </row>
    <row r="71" spans="2:13" x14ac:dyDescent="0.3">
      <c r="B71" s="12">
        <v>2.4179469511595331E-2</v>
      </c>
      <c r="C71" s="12">
        <f t="shared" si="9"/>
        <v>3.5172991618901426E-3</v>
      </c>
      <c r="D71" s="12">
        <f t="shared" si="10"/>
        <v>4.5064964946831841E-2</v>
      </c>
      <c r="E71" s="12">
        <f t="shared" si="11"/>
        <v>0.14093269893315172</v>
      </c>
      <c r="F71" s="12">
        <f t="shared" si="12"/>
        <v>0.14001059354146389</v>
      </c>
      <c r="G71" s="12">
        <f t="shared" si="13"/>
        <v>1.7890491215218889E-2</v>
      </c>
      <c r="H71" s="12">
        <f t="shared" si="14"/>
        <v>4.8141281700956384E-2</v>
      </c>
      <c r="I71" s="12">
        <f t="shared" si="15"/>
        <v>3.0468447807971772E-2</v>
      </c>
      <c r="J71" s="12">
        <f t="shared" si="16"/>
        <v>-4.1106683377176101E-2</v>
      </c>
      <c r="M71" s="123">
        <f>IF($Q$1,  C71, -0.2)</f>
        <v>-0.2</v>
      </c>
    </row>
    <row r="72" spans="2:13" x14ac:dyDescent="0.3">
      <c r="B72" s="12">
        <v>2.487234756931378E-2</v>
      </c>
      <c r="C72" s="12">
        <f t="shared" si="9"/>
        <v>3.6148583215954259E-3</v>
      </c>
      <c r="D72" s="12">
        <f t="shared" si="10"/>
        <v>4.5650762205824924E-2</v>
      </c>
      <c r="E72" s="12">
        <f t="shared" si="11"/>
        <v>0.1406728696615073</v>
      </c>
      <c r="F72" s="12">
        <f t="shared" si="12"/>
        <v>0.13975581535669712</v>
      </c>
      <c r="G72" s="12">
        <f t="shared" si="13"/>
        <v>1.8513136365727691E-2</v>
      </c>
      <c r="H72" s="12">
        <f t="shared" si="14"/>
        <v>4.8820527466526334E-2</v>
      </c>
      <c r="I72" s="12">
        <f t="shared" si="15"/>
        <v>3.1231558772899869E-2</v>
      </c>
      <c r="J72" s="12">
        <f t="shared" si="16"/>
        <v>-4.1590810823335489E-2</v>
      </c>
      <c r="M72" s="123">
        <f>IF($Q$1,  C72, -0.2)</f>
        <v>-0.2</v>
      </c>
    </row>
    <row r="73" spans="2:13" x14ac:dyDescent="0.3">
      <c r="B73" s="12">
        <v>2.5574888355518133E-2</v>
      </c>
      <c r="C73" s="12">
        <f t="shared" si="9"/>
        <v>3.7135942068782413E-3</v>
      </c>
      <c r="D73" s="12">
        <f t="shared" si="10"/>
        <v>4.6234648981581451E-2</v>
      </c>
      <c r="E73" s="12">
        <f t="shared" si="11"/>
        <v>0.14040941686668068</v>
      </c>
      <c r="F73" s="12">
        <f t="shared" si="12"/>
        <v>0.13949746544243125</v>
      </c>
      <c r="G73" s="12">
        <f t="shared" si="13"/>
        <v>1.9146169428187133E-2</v>
      </c>
      <c r="H73" s="12">
        <f t="shared" si="14"/>
        <v>4.949911964236306E-2</v>
      </c>
      <c r="I73" s="12">
        <f t="shared" si="15"/>
        <v>3.2003607282849129E-2</v>
      </c>
      <c r="J73" s="12">
        <f t="shared" si="16"/>
        <v>-4.2071931228606571E-2</v>
      </c>
      <c r="M73" s="123">
        <f>IF($Q$1,  C73, -0.2)</f>
        <v>-0.2</v>
      </c>
    </row>
    <row r="74" spans="2:13" x14ac:dyDescent="0.3">
      <c r="B74" s="12">
        <v>2.6287084908595659E-2</v>
      </c>
      <c r="C74" s="12">
        <f t="shared" si="9"/>
        <v>3.8134982051034011E-3</v>
      </c>
      <c r="D74" s="12">
        <f t="shared" si="10"/>
        <v>4.6816611083191635E-2</v>
      </c>
      <c r="E74" s="12">
        <f t="shared" si="11"/>
        <v>0.14014234315927659</v>
      </c>
      <c r="F74" s="12">
        <f t="shared" si="12"/>
        <v>0.13923554561733492</v>
      </c>
      <c r="G74" s="12">
        <f t="shared" si="13"/>
        <v>1.9789590088612825E-2</v>
      </c>
      <c r="H74" s="12">
        <f t="shared" si="14"/>
        <v>5.0177035973258212E-2</v>
      </c>
      <c r="I74" s="12">
        <f t="shared" si="15"/>
        <v>3.278457972857849E-2</v>
      </c>
      <c r="J74" s="12">
        <f t="shared" si="16"/>
        <v>-4.2550039563051416E-2</v>
      </c>
      <c r="M74" s="123">
        <f>IF($Q$1,  C74, -0.2)</f>
        <v>-0.2</v>
      </c>
    </row>
    <row r="75" spans="2:13" x14ac:dyDescent="0.3">
      <c r="B75" s="12">
        <v>2.7008930171253165E-2</v>
      </c>
      <c r="C75" s="12">
        <f t="shared" si="9"/>
        <v>3.9145615927512938E-3</v>
      </c>
      <c r="D75" s="12">
        <f t="shared" si="10"/>
        <v>4.7396634203660123E-2</v>
      </c>
      <c r="E75" s="12">
        <f t="shared" si="11"/>
        <v>0.13987165118578004</v>
      </c>
      <c r="F75" s="12">
        <f t="shared" si="12"/>
        <v>0.13897005772812246</v>
      </c>
      <c r="G75" s="12">
        <f t="shared" si="13"/>
        <v>2.0443397893377974E-2</v>
      </c>
      <c r="H75" s="12">
        <f t="shared" si="14"/>
        <v>5.0854253962256062E-2</v>
      </c>
      <c r="I75" s="12">
        <f t="shared" si="15"/>
        <v>3.3574462449128359E-2</v>
      </c>
      <c r="J75" s="12">
        <f t="shared" si="16"/>
        <v>-4.3025130776753469E-2</v>
      </c>
      <c r="M75" s="123">
        <f>IF($Q$1,  C75, -0.2)</f>
        <v>-0.2</v>
      </c>
    </row>
    <row r="76" spans="2:13" x14ac:dyDescent="0.3">
      <c r="B76" s="12">
        <v>2.7740416990586381E-2</v>
      </c>
      <c r="C76" s="12">
        <f t="shared" si="9"/>
        <v>4.0167755358107788E-3</v>
      </c>
      <c r="D76" s="12">
        <f t="shared" si="10"/>
        <v>4.7974703922172707E-2</v>
      </c>
      <c r="E76" s="12">
        <f t="shared" si="11"/>
        <v>0.13959734362853007</v>
      </c>
      <c r="F76" s="12">
        <f t="shared" si="12"/>
        <v>0.13870100364965873</v>
      </c>
      <c r="G76" s="12">
        <f t="shared" si="13"/>
        <v>2.1107592248261663E-2</v>
      </c>
      <c r="H76" s="12">
        <f t="shared" si="14"/>
        <v>5.1530750873154826E-2</v>
      </c>
      <c r="I76" s="12">
        <f t="shared" si="15"/>
        <v>3.4373241732911099E-2</v>
      </c>
      <c r="J76" s="12">
        <f t="shared" si="16"/>
        <v>-4.3497199801533271E-2</v>
      </c>
      <c r="M76" s="123">
        <f>IF($Q$1,  C76, -0.2)</f>
        <v>-0.2</v>
      </c>
    </row>
    <row r="77" spans="2:13" x14ac:dyDescent="0.3">
      <c r="B77" s="12">
        <v>2.8481538118150684E-2</v>
      </c>
      <c r="C77" s="12">
        <f t="shared" si="9"/>
        <v>4.1201310901771634E-3</v>
      </c>
      <c r="D77" s="12">
        <f t="shared" si="10"/>
        <v>4.8550805706383746E-2</v>
      </c>
      <c r="E77" s="12">
        <f t="shared" si="11"/>
        <v>0.13931942320569346</v>
      </c>
      <c r="F77" s="12">
        <f t="shared" si="12"/>
        <v>0.13842838528506562</v>
      </c>
      <c r="G77" s="12">
        <f t="shared" si="13"/>
        <v>2.1782172417493553E-2</v>
      </c>
      <c r="H77" s="12">
        <f t="shared" si="14"/>
        <v>5.2206503733036008E-2</v>
      </c>
      <c r="I77" s="12">
        <f t="shared" si="15"/>
        <v>3.5180903818807813E-2</v>
      </c>
      <c r="J77" s="12">
        <f t="shared" si="16"/>
        <v>-4.3966241552681681E-2</v>
      </c>
      <c r="M77" s="123">
        <f>IF($Q$1,  C77, -0.2)</f>
        <v>-0.2</v>
      </c>
    </row>
    <row r="78" spans="2:13" x14ac:dyDescent="0.3">
      <c r="B78" s="12">
        <v>2.923228621003382E-2</v>
      </c>
      <c r="C78" s="12">
        <f t="shared" si="9"/>
        <v>4.2246192020553228E-3</v>
      </c>
      <c r="D78" s="12">
        <f t="shared" si="10"/>
        <v>4.9124924914724456E-2</v>
      </c>
      <c r="E78" s="12">
        <f t="shared" si="11"/>
        <v>0.13903789267123728</v>
      </c>
      <c r="F78" s="12">
        <f t="shared" si="12"/>
        <v>0.13815220456582872</v>
      </c>
      <c r="G78" s="12">
        <f t="shared" si="13"/>
        <v>2.2467137522795937E-2</v>
      </c>
      <c r="H78" s="12">
        <f t="shared" si="14"/>
        <v>5.2881489334821563E-2</v>
      </c>
      <c r="I78" s="12">
        <f t="shared" si="15"/>
        <v>3.5997434897271703E-2</v>
      </c>
      <c r="J78" s="12">
        <f t="shared" si="16"/>
        <v>-4.4432250930710918E-2</v>
      </c>
      <c r="M78" s="123">
        <f>IF($Q$1,  C78, -0.2)</f>
        <v>-0.2</v>
      </c>
    </row>
    <row r="79" spans="2:13" x14ac:dyDescent="0.3">
      <c r="B79" s="12">
        <v>2.9992653826927507E-2</v>
      </c>
      <c r="C79" s="12">
        <f t="shared" si="9"/>
        <v>4.3302307083675174E-3</v>
      </c>
      <c r="D79" s="12">
        <f t="shared" si="10"/>
        <v>4.9697046798728911E-2</v>
      </c>
      <c r="E79" s="12">
        <f t="shared" si="11"/>
        <v>0.13875275481490215</v>
      </c>
      <c r="F79" s="12">
        <f t="shared" si="12"/>
        <v>0.1378724634519064</v>
      </c>
      <c r="G79" s="12">
        <f t="shared" si="13"/>
        <v>2.3162486542420566E-2</v>
      </c>
      <c r="H79" s="12">
        <f t="shared" si="14"/>
        <v>5.3555684239855697E-2</v>
      </c>
      <c r="I79" s="12">
        <f t="shared" si="15"/>
        <v>3.6822821111434444E-2</v>
      </c>
      <c r="J79" s="12">
        <f t="shared" si="16"/>
        <v>-4.4895222823120667E-2</v>
      </c>
      <c r="M79" s="123">
        <f>IF($Q$1,  C79, -0.2)</f>
        <v>-0.2</v>
      </c>
    </row>
    <row r="80" spans="2:13" x14ac:dyDescent="0.3">
      <c r="B80" s="12">
        <v>3.0762633434202158E-2</v>
      </c>
      <c r="C80" s="12">
        <f t="shared" si="9"/>
        <v>4.4369563371664924E-3</v>
      </c>
      <c r="D80" s="12">
        <f t="shared" si="10"/>
        <v>5.0267156505381078E-2</v>
      </c>
      <c r="E80" s="12">
        <f t="shared" si="11"/>
        <v>0.13846401246217416</v>
      </c>
      <c r="F80" s="12">
        <f t="shared" si="12"/>
        <v>0.13758916393183909</v>
      </c>
      <c r="G80" s="12">
        <f t="shared" si="13"/>
        <v>2.3868218310184406E-2</v>
      </c>
      <c r="H80" s="12">
        <f t="shared" si="14"/>
        <v>5.4229064780515132E-2</v>
      </c>
      <c r="I80" s="12">
        <f t="shared" si="15"/>
        <v>3.7657048558219913E-2</v>
      </c>
      <c r="J80" s="12">
        <f t="shared" si="16"/>
        <v>-4.5355152106182142E-2</v>
      </c>
      <c r="M80" s="123">
        <f>IF($Q$1,  C80, -0.2)</f>
        <v>-0.2</v>
      </c>
    </row>
    <row r="81" spans="2:13" x14ac:dyDescent="0.3">
      <c r="B81" s="12">
        <v>3.1542217401980821E-2</v>
      </c>
      <c r="C81" s="12">
        <f t="shared" si="9"/>
        <v>4.5447867080532804E-3</v>
      </c>
      <c r="D81" s="12">
        <f t="shared" si="10"/>
        <v>5.083523907947906E-2</v>
      </c>
      <c r="E81" s="12">
        <f t="shared" si="11"/>
        <v>0.13817166847425716</v>
      </c>
      <c r="F81" s="12">
        <f t="shared" si="12"/>
        <v>0.13730230802286014</v>
      </c>
      <c r="G81" s="12">
        <f t="shared" si="13"/>
        <v>2.4584331514501036E-2</v>
      </c>
      <c r="H81" s="12">
        <f t="shared" si="14"/>
        <v>5.4901607062843395E-2</v>
      </c>
      <c r="I81" s="12">
        <f t="shared" si="15"/>
        <v>3.8500103289460602E-2</v>
      </c>
      <c r="J81" s="12">
        <f t="shared" si="16"/>
        <v>-4.581203364673684E-2</v>
      </c>
      <c r="M81" s="123">
        <f>IF($Q$1,  C81, -0.2)</f>
        <v>-0.2</v>
      </c>
    </row>
    <row r="82" spans="2:13" x14ac:dyDescent="0.3">
      <c r="B82" s="12">
        <v>3.2331398005215228E-2</v>
      </c>
      <c r="C82" s="12">
        <f t="shared" si="9"/>
        <v>4.6537123326001019E-3</v>
      </c>
      <c r="D82" s="12">
        <f t="shared" si="10"/>
        <v>5.1401279466018496E-2</v>
      </c>
      <c r="E82" s="12">
        <f t="shared" si="11"/>
        <v>0.13787572574804427</v>
      </c>
      <c r="F82" s="12">
        <f t="shared" si="12"/>
        <v>0.13701189777100767</v>
      </c>
      <c r="G82" s="12">
        <f t="shared" si="13"/>
        <v>2.5310824697410673E-2</v>
      </c>
      <c r="H82" s="12">
        <f t="shared" si="14"/>
        <v>5.5573286969211877E-2</v>
      </c>
      <c r="I82" s="12">
        <f t="shared" si="15"/>
        <v>3.9351971313019783E-2</v>
      </c>
      <c r="J82" s="12">
        <f t="shared" si="16"/>
        <v>-4.6265862304011668E-2</v>
      </c>
      <c r="M82" s="123">
        <f>IF($Q$1,  C82, -0.2)</f>
        <v>-0.2</v>
      </c>
    </row>
    <row r="83" spans="2:13" x14ac:dyDescent="0.3">
      <c r="B83" s="12">
        <v>3.313016742376218E-2</v>
      </c>
      <c r="C83" s="12">
        <f t="shared" si="9"/>
        <v>4.7637236147781044E-3</v>
      </c>
      <c r="D83" s="12">
        <f t="shared" si="10"/>
        <v>5.1965262512593445E-2</v>
      </c>
      <c r="E83" s="12">
        <f t="shared" si="11"/>
        <v>0.13757618721608916</v>
      </c>
      <c r="F83" s="12">
        <f t="shared" si="12"/>
        <v>0.13671793525123752</v>
      </c>
      <c r="G83" s="12">
        <f t="shared" si="13"/>
        <v>2.6047696253607408E-2</v>
      </c>
      <c r="H83" s="12">
        <f t="shared" si="14"/>
        <v>5.6244080161005294E-2</v>
      </c>
      <c r="I83" s="12">
        <f t="shared" si="15"/>
        <v>4.0212638593916952E-2</v>
      </c>
      <c r="J83" s="12">
        <f t="shared" si="16"/>
        <v>-4.6716632931449079E-2</v>
      </c>
      <c r="M83" s="123">
        <f>IF($Q$1,  C83, -0.2)</f>
        <v>-0.2</v>
      </c>
    </row>
    <row r="84" spans="2:13" x14ac:dyDescent="0.3">
      <c r="B84" s="12">
        <v>3.3938517742461038E-2</v>
      </c>
      <c r="C84" s="12">
        <f t="shared" si="9"/>
        <v>4.8748108513900282E-3</v>
      </c>
      <c r="D84" s="12">
        <f t="shared" si="10"/>
        <v>5.2527172971814542E-2</v>
      </c>
      <c r="E84" s="12">
        <f t="shared" si="11"/>
        <v>0.13727305584657709</v>
      </c>
      <c r="F84" s="12">
        <f t="shared" si="12"/>
        <v>0.13642042256753747</v>
      </c>
      <c r="G84" s="12">
        <f t="shared" si="13"/>
        <v>2.6794944429464743E-2</v>
      </c>
      <c r="H84" s="12">
        <f t="shared" si="14"/>
        <v>5.6913962081332002E-2</v>
      </c>
      <c r="I84" s="12">
        <f t="shared" si="15"/>
        <v>4.1082091055457334E-2</v>
      </c>
      <c r="J84" s="12">
        <f t="shared" si="16"/>
        <v>-4.7164340378551946E-2</v>
      </c>
      <c r="M84" s="123">
        <f>IF($Q$1,  C84, -0.2)</f>
        <v>-0.2</v>
      </c>
    </row>
    <row r="85" spans="2:13" x14ac:dyDescent="0.3">
      <c r="B85" s="12">
        <v>3.475644095121222E-2</v>
      </c>
      <c r="C85" s="12">
        <f t="shared" si="9"/>
        <v>4.98696423250775E-3</v>
      </c>
      <c r="D85" s="12">
        <f t="shared" si="10"/>
        <v>5.3086995503744391E-2</v>
      </c>
      <c r="E85" s="12">
        <f t="shared" si="11"/>
        <v>0.13696633464329538</v>
      </c>
      <c r="F85" s="12">
        <f t="shared" si="12"/>
        <v>0.1361193618530423</v>
      </c>
      <c r="G85" s="12">
        <f t="shared" si="13"/>
        <v>2.7552567322059553E-2</v>
      </c>
      <c r="H85" s="12">
        <f t="shared" si="14"/>
        <v>5.7582907957758812E-2</v>
      </c>
      <c r="I85" s="12">
        <f t="shared" si="15"/>
        <v>4.1960314580364887E-2</v>
      </c>
      <c r="J85" s="12">
        <f t="shared" si="16"/>
        <v>-4.7608979492743307E-2</v>
      </c>
      <c r="M85" s="123">
        <f>IF($Q$1,  C85, -0.2)</f>
        <v>-0.2</v>
      </c>
    </row>
    <row r="86" spans="2:13" x14ac:dyDescent="0.3">
      <c r="B86" s="12">
        <v>3.5583928945056353E-2</v>
      </c>
      <c r="C86" s="12">
        <f t="shared" si="9"/>
        <v>5.1001738419146729E-3</v>
      </c>
      <c r="D86" s="12">
        <f t="shared" si="10"/>
        <v>5.3644714678349095E-2</v>
      </c>
      <c r="E86" s="12">
        <f t="shared" si="11"/>
        <v>0.13665602664560383</v>
      </c>
      <c r="F86" s="12">
        <f t="shared" si="12"/>
        <v>0.13581475527015019</v>
      </c>
      <c r="G86" s="12">
        <f t="shared" si="13"/>
        <v>2.8320562878194497E-2</v>
      </c>
      <c r="H86" s="12">
        <f t="shared" si="14"/>
        <v>5.8250892805069274E-2</v>
      </c>
      <c r="I86" s="12">
        <f t="shared" si="15"/>
        <v>4.284729501191821E-2</v>
      </c>
      <c r="J86" s="12">
        <f t="shared" si="16"/>
        <v>-4.8050545121239935E-2</v>
      </c>
      <c r="M86" s="123">
        <f>IF($Q$1,  C86, -0.2)</f>
        <v>-0.2</v>
      </c>
    </row>
    <row r="87" spans="2:13" x14ac:dyDescent="0.3">
      <c r="B87" s="12">
        <v>3.6420973524254996E-2</v>
      </c>
      <c r="C87" s="12">
        <f t="shared" si="9"/>
        <v>5.2144296575530324E-3</v>
      </c>
      <c r="D87" s="12">
        <f t="shared" si="10"/>
        <v>5.4200314977966402E-2</v>
      </c>
      <c r="E87" s="12">
        <f t="shared" si="11"/>
        <v>0.13634213492840436</v>
      </c>
      <c r="F87" s="12">
        <f t="shared" si="12"/>
        <v>0.13550660501063991</v>
      </c>
      <c r="G87" s="12">
        <f t="shared" si="13"/>
        <v>2.9098928893420001E-2</v>
      </c>
      <c r="H87" s="12">
        <f t="shared" si="14"/>
        <v>5.8917891428046279E-2</v>
      </c>
      <c r="I87" s="12">
        <f t="shared" si="15"/>
        <v>4.3743018155089991E-2</v>
      </c>
      <c r="J87" s="12">
        <f t="shared" si="16"/>
        <v>-4.8489032112940214E-2</v>
      </c>
      <c r="M87" s="123">
        <f>IF($Q$1,  C87, -0.2)</f>
        <v>-0.2</v>
      </c>
    </row>
    <row r="88" spans="2:13" x14ac:dyDescent="0.3">
      <c r="B88" s="12">
        <v>3.7267566394371454E-2</v>
      </c>
      <c r="C88" s="12">
        <f t="shared" si="9"/>
        <v>5.3297215519759258E-3</v>
      </c>
      <c r="D88" s="12">
        <f t="shared" si="10"/>
        <v>5.4753780799788668E-2</v>
      </c>
      <c r="E88" s="12">
        <f t="shared" si="11"/>
        <v>0.13602466260211069</v>
      </c>
      <c r="F88" s="12">
        <f t="shared" si="12"/>
        <v>0.13519491329578934</v>
      </c>
      <c r="G88" s="12">
        <f t="shared" si="13"/>
        <v>2.9887663011054763E-2</v>
      </c>
      <c r="H88" s="12">
        <f t="shared" si="14"/>
        <v>5.9583878424276662E-2</v>
      </c>
      <c r="I88" s="12">
        <f t="shared" si="15"/>
        <v>4.4647469777688145E-2</v>
      </c>
      <c r="J88" s="12">
        <f t="shared" si="16"/>
        <v>-4.8924435320324811E-2</v>
      </c>
      <c r="M88" s="123">
        <f>IF($Q$1,  C88, -0.2)</f>
        <v>-0.2</v>
      </c>
    </row>
    <row r="89" spans="2:13" x14ac:dyDescent="0.3">
      <c r="B89" s="12">
        <v>3.8123699166353275E-2</v>
      </c>
      <c r="C89" s="12">
        <f t="shared" si="9"/>
        <v>5.4460392928042511E-3</v>
      </c>
      <c r="D89" s="12">
        <f t="shared" si="10"/>
        <v>5.5305096458361694E-2</v>
      </c>
      <c r="E89" s="12">
        <f t="shared" si="11"/>
        <v>0.1357036128126175</v>
      </c>
      <c r="F89" s="12">
        <f t="shared" si="12"/>
        <v>0.13487968237649473</v>
      </c>
      <c r="G89" s="12">
        <f t="shared" si="13"/>
        <v>3.0686762721206504E-2</v>
      </c>
      <c r="H89" s="12">
        <f t="shared" si="14"/>
        <v>6.0248828186979506E-2</v>
      </c>
      <c r="I89" s="12">
        <f t="shared" si="15"/>
        <v>4.5560635611500047E-2</v>
      </c>
      <c r="J89" s="12">
        <f t="shared" si="16"/>
        <v>-4.9356749601371E-2</v>
      </c>
      <c r="M89" s="123">
        <f>IF($Q$1,  C89, -0.2)</f>
        <v>-0.2</v>
      </c>
    </row>
    <row r="90" spans="2:13" x14ac:dyDescent="0.3">
      <c r="B90" s="12">
        <v>3.8989363356615403E-2</v>
      </c>
      <c r="C90" s="12">
        <f t="shared" si="9"/>
        <v>5.5633725431884001E-3</v>
      </c>
      <c r="D90" s="12">
        <f t="shared" si="10"/>
        <v>5.5854246188098006E-2</v>
      </c>
      <c r="E90" s="12">
        <f t="shared" si="11"/>
        <v>0.13537898874126919</v>
      </c>
      <c r="F90" s="12">
        <f t="shared" si="12"/>
        <v>0.13456091453339128</v>
      </c>
      <c r="G90" s="12">
        <f t="shared" si="13"/>
        <v>3.1496225359792365E-2</v>
      </c>
      <c r="H90" s="12">
        <f t="shared" si="14"/>
        <v>6.0912714907856366E-2</v>
      </c>
      <c r="I90" s="12">
        <f t="shared" si="15"/>
        <v>4.6482501353438441E-2</v>
      </c>
      <c r="J90" s="12">
        <f t="shared" si="16"/>
        <v>-4.9785969821479564E-2</v>
      </c>
      <c r="M90" s="123">
        <f>IF($Q$1,  C90, -0.2)</f>
        <v>-0.2</v>
      </c>
    </row>
    <row r="91" spans="2:13" x14ac:dyDescent="0.3">
      <c r="B91" s="12">
        <v>3.9864550387123776E-2</v>
      </c>
      <c r="C91" s="12">
        <f t="shared" si="9"/>
        <v>5.6817108622746531E-3</v>
      </c>
      <c r="D91" s="12">
        <f t="shared" si="10"/>
        <v>5.6401214145803943E-2</v>
      </c>
      <c r="E91" s="12">
        <f t="shared" si="11"/>
        <v>0.13505079360482855</v>
      </c>
      <c r="F91" s="12">
        <f t="shared" si="12"/>
        <v>0.13423861207697468</v>
      </c>
      <c r="G91" s="12">
        <f t="shared" si="13"/>
        <v>3.2316048107559059E-2</v>
      </c>
      <c r="H91" s="12">
        <f t="shared" si="14"/>
        <v>6.1575512579962827E-2</v>
      </c>
      <c r="I91" s="12">
        <f t="shared" si="15"/>
        <v>4.7413052666688493E-2</v>
      </c>
      <c r="J91" s="12">
        <f t="shared" si="16"/>
        <v>-5.0212090855413519E-2</v>
      </c>
      <c r="M91" s="123">
        <f>IF($Q$1,  C91, -0.2)</f>
        <v>-0.2</v>
      </c>
    </row>
    <row r="92" spans="2:13" x14ac:dyDescent="0.3">
      <c r="B92" s="12">
        <v>4.0749251585480817E-2</v>
      </c>
      <c r="C92" s="12">
        <f t="shared" si="9"/>
        <v>5.8010437056764692E-3</v>
      </c>
      <c r="D92" s="12">
        <f t="shared" si="10"/>
        <v>5.6945984413221254E-2</v>
      </c>
      <c r="E92" s="12">
        <f t="shared" si="11"/>
        <v>0.13471903065544466</v>
      </c>
      <c r="F92" s="12">
        <f t="shared" si="12"/>
        <v>0.13391277734772344</v>
      </c>
      <c r="G92" s="12">
        <f t="shared" si="13"/>
        <v>3.3146227989104368E-2</v>
      </c>
      <c r="H92" s="12">
        <f t="shared" si="14"/>
        <v>6.2237195000602499E-2</v>
      </c>
      <c r="I92" s="12">
        <f t="shared" si="15"/>
        <v>4.8352275181857265E-2</v>
      </c>
      <c r="J92" s="12">
        <f t="shared" si="16"/>
        <v>-5.0635107589249564E-2</v>
      </c>
      <c r="M92" s="123">
        <f>IF($Q$1,  C92, -0.2)</f>
        <v>-0.2</v>
      </c>
    </row>
    <row r="93" spans="2:13" x14ac:dyDescent="0.3">
      <c r="B93" s="12">
        <v>4.1643458185011473E-2</v>
      </c>
      <c r="C93" s="12">
        <f t="shared" si="9"/>
        <v>5.9213604259504447E-3</v>
      </c>
      <c r="D93" s="12">
        <f t="shared" si="10"/>
        <v>5.7488540999581728E-2</v>
      </c>
      <c r="E93" s="12">
        <f t="shared" si="11"/>
        <v>0.13438370318062068</v>
      </c>
      <c r="F93" s="12">
        <f t="shared" si="12"/>
        <v>0.13358341271622226</v>
      </c>
      <c r="G93" s="12">
        <f t="shared" si="13"/>
        <v>3.3986761871899078E-2</v>
      </c>
      <c r="H93" s="12">
        <f t="shared" si="14"/>
        <v>6.2897735774241598E-2</v>
      </c>
      <c r="I93" s="12">
        <f t="shared" si="15"/>
        <v>4.9300154498123867E-2</v>
      </c>
      <c r="J93" s="12">
        <f t="shared" si="16"/>
        <v>-5.1055014922340713E-2</v>
      </c>
      <c r="M93" s="123">
        <f>IF($Q$1,  C93, -0.2)</f>
        <v>-0.2</v>
      </c>
    </row>
    <row r="94" spans="2:13" x14ac:dyDescent="0.3">
      <c r="B94" s="12">
        <v>4.2547161324849481E-2</v>
      </c>
      <c r="C94" s="12">
        <f t="shared" si="9"/>
        <v>6.0426502730769006E-3</v>
      </c>
      <c r="D94" s="12">
        <f t="shared" si="10"/>
        <v>5.8028867844174228E-2</v>
      </c>
      <c r="E94" s="12">
        <f t="shared" si="11"/>
        <v>0.13404481450318143</v>
      </c>
      <c r="F94" s="12">
        <f t="shared" si="12"/>
        <v>0.13325052058328668</v>
      </c>
      <c r="G94" s="12">
        <f t="shared" si="13"/>
        <v>3.4837646465309416E-2</v>
      </c>
      <c r="H94" s="12">
        <f t="shared" si="14"/>
        <v>6.3557108315443672E-2</v>
      </c>
      <c r="I94" s="12">
        <f t="shared" si="15"/>
        <v>5.0256676184389545E-2</v>
      </c>
      <c r="J94" s="12">
        <f t="shared" si="16"/>
        <v>-5.1471807769289876E-2</v>
      </c>
      <c r="M94" s="123">
        <f>IF($Q$1,  C94, -0.2)</f>
        <v>-0.2</v>
      </c>
    </row>
    <row r="95" spans="2:13" x14ac:dyDescent="0.3">
      <c r="B95" s="12">
        <v>4.346035205002563E-2</v>
      </c>
      <c r="C95" s="12">
        <f t="shared" si="9"/>
        <v>6.1649023949453124E-3</v>
      </c>
      <c r="D95" s="12">
        <f t="shared" si="10"/>
        <v>5.8566948818924755E-2</v>
      </c>
      <c r="E95" s="12">
        <f t="shared" si="11"/>
        <v>0.13370236798124036</v>
      </c>
      <c r="F95" s="12">
        <f t="shared" si="12"/>
        <v>0.13291410338008836</v>
      </c>
      <c r="G95" s="12">
        <f t="shared" si="13"/>
        <v>3.5698878319621756E-2</v>
      </c>
      <c r="H95" s="12">
        <f t="shared" si="14"/>
        <v>6.4215285851825274E-2</v>
      </c>
      <c r="I95" s="12">
        <f t="shared" si="15"/>
        <v>5.1221825780429504E-2</v>
      </c>
      <c r="J95" s="12">
        <f t="shared" si="16"/>
        <v>-5.1885481061934649E-2</v>
      </c>
      <c r="M95" s="123">
        <f>IF($Q$1,  C95, -0.2)</f>
        <v>-0.2</v>
      </c>
    </row>
    <row r="96" spans="2:13" x14ac:dyDescent="0.3">
      <c r="B96" s="12">
        <v>4.4383021311556581E-2</v>
      </c>
      <c r="C96" s="12">
        <f t="shared" si="9"/>
        <v>6.2881058378443438E-3</v>
      </c>
      <c r="D96" s="12">
        <f t="shared" si="10"/>
        <v>5.9102767730988097E-2</v>
      </c>
      <c r="E96" s="12">
        <f t="shared" si="11"/>
        <v>0.13335636700816625</v>
      </c>
      <c r="F96" s="12">
        <f t="shared" si="12"/>
        <v>0.13257416356828136</v>
      </c>
      <c r="G96" s="12">
        <f t="shared" si="13"/>
        <v>3.6570453825068835E-2</v>
      </c>
      <c r="H96" s="12">
        <f t="shared" si="14"/>
        <v>6.4872241427030963E-2</v>
      </c>
      <c r="I96" s="12">
        <f t="shared" si="15"/>
        <v>5.2195588798044326E-2</v>
      </c>
      <c r="J96" s="12">
        <f t="shared" si="16"/>
        <v>-5.2296029751342281E-2</v>
      </c>
      <c r="M96" s="123">
        <f>IF($Q$1,  C96, -0.2)</f>
        <v>-0.2</v>
      </c>
    </row>
    <row r="97" spans="2:13" x14ac:dyDescent="0.3">
      <c r="B97" s="12">
        <v>4.5315159966534124E-2</v>
      </c>
      <c r="C97" s="12">
        <f t="shared" si="9"/>
        <v>6.4122495469565088E-3</v>
      </c>
      <c r="D97" s="12">
        <f t="shared" si="10"/>
        <v>5.9636308325350884E-2</v>
      </c>
      <c r="E97" s="12">
        <f t="shared" si="11"/>
        <v>0.13300681501254968</v>
      </c>
      <c r="F97" s="12">
        <f t="shared" si="12"/>
        <v>0.13223070364012957</v>
      </c>
      <c r="G97" s="12">
        <f t="shared" si="13"/>
        <v>3.7452369210857372E-2</v>
      </c>
      <c r="H97" s="12">
        <f t="shared" si="14"/>
        <v>6.5527947903727693E-2</v>
      </c>
      <c r="I97" s="12">
        <f t="shared" si="15"/>
        <v>5.3177950722210876E-2</v>
      </c>
      <c r="J97" s="12">
        <f t="shared" si="16"/>
        <v>-5.2703448809814674E-2</v>
      </c>
      <c r="M97" s="123">
        <f>IF($Q$1,  C97, -0.2)</f>
        <v>-0.2</v>
      </c>
    </row>
    <row r="98" spans="2:13" x14ac:dyDescent="0.3">
      <c r="B98" s="12">
        <v>4.625675877821589E-2</v>
      </c>
      <c r="C98" s="12">
        <f t="shared" si="9"/>
        <v>6.5373223668574966E-3</v>
      </c>
      <c r="D98" s="12">
        <f t="shared" si="10"/>
        <v>6.0167554287445531E-2</v>
      </c>
      <c r="E98" s="12">
        <f t="shared" si="11"/>
        <v>0.13265371545816901</v>
      </c>
      <c r="F98" s="12">
        <f t="shared" si="12"/>
        <v>0.13188372611863469</v>
      </c>
      <c r="G98" s="12">
        <f t="shared" si="13"/>
        <v>3.8344620544198606E-2</v>
      </c>
      <c r="H98" s="12">
        <f t="shared" si="14"/>
        <v>6.618237796661787E-2</v>
      </c>
      <c r="I98" s="12">
        <f t="shared" si="15"/>
        <v>5.4168897012233173E-2</v>
      </c>
      <c r="J98" s="12">
        <f t="shared" si="16"/>
        <v>-5.3107733232902882E-2</v>
      </c>
      <c r="M98" s="123">
        <f>IF($Q$1,  C98, -0.2)</f>
        <v>-0.2</v>
      </c>
    </row>
    <row r="99" spans="2:13" x14ac:dyDescent="0.3">
      <c r="B99" s="12">
        <v>4.7207808416117381E-2</v>
      </c>
      <c r="C99" s="12">
        <f t="shared" si="9"/>
        <v>6.6633130420201978E-3</v>
      </c>
      <c r="D99" s="12">
        <f t="shared" si="10"/>
        <v>6.0696489245775198E-2</v>
      </c>
      <c r="E99" s="12">
        <f t="shared" si="11"/>
        <v>0.13229707184395595</v>
      </c>
      <c r="F99" s="12">
        <f t="shared" si="12"/>
        <v>0.13153323355766544</v>
      </c>
      <c r="G99" s="12">
        <f t="shared" si="13"/>
        <v>3.9247203729341762E-2</v>
      </c>
      <c r="H99" s="12">
        <f t="shared" si="14"/>
        <v>6.6835504125471623E-2</v>
      </c>
      <c r="I99" s="12">
        <f t="shared" si="15"/>
        <v>5.5168413102892999E-2</v>
      </c>
      <c r="J99" s="12">
        <f t="shared" si="16"/>
        <v>-5.3508878041431222E-2</v>
      </c>
      <c r="M99" s="123">
        <f>IF($Q$1,  C99, -0.2)</f>
        <v>-0.2</v>
      </c>
    </row>
    <row r="100" spans="2:13" x14ac:dyDescent="0.3">
      <c r="B100" s="12">
        <v>4.8168299456103791E-2</v>
      </c>
      <c r="C100" s="12">
        <f t="shared" si="9"/>
        <v>6.7902102173231513E-3</v>
      </c>
      <c r="D100" s="12">
        <f t="shared" si="10"/>
        <v>6.1223096774547972E-2</v>
      </c>
      <c r="E100" s="12">
        <f t="shared" si="11"/>
        <v>0.13193688770396106</v>
      </c>
      <c r="F100" s="12">
        <f t="shared" si="12"/>
        <v>0.13117922854208747</v>
      </c>
      <c r="G100" s="12">
        <f t="shared" si="13"/>
        <v>4.016011450660939E-2</v>
      </c>
      <c r="H100" s="12">
        <f t="shared" si="14"/>
        <v>6.748729871817595E-2</v>
      </c>
      <c r="I100" s="12">
        <f t="shared" si="15"/>
        <v>5.6176484405598193E-2</v>
      </c>
      <c r="J100" s="12">
        <f t="shared" si="16"/>
        <v>-5.3906878283529649E-2</v>
      </c>
      <c r="M100" s="123">
        <f>IF($Q$1,  C100, -0.2)</f>
        <v>-0.2</v>
      </c>
    </row>
    <row r="101" spans="2:13" x14ac:dyDescent="0.3">
      <c r="B101" s="12">
        <v>4.9138222380483598E-2</v>
      </c>
      <c r="C101" s="12">
        <f t="shared" si="9"/>
        <v>6.9180024385636901E-3</v>
      </c>
      <c r="D101" s="12">
        <f t="shared" si="10"/>
        <v>6.1747360396320984E-2</v>
      </c>
      <c r="E101" s="12">
        <f t="shared" si="11"/>
        <v>0.13157316660731863</v>
      </c>
      <c r="F101" s="12">
        <f t="shared" si="12"/>
        <v>0.13082171368789425</v>
      </c>
      <c r="G101" s="12">
        <f t="shared" si="13"/>
        <v>4.1083348451436734E-2</v>
      </c>
      <c r="H101" s="12">
        <f t="shared" si="14"/>
        <v>6.8137733913802206E-2</v>
      </c>
      <c r="I101" s="12">
        <f t="shared" si="15"/>
        <v>5.7193096309530463E-2</v>
      </c>
      <c r="J101" s="12">
        <f t="shared" si="16"/>
        <v>-5.430172903667483E-2</v>
      </c>
      <c r="M101" s="123">
        <f>IF($Q$1,  C101, -0.2)</f>
        <v>-0.2</v>
      </c>
    </row>
    <row r="102" spans="2:13" x14ac:dyDescent="0.3">
      <c r="B102" s="12">
        <v>5.0117567578102928E-2</v>
      </c>
      <c r="C102" s="12">
        <f t="shared" si="9"/>
        <v>7.0466781529756163E-3</v>
      </c>
      <c r="D102" s="12">
        <f t="shared" si="10"/>
        <v>6.2269263584653629E-2</v>
      </c>
      <c r="E102" s="12">
        <f t="shared" si="11"/>
        <v>0.13120591215821137</v>
      </c>
      <c r="F102" s="12">
        <f t="shared" si="12"/>
        <v>0.13046069164233876</v>
      </c>
      <c r="G102" s="12">
        <f t="shared" si="13"/>
        <v>4.2016900973414491E-2</v>
      </c>
      <c r="H102" s="12">
        <f t="shared" si="14"/>
        <v>6.878678171569047E-2</v>
      </c>
      <c r="I102" s="12">
        <f t="shared" si="15"/>
        <v>5.8218234182791366E-2</v>
      </c>
      <c r="J102" s="12">
        <f t="shared" si="16"/>
        <v>-5.4693425409739239E-2</v>
      </c>
      <c r="M102" s="123">
        <f>IF($Q$1,  C102, -0.2)</f>
        <v>-0.2</v>
      </c>
    </row>
    <row r="103" spans="2:13" x14ac:dyDescent="0.3">
      <c r="B103" s="12">
        <v>5.1106325344440817E-2</v>
      </c>
      <c r="C103" s="12">
        <f t="shared" si="9"/>
        <v>7.1762257097514031E-3</v>
      </c>
      <c r="D103" s="12">
        <f t="shared" si="10"/>
        <v>6.2788789766769174E-2</v>
      </c>
      <c r="E103" s="12">
        <f t="shared" si="11"/>
        <v>0.13083512799583466</v>
      </c>
      <c r="F103" s="12">
        <f t="shared" si="12"/>
        <v>0.13009616508406602</v>
      </c>
      <c r="G103" s="12">
        <f t="shared" si="13"/>
        <v>4.2960767315335401E-2</v>
      </c>
      <c r="H103" s="12">
        <f t="shared" si="14"/>
        <v>6.9434413964550565E-2</v>
      </c>
      <c r="I103" s="12">
        <f t="shared" si="15"/>
        <v>5.9251883373546234E-2</v>
      </c>
      <c r="J103" s="12">
        <f t="shared" si="16"/>
        <v>-5.5081962545047762E-2</v>
      </c>
      <c r="M103" s="123">
        <f>IF($Q$1,  C103, -0.2)</f>
        <v>-0.2</v>
      </c>
    </row>
    <row r="104" spans="2:13" x14ac:dyDescent="0.3">
      <c r="B104" s="12">
        <v>5.2104485881705465E-2</v>
      </c>
      <c r="C104" s="12">
        <f t="shared" si="9"/>
        <v>7.3066333605689097E-3</v>
      </c>
      <c r="D104" s="12">
        <f t="shared" si="10"/>
        <v>6.3305922326224548E-2</v>
      </c>
      <c r="E104" s="12">
        <f t="shared" si="11"/>
        <v>0.13046081779436042</v>
      </c>
      <c r="F104" s="12">
        <f t="shared" si="12"/>
        <v>0.12972813672324646</v>
      </c>
      <c r="G104" s="12">
        <f t="shared" si="13"/>
        <v>4.3914942552245026E-2</v>
      </c>
      <c r="H104" s="12">
        <f t="shared" si="14"/>
        <v>7.0080602341579395E-2</v>
      </c>
      <c r="I104" s="12">
        <f t="shared" si="15"/>
        <v>6.0294029211165903E-2</v>
      </c>
      <c r="J104" s="12">
        <f t="shared" si="16"/>
        <v>-5.5467335620441573E-2</v>
      </c>
      <c r="M104" s="123">
        <f>IF($Q$1,  C104, -0.2)</f>
        <v>-0.2</v>
      </c>
    </row>
    <row r="105" spans="2:13" x14ac:dyDescent="0.3">
      <c r="B105" s="12">
        <v>5.3112039298931046E-2</v>
      </c>
      <c r="C105" s="12">
        <f t="shared" si="9"/>
        <v>7.4378892601225551E-3</v>
      </c>
      <c r="D105" s="12">
        <f t="shared" si="10"/>
        <v>6.3820644605587423E-2</v>
      </c>
      <c r="E105" s="12">
        <f t="shared" si="11"/>
        <v>0.13008298526290082</v>
      </c>
      <c r="F105" s="12">
        <f t="shared" si="12"/>
        <v>0.12935660930171003</v>
      </c>
      <c r="G105" s="12">
        <f t="shared" si="13"/>
        <v>4.4879421590496682E-2</v>
      </c>
      <c r="H105" s="12">
        <f t="shared" si="14"/>
        <v>7.0725318371593557E-2</v>
      </c>
      <c r="I105" s="12">
        <f t="shared" si="15"/>
        <v>6.1344657007365411E-2</v>
      </c>
      <c r="J105" s="12">
        <f t="shared" si="16"/>
        <v>-5.5849539851348454E-2</v>
      </c>
      <c r="M105" s="123">
        <f>IF($Q$1,  C105, -0.2)</f>
        <v>-0.2</v>
      </c>
    </row>
    <row r="106" spans="2:13" x14ac:dyDescent="0.3">
      <c r="B106" s="12">
        <v>5.4128975612075858E-2</v>
      </c>
      <c r="C106" s="12">
        <f t="shared" si="9"/>
        <v>7.5699814666589961E-3</v>
      </c>
      <c r="D106" s="12">
        <f t="shared" si="10"/>
        <v>6.4332939909120729E-2</v>
      </c>
      <c r="E106" s="12">
        <f t="shared" si="11"/>
        <v>0.12970163414547153</v>
      </c>
      <c r="F106" s="12">
        <f t="shared" si="12"/>
        <v>0.12898158559308143</v>
      </c>
      <c r="G106" s="12">
        <f t="shared" si="13"/>
        <v>4.585419916681148E-2</v>
      </c>
      <c r="H106" s="12">
        <f t="shared" si="14"/>
        <v>7.1368533426177924E-2</v>
      </c>
      <c r="I106" s="12">
        <f t="shared" si="15"/>
        <v>6.2403752057340237E-2</v>
      </c>
      <c r="J106" s="12">
        <f t="shared" si="16"/>
        <v>-5.6228570492859939E-2</v>
      </c>
      <c r="M106" s="123">
        <f>IF($Q$1,  C106, -0.2)</f>
        <v>-0.2</v>
      </c>
    </row>
    <row r="107" spans="2:13" x14ac:dyDescent="0.3">
      <c r="B107" s="12">
        <v>5.5155284744121347E-2</v>
      </c>
      <c r="C107" s="12">
        <f t="shared" si="9"/>
        <v>7.7028979425172433E-3</v>
      </c>
      <c r="D107" s="12">
        <f t="shared" si="10"/>
        <v>6.4842791505473646E-2</v>
      </c>
      <c r="E107" s="12">
        <f t="shared" si="11"/>
        <v>0.12931676822095448</v>
      </c>
      <c r="F107" s="12">
        <f t="shared" si="12"/>
        <v>0.12860306840291547</v>
      </c>
      <c r="G107" s="12">
        <f t="shared" si="13"/>
        <v>4.6839269847343407E-2</v>
      </c>
      <c r="H107" s="12">
        <f t="shared" si="14"/>
        <v>7.2010218726848582E-2</v>
      </c>
      <c r="I107" s="12">
        <f t="shared" si="15"/>
        <v>6.3471299640899287E-2</v>
      </c>
      <c r="J107" s="12">
        <f t="shared" si="16"/>
        <v>-5.6604422841814092E-2</v>
      </c>
      <c r="M107" s="123">
        <f>IF($Q$1,  C107, -0.2)</f>
        <v>-0.2</v>
      </c>
    </row>
    <row r="108" spans="2:13" x14ac:dyDescent="0.3">
      <c r="B108" s="12">
        <v>5.6190956525171698E-2</v>
      </c>
      <c r="C108" s="12">
        <f t="shared" si="9"/>
        <v>7.8366265546731765E-3</v>
      </c>
      <c r="D108" s="12">
        <f t="shared" si="10"/>
        <v>6.5350182630378464E-2</v>
      </c>
      <c r="E108" s="12">
        <f t="shared" si="11"/>
        <v>0.12892839130306058</v>
      </c>
      <c r="F108" s="12">
        <f t="shared" si="12"/>
        <v>0.12822106056883403</v>
      </c>
      <c r="G108" s="12">
        <f t="shared" si="13"/>
        <v>4.7834628026749454E-2</v>
      </c>
      <c r="H108" s="12">
        <f t="shared" si="14"/>
        <v>7.2650345348230116E-2</v>
      </c>
      <c r="I108" s="12">
        <f t="shared" si="15"/>
        <v>6.4547285023593942E-2</v>
      </c>
      <c r="J108" s="12">
        <f t="shared" si="16"/>
        <v>-5.697709223888376E-2</v>
      </c>
      <c r="M108" s="123">
        <f>IF($Q$1,  C108, -0.2)</f>
        <v>-0.2</v>
      </c>
    </row>
    <row r="109" spans="2:13" x14ac:dyDescent="0.3">
      <c r="B109" s="12">
        <v>5.7235980692555199E-2</v>
      </c>
      <c r="C109" s="12">
        <f t="shared" si="9"/>
        <v>7.9711550752885503E-3</v>
      </c>
      <c r="D109" s="12">
        <f t="shared" si="10"/>
        <v>6.5855096489353643E-2</v>
      </c>
      <c r="E109" s="12">
        <f t="shared" si="11"/>
        <v>0.12853650724029178</v>
      </c>
      <c r="F109" s="12">
        <f t="shared" si="12"/>
        <v>0.12783556496066295</v>
      </c>
      <c r="G109" s="12">
        <f t="shared" si="13"/>
        <v>4.8840267927266243E-2</v>
      </c>
      <c r="H109" s="12">
        <f t="shared" si="14"/>
        <v>7.3288884221247394E-2</v>
      </c>
      <c r="I109" s="12">
        <f t="shared" si="15"/>
        <v>6.5631693457844156E-2</v>
      </c>
      <c r="J109" s="12">
        <f t="shared" si="16"/>
        <v>-5.73465740706703E-2</v>
      </c>
      <c r="M109" s="123">
        <f>IF($Q$1,  C109, -0.2)</f>
        <v>-0.2</v>
      </c>
    </row>
    <row r="110" spans="2:13" x14ac:dyDescent="0.3">
      <c r="B110" s="12">
        <v>5.8290346890925049E-2</v>
      </c>
      <c r="C110" s="12">
        <f t="shared" si="9"/>
        <v>8.1064711822641869E-3</v>
      </c>
      <c r="D110" s="12">
        <f t="shared" si="10"/>
        <v>6.6357516260411045E-2</v>
      </c>
      <c r="E110" s="12">
        <f t="shared" si="11"/>
        <v>0.12814111991590307</v>
      </c>
      <c r="F110" s="12">
        <f t="shared" si="12"/>
        <v>0.12744658448057025</v>
      </c>
      <c r="G110" s="12">
        <f t="shared" si="13"/>
        <v>4.9856183597791148E-2</v>
      </c>
      <c r="H110" s="12">
        <f t="shared" si="14"/>
        <v>7.392580613632968E-2</v>
      </c>
      <c r="I110" s="12">
        <f t="shared" si="15"/>
        <v>6.6724510184058949E-2</v>
      </c>
      <c r="J110" s="12">
        <f t="shared" si="16"/>
        <v>-5.7712863771801313E-2</v>
      </c>
      <c r="M110" s="123">
        <f>IF($Q$1,  C110, -0.2)</f>
        <v>-0.2</v>
      </c>
    </row>
    <row r="111" spans="2:13" x14ac:dyDescent="0.3">
      <c r="B111" s="12">
        <v>5.9354044672362938E-2</v>
      </c>
      <c r="C111" s="12">
        <f t="shared" si="9"/>
        <v>8.2425624597977781E-3</v>
      </c>
      <c r="D111" s="12">
        <f t="shared" si="10"/>
        <v>6.6857425096768855E-2</v>
      </c>
      <c r="E111" s="12">
        <f t="shared" si="11"/>
        <v>0.12774223324786388</v>
      </c>
      <c r="F111" s="12">
        <f t="shared" si="12"/>
        <v>0.12705412206320479</v>
      </c>
      <c r="G111" s="12">
        <f t="shared" si="13"/>
        <v>5.0882368912971584E-2</v>
      </c>
      <c r="H111" s="12">
        <f t="shared" si="14"/>
        <v>7.4561081746628954E-2</v>
      </c>
      <c r="I111" s="12">
        <f t="shared" si="15"/>
        <v>6.7825720431754291E-2</v>
      </c>
      <c r="J111" s="12">
        <f t="shared" si="16"/>
        <v>-5.8075956827033398E-2</v>
      </c>
      <c r="M111" s="123">
        <f>IF($Q$1,  C111, -0.2)</f>
        <v>-0.2</v>
      </c>
    </row>
    <row r="112" spans="2:13" x14ac:dyDescent="0.3">
      <c r="B112" s="12">
        <v>6.0427063496481526E-2</v>
      </c>
      <c r="C112" s="12">
        <f t="shared" si="9"/>
        <v>8.3794163989457625E-3</v>
      </c>
      <c r="D112" s="12">
        <f t="shared" si="10"/>
        <v>6.735480612956754E-2</v>
      </c>
      <c r="E112" s="12">
        <f t="shared" si="11"/>
        <v>0.12733985118881941</v>
      </c>
      <c r="F112" s="12">
        <f t="shared" si="12"/>
        <v>0.1266581806758357</v>
      </c>
      <c r="G112" s="12">
        <f t="shared" si="13"/>
        <v>5.1918817572298867E-2</v>
      </c>
      <c r="H112" s="12">
        <f t="shared" si="14"/>
        <v>7.519468157124945E-2</v>
      </c>
      <c r="I112" s="12">
        <f t="shared" si="15"/>
        <v>6.8935309420664184E-2</v>
      </c>
      <c r="J112" s="12">
        <f t="shared" si="16"/>
        <v>-5.8435848773357918E-2</v>
      </c>
      <c r="M112" s="123">
        <f>IF($Q$1,  C112, -0.2)</f>
        <v>-0.2</v>
      </c>
    </row>
    <row r="113" spans="2:13" x14ac:dyDescent="0.3">
      <c r="B113" s="12">
        <v>6.1509392730530021E-2</v>
      </c>
      <c r="C113" s="12">
        <f t="shared" si="9"/>
        <v>8.5170203981897678E-3</v>
      </c>
      <c r="D113" s="12">
        <f t="shared" si="10"/>
        <v>6.784964247059054E-2</v>
      </c>
      <c r="E113" s="12">
        <f t="shared" si="11"/>
        <v>0.12693397772605122</v>
      </c>
      <c r="F113" s="12">
        <f t="shared" si="12"/>
        <v>0.1262587633184924</v>
      </c>
      <c r="G113" s="12">
        <f t="shared" si="13"/>
        <v>5.2965523099211029E-2</v>
      </c>
      <c r="H113" s="12">
        <f t="shared" si="14"/>
        <v>7.5826575998490603E-2</v>
      </c>
      <c r="I113" s="12">
        <f t="shared" si="15"/>
        <v>7.0053262361849014E-2</v>
      </c>
      <c r="J113" s="12">
        <f t="shared" si="16"/>
        <v>-5.8792535202111064E-2</v>
      </c>
      <c r="M113" s="123">
        <f>IF($Q$1,  C113, -0.2)</f>
        <v>-0.2</v>
      </c>
    </row>
    <row r="114" spans="2:13" x14ac:dyDescent="0.3">
      <c r="B114" s="12">
        <v>6.2601021649498656E-2</v>
      </c>
      <c r="C114" s="12">
        <f t="shared" si="9"/>
        <v>8.6553617640071096E-3</v>
      </c>
      <c r="D114" s="12">
        <f t="shared" si="10"/>
        <v>6.8341917214987016E-2</v>
      </c>
      <c r="E114" s="12">
        <f t="shared" si="11"/>
        <v>0.12652461688143798</v>
      </c>
      <c r="F114" s="12">
        <f t="shared" si="12"/>
        <v>0.12585587302410542</v>
      </c>
      <c r="G114" s="12">
        <f t="shared" si="13"/>
        <v>5.4022478840200991E-2</v>
      </c>
      <c r="H114" s="12">
        <f t="shared" si="14"/>
        <v>7.6456735289100131E-2</v>
      </c>
      <c r="I114" s="12">
        <f t="shared" si="15"/>
        <v>7.1179564458796321E-2</v>
      </c>
      <c r="J114" s="12">
        <f t="shared" si="16"/>
        <v>-5.9146011761085915E-2</v>
      </c>
      <c r="M114" s="123">
        <f>IF($Q$1,  C114, -0.2)</f>
        <v>-0.2</v>
      </c>
    </row>
    <row r="115" spans="2:13" x14ac:dyDescent="0.3">
      <c r="B115" s="12">
        <v>6.3701939436225374E-2</v>
      </c>
      <c r="C115" s="12">
        <f t="shared" si="9"/>
        <v>8.7944277114457049E-3</v>
      </c>
      <c r="D115" s="12">
        <f t="shared" si="10"/>
        <v>6.8831613443997922E-2</v>
      </c>
      <c r="E115" s="12">
        <f t="shared" si="11"/>
        <v>0.12611177271141547</v>
      </c>
      <c r="F115" s="12">
        <f t="shared" si="12"/>
        <v>0.1254495128586478</v>
      </c>
      <c r="G115" s="12">
        <f t="shared" si="13"/>
        <v>5.5089677963933333E-2</v>
      </c>
      <c r="H115" s="12">
        <f t="shared" si="14"/>
        <v>7.7085129579539211E-2</v>
      </c>
      <c r="I115" s="12">
        <f t="shared" si="15"/>
        <v>7.2314200908517423E-2</v>
      </c>
      <c r="J115" s="12">
        <f t="shared" si="16"/>
        <v>-5.9496274156647808E-2</v>
      </c>
      <c r="M115" s="123">
        <f>IF($Q$1,  C115, -0.2)</f>
        <v>-0.2</v>
      </c>
    </row>
    <row r="116" spans="2:13" x14ac:dyDescent="0.3">
      <c r="B116" s="12">
        <v>6.4812135181502861E-2</v>
      </c>
      <c r="C116" s="12">
        <f t="shared" si="9"/>
        <v>8.9342053647031641E-3</v>
      </c>
      <c r="D116" s="12">
        <f t="shared" si="10"/>
        <v>6.9318714227683972E-2</v>
      </c>
      <c r="E116" s="12">
        <f t="shared" si="11"/>
        <v>0.12569544930693641</v>
      </c>
      <c r="F116" s="12">
        <f t="shared" si="12"/>
        <v>0.12503968592127723</v>
      </c>
      <c r="G116" s="12">
        <f t="shared" si="13"/>
        <v>5.6167113460368373E-2</v>
      </c>
      <c r="H116" s="12">
        <f t="shared" si="14"/>
        <v>7.771172888525768E-2</v>
      </c>
      <c r="I116" s="12">
        <f t="shared" si="15"/>
        <v>7.3457156902637349E-2</v>
      </c>
      <c r="J116" s="12">
        <f t="shared" si="16"/>
        <v>-5.9843318155851359E-2</v>
      </c>
      <c r="M116" s="123">
        <f>IF($Q$1,  C116, -0.2)</f>
        <v>-0.2</v>
      </c>
    </row>
    <row r="117" spans="2:13" x14ac:dyDescent="0.3">
      <c r="B117" s="12">
        <v>6.5931597884186899E-2</v>
      </c>
      <c r="C117" s="12">
        <f t="shared" si="9"/>
        <v>9.0746817577101353E-3</v>
      </c>
      <c r="D117" s="12">
        <f t="shared" si="10"/>
        <v>6.9803202627655173E-2</v>
      </c>
      <c r="E117" s="12">
        <f t="shared" si="11"/>
        <v>0.12527565079342989</v>
      </c>
      <c r="F117" s="12">
        <f t="shared" si="12"/>
        <v>0.12462639534447835</v>
      </c>
      <c r="G117" s="12">
        <f t="shared" si="13"/>
        <v>5.725477813989472E-2</v>
      </c>
      <c r="H117" s="12">
        <f t="shared" si="14"/>
        <v>7.8336503103979591E-2</v>
      </c>
      <c r="I117" s="12">
        <f t="shared" si="15"/>
        <v>7.4608417628479085E-2</v>
      </c>
      <c r="J117" s="12">
        <f t="shared" si="16"/>
        <v>-6.0187139588559327E-2</v>
      </c>
      <c r="M117" s="123">
        <f>IF($Q$1,  C117, -0.2)</f>
        <v>-0.2</v>
      </c>
    </row>
    <row r="118" spans="2:13" x14ac:dyDescent="0.3">
      <c r="B118" s="12">
        <v>6.7060316451305058E-2</v>
      </c>
      <c r="C118" s="12">
        <f t="shared" si="9"/>
        <v>9.2158438347177858E-3</v>
      </c>
      <c r="D118" s="12">
        <f t="shared" si="10"/>
        <v>7.0285061699801546E-2</v>
      </c>
      <c r="E118" s="12">
        <f t="shared" si="11"/>
        <v>0.12485238133076057</v>
      </c>
      <c r="F118" s="12">
        <f t="shared" si="12"/>
        <v>0.12420964429420639</v>
      </c>
      <c r="G118" s="12">
        <f t="shared" si="13"/>
        <v>5.8352664632469561E-2</v>
      </c>
      <c r="H118" s="12">
        <f t="shared" si="14"/>
        <v>7.8959422018998249E-2</v>
      </c>
      <c r="I118" s="12">
        <f t="shared" si="15"/>
        <v>7.5767968270140554E-2</v>
      </c>
      <c r="J118" s="12">
        <f t="shared" si="16"/>
        <v>-6.0527734349562684E-2</v>
      </c>
      <c r="M118" s="123">
        <f>IF($Q$1,  C118, -0.2)</f>
        <v>-0.2</v>
      </c>
    </row>
    <row r="119" spans="2:13" x14ac:dyDescent="0.3">
      <c r="B119" s="12">
        <v>6.8198279698166608E-2</v>
      </c>
      <c r="C119" s="12">
        <f t="shared" si="9"/>
        <v>9.3576784508894832E-3</v>
      </c>
      <c r="D119" s="12">
        <f t="shared" si="10"/>
        <v>7.0764274497024299E-2</v>
      </c>
      <c r="E119" s="12">
        <f t="shared" si="11"/>
        <v>0.12442564511318749</v>
      </c>
      <c r="F119" s="12">
        <f t="shared" si="12"/>
        <v>0.12378943597003085</v>
      </c>
      <c r="G119" s="12">
        <f t="shared" si="13"/>
        <v>5.9460765386768019E-2</v>
      </c>
      <c r="H119" s="12">
        <f t="shared" si="14"/>
        <v>7.958045530248023E-2</v>
      </c>
      <c r="I119" s="12">
        <f t="shared" si="15"/>
        <v>7.6935794009565198E-2</v>
      </c>
      <c r="J119" s="12">
        <f t="shared" si="16"/>
        <v>-6.0865098400701256E-2</v>
      </c>
      <c r="M119" s="123">
        <f>IF($Q$1,  C119, -0.2)</f>
        <v>-0.2</v>
      </c>
    </row>
    <row r="120" spans="2:13" x14ac:dyDescent="0.3">
      <c r="B120" s="12">
        <v>6.9345476348473767E-2</v>
      </c>
      <c r="C120" s="12">
        <f t="shared" si="9"/>
        <v>9.5001723728966748E-3</v>
      </c>
      <c r="D120" s="12">
        <f t="shared" si="10"/>
        <v>7.1240824071967482E-2</v>
      </c>
      <c r="E120" s="12">
        <f t="shared" si="11"/>
        <v>0.1239954463693223</v>
      </c>
      <c r="F120" s="12">
        <f t="shared" si="12"/>
        <v>0.12336577360527973</v>
      </c>
      <c r="G120" s="12">
        <f t="shared" si="13"/>
        <v>6.0579072669341816E-2</v>
      </c>
      <c r="H120" s="12">
        <f t="shared" si="14"/>
        <v>8.0199572518778559E-2</v>
      </c>
      <c r="I120" s="12">
        <f t="shared" si="15"/>
        <v>7.8111880027605718E-2</v>
      </c>
      <c r="J120" s="12">
        <f t="shared" si="16"/>
        <v>-6.1199227772985212E-2</v>
      </c>
      <c r="M120" s="123">
        <f>IF($Q$1,  C120, -0.2)</f>
        <v>-0.2</v>
      </c>
    </row>
    <row r="121" spans="2:13" x14ac:dyDescent="0.3">
      <c r="B121" s="12">
        <v>7.050189503443316E-2</v>
      </c>
      <c r="C121" s="12">
        <f t="shared" si="9"/>
        <v>9.6433122795188033E-3</v>
      </c>
      <c r="D121" s="12">
        <f t="shared" si="10"/>
        <v>7.1714693479748945E-2</v>
      </c>
      <c r="E121" s="12">
        <f t="shared" si="11"/>
        <v>0.12356178936208753</v>
      </c>
      <c r="F121" s="12">
        <f t="shared" si="12"/>
        <v>0.12293866046718456</v>
      </c>
      <c r="G121" s="12">
        <f t="shared" si="13"/>
        <v>6.1707578563786468E-2</v>
      </c>
      <c r="H121" s="12">
        <f t="shared" si="14"/>
        <v>8.0816743127753582E-2</v>
      </c>
      <c r="I121" s="12">
        <f t="shared" si="15"/>
        <v>7.9296211505079844E-2</v>
      </c>
      <c r="J121" s="12">
        <f t="shared" si="16"/>
        <v>-6.1530118568715979E-2</v>
      </c>
      <c r="M121" s="123">
        <f>IF($Q$1,  C121, -0.2)</f>
        <v>-0.2</v>
      </c>
    </row>
    <row r="122" spans="2:13" x14ac:dyDescent="0.3">
      <c r="B122" s="12">
        <v>7.1667524296868401E-2</v>
      </c>
      <c r="C122" s="12">
        <f t="shared" si="9"/>
        <v>9.7870847622473396E-3</v>
      </c>
      <c r="D122" s="12">
        <f t="shared" si="10"/>
        <v>7.2185865780690237E-2</v>
      </c>
      <c r="E122" s="12">
        <f t="shared" si="11"/>
        <v>0.12312467838867432</v>
      </c>
      <c r="F122" s="12">
        <f t="shared" si="12"/>
        <v>0.12250809985702583</v>
      </c>
      <c r="G122" s="12">
        <f t="shared" si="13"/>
        <v>6.2846274969918361E-2</v>
      </c>
      <c r="H122" s="12">
        <f t="shared" si="14"/>
        <v>8.1431936488101361E-2</v>
      </c>
      <c r="I122" s="12">
        <f t="shared" si="15"/>
        <v>8.0488773623818441E-2</v>
      </c>
      <c r="J122" s="12">
        <f t="shared" si="16"/>
        <v>-6.1857766963606689E-2</v>
      </c>
      <c r="M122" s="123">
        <f>IF($Q$1,  C122, -0.2)</f>
        <v>-0.2</v>
      </c>
    </row>
    <row r="123" spans="2:13" x14ac:dyDescent="0.3">
      <c r="B123" s="12">
        <v>7.2842352585333559E-2</v>
      </c>
      <c r="C123" s="12">
        <f t="shared" si="9"/>
        <v>9.9314763258938968E-3</v>
      </c>
      <c r="D123" s="12">
        <f t="shared" si="10"/>
        <v>7.2654324043045601E-2</v>
      </c>
      <c r="E123" s="12">
        <f t="shared" si="11"/>
        <v>0.12268411778049988</v>
      </c>
      <c r="F123" s="12">
        <f t="shared" si="12"/>
        <v>0.12207409511027904</v>
      </c>
      <c r="G123" s="12">
        <f t="shared" si="13"/>
        <v>6.3995153602961444E-2</v>
      </c>
      <c r="H123" s="12">
        <f t="shared" si="14"/>
        <v>8.2045121860689796E-2</v>
      </c>
      <c r="I123" s="12">
        <f t="shared" si="15"/>
        <v>8.1689551567705673E-2</v>
      </c>
      <c r="J123" s="12">
        <f t="shared" si="16"/>
        <v>-6.2182169208901995E-2</v>
      </c>
      <c r="M123" s="123">
        <f>IF($Q$1,  C123, -0.2)</f>
        <v>-0.2</v>
      </c>
    </row>
    <row r="124" spans="2:13" x14ac:dyDescent="0.3">
      <c r="B124" s="12">
        <v>7.4026368258227948E-2</v>
      </c>
      <c r="C124" s="12">
        <f t="shared" si="9"/>
        <v>1.0076473389202419E-2</v>
      </c>
      <c r="D124" s="12">
        <f t="shared" si="10"/>
        <v>7.3120051345728673E-2</v>
      </c>
      <c r="E124" s="12">
        <f t="shared" si="11"/>
        <v>0.12224011190316449</v>
      </c>
      <c r="F124" s="12">
        <f t="shared" si="12"/>
        <v>0.12163664959676089</v>
      </c>
      <c r="G124" s="12">
        <f t="shared" si="13"/>
        <v>6.5154205992744546E-2</v>
      </c>
      <c r="H124" s="12">
        <f t="shared" si="14"/>
        <v>8.2656268411900921E-2</v>
      </c>
      <c r="I124" s="12">
        <f t="shared" si="15"/>
        <v>8.289853052371135E-2</v>
      </c>
      <c r="J124" s="12">
        <f t="shared" si="16"/>
        <v>-6.2503321633496076E-2</v>
      </c>
      <c r="M124" s="123">
        <f>IF($Q$1,  C124, -0.2)</f>
        <v>-0.2</v>
      </c>
    </row>
    <row r="125" spans="2:13" x14ac:dyDescent="0.3">
      <c r="B125" s="12">
        <v>7.5219559582911377E-2</v>
      </c>
      <c r="C125" s="12">
        <f t="shared" si="9"/>
        <v>1.0222062285465362E-2</v>
      </c>
      <c r="D125" s="12">
        <f t="shared" si="10"/>
        <v>7.3583030781037034E-2</v>
      </c>
      <c r="E125" s="12">
        <f t="shared" si="11"/>
        <v>0.1217926651564082</v>
      </c>
      <c r="F125" s="12">
        <f t="shared" si="12"/>
        <v>0.12119576672077627</v>
      </c>
      <c r="G125" s="12">
        <f t="shared" si="13"/>
        <v>6.632342348290865E-2</v>
      </c>
      <c r="H125" s="12">
        <f t="shared" si="14"/>
        <v>8.3265345216979827E-2</v>
      </c>
      <c r="I125" s="12">
        <f t="shared" si="15"/>
        <v>8.4115695682914104E-2</v>
      </c>
      <c r="J125" s="12">
        <f t="shared" si="16"/>
        <v>-6.28212206460491E-2</v>
      </c>
      <c r="M125" s="123">
        <f>IF($Q$1,  C125, -0.2)</f>
        <v>-0.2</v>
      </c>
    </row>
    <row r="126" spans="2:13" x14ac:dyDescent="0.3">
      <c r="B126" s="12">
        <v>7.6421914735820273E-2</v>
      </c>
      <c r="C126" s="12">
        <f t="shared" si="9"/>
        <v>1.0368229263143854E-2</v>
      </c>
      <c r="D126" s="12">
        <f t="shared" si="10"/>
        <v>7.4043245457373549E-2</v>
      </c>
      <c r="E126" s="12">
        <f t="shared" si="11"/>
        <v>0.12134178197406736</v>
      </c>
      <c r="F126" s="12">
        <f t="shared" si="12"/>
        <v>0.12075144992126563</v>
      </c>
      <c r="G126" s="12">
        <f t="shared" si="13"/>
        <v>6.750279723012477E-2</v>
      </c>
      <c r="H126" s="12">
        <f t="shared" si="14"/>
        <v>8.3872321263388755E-2</v>
      </c>
      <c r="I126" s="12">
        <f t="shared" si="15"/>
        <v>8.5341032241515777E-2</v>
      </c>
      <c r="J126" s="12">
        <f t="shared" si="16"/>
        <v>-6.3135862737101034E-2</v>
      </c>
      <c r="M126" s="123">
        <f>IF($Q$1,  C126, -0.2)</f>
        <v>-0.2</v>
      </c>
    </row>
    <row r="127" spans="2:13" x14ac:dyDescent="0.3">
      <c r="B127" s="12">
        <v>7.7633421802584812E-2</v>
      </c>
      <c r="C127" s="12">
        <f t="shared" si="9"/>
        <v>1.0514960486491835E-2</v>
      </c>
      <c r="D127" s="12">
        <f t="shared" si="10"/>
        <v>7.4500678501964623E-2</v>
      </c>
      <c r="E127" s="12">
        <f t="shared" si="11"/>
        <v>0.12088746682403066</v>
      </c>
      <c r="F127" s="12">
        <f t="shared" si="12"/>
        <v>0.12030370267195271</v>
      </c>
      <c r="G127" s="12">
        <f t="shared" si="13"/>
        <v>6.8692318203322847E-2</v>
      </c>
      <c r="H127" s="12">
        <f t="shared" si="14"/>
        <v>8.4477165454166767E-2</v>
      </c>
      <c r="I127" s="12">
        <f t="shared" si="15"/>
        <v>8.6574525401846777E-2</v>
      </c>
      <c r="J127" s="12">
        <f t="shared" si="16"/>
        <v>-6.3447244481183093E-2</v>
      </c>
      <c r="M127" s="123">
        <f>IF($Q$1,  C127, -0.2)</f>
        <v>-0.2</v>
      </c>
    </row>
    <row r="128" spans="2:13" x14ac:dyDescent="0.3">
      <c r="B128" s="12">
        <v>7.8854068778147268E-2</v>
      </c>
      <c r="C128" s="12">
        <f t="shared" si="9"/>
        <v>1.066224203618419E-2</v>
      </c>
      <c r="D128" s="12">
        <f t="shared" si="10"/>
        <v>7.4955313063574336E-2</v>
      </c>
      <c r="E128" s="12">
        <f t="shared" si="11"/>
        <v>0.12042972420819474</v>
      </c>
      <c r="F128" s="12">
        <f t="shared" si="12"/>
        <v>0.11985252848149271</v>
      </c>
      <c r="G128" s="12">
        <f t="shared" si="13"/>
        <v>6.9891977182932288E-2</v>
      </c>
      <c r="H128" s="12">
        <f t="shared" si="14"/>
        <v>8.5079846611294058E-2</v>
      </c>
      <c r="I128" s="12">
        <f t="shared" si="15"/>
        <v>8.7816160373362248E-2</v>
      </c>
      <c r="J128" s="12">
        <f t="shared" si="16"/>
        <v>-6.3755362538925692E-2</v>
      </c>
      <c r="M128" s="123">
        <f>IF($Q$1,  C128, -0.2)</f>
        <v>-0.2</v>
      </c>
    </row>
    <row r="129" spans="2:13" x14ac:dyDescent="0.3">
      <c r="B129" s="12">
        <v>8.0083843566880586E-2</v>
      </c>
      <c r="C129" s="12">
        <f t="shared" si="9"/>
        <v>1.0810059909948723E-2</v>
      </c>
      <c r="D129" s="12">
        <f t="shared" si="10"/>
        <v>7.5407132315214231E-2</v>
      </c>
      <c r="E129" s="12">
        <f t="shared" si="11"/>
        <v>0.11996855866241975</v>
      </c>
      <c r="F129" s="12">
        <f t="shared" si="12"/>
        <v>0.11939793089362082</v>
      </c>
      <c r="G129" s="12">
        <f t="shared" si="13"/>
        <v>7.1101764760133218E-2</v>
      </c>
      <c r="H129" s="12">
        <f t="shared" si="14"/>
        <v>8.5680333479060289E-2</v>
      </c>
      <c r="I129" s="12">
        <f t="shared" si="15"/>
        <v>8.9065922373627954E-2</v>
      </c>
      <c r="J129" s="12">
        <f t="shared" si="16"/>
        <v>-6.406021365916284E-2</v>
      </c>
      <c r="M129" s="123">
        <f>IF($Q$1,  C129, -0.2)</f>
        <v>-0.2</v>
      </c>
    </row>
    <row r="130" spans="2:13" x14ac:dyDescent="0.3">
      <c r="B130" s="12">
        <v>8.1322733982708617E-2</v>
      </c>
      <c r="C130" s="12">
        <f t="shared" ref="C130:C193" si="17">IF($A$1=0, 0, IF(B130&lt;=$A$2, ($A$1/$A$2^2)*(2*$A$2*B130-B130^2), ($A$1/(1-$A$2)^2)*((1-2*$A$2)+2*$A$2*B130-B130^2)))</f>
        <v>1.095840002320209E-2</v>
      </c>
      <c r="D130" s="12">
        <f t="shared" ref="D130:D193" si="18">5*$A$3*(0.2969*SQRT(B130)-0.126*B130-0.3516*B130^2+0.2843*B130^3-0.1015*B130^4)</f>
        <v>7.5856119456848378E-2</v>
      </c>
      <c r="E130" s="12">
        <f t="shared" ref="E130:E193" si="19">IF($A$1=0, 0, IF(B130&lt;=$A$2, ($A$1/$A$2^2) *(2*$A$2-2*B130), ($A$1/(1-$A$2)^2)*(2*$A$2-2*B130)))</f>
        <v>0.11950397475648424</v>
      </c>
      <c r="F130" s="12">
        <f t="shared" ref="F130:F193" si="20">IF($A$1=0, 0,  ATAN(E130))</f>
        <v>0.11893991348730117</v>
      </c>
      <c r="G130" s="12">
        <f t="shared" ref="G130:G193" si="21">B130-D130*SIN(F130)</f>
        <v>7.2321671336120261E-2</v>
      </c>
      <c r="H130" s="12">
        <f t="shared" ref="H130:H193" si="22">C130+D130*COS(F130)</f>
        <v>8.6278594727436903E-2</v>
      </c>
      <c r="I130" s="12">
        <f t="shared" ref="I130:I193" si="23">B130+D130*SIN(F130)</f>
        <v>9.0323796629296974E-2</v>
      </c>
      <c r="J130" s="12">
        <f t="shared" ref="J130:J193" si="24">C130-D130*COS(F130)</f>
        <v>-6.436179468103273E-2</v>
      </c>
      <c r="M130" s="123">
        <f>IF($Q$1,  C130, -0.2)</f>
        <v>-0.2</v>
      </c>
    </row>
    <row r="131" spans="2:13" x14ac:dyDescent="0.3">
      <c r="B131" s="12">
        <v>8.2570727749226691E-2</v>
      </c>
      <c r="C131" s="12">
        <f t="shared" si="17"/>
        <v>1.110724820968958E-2</v>
      </c>
      <c r="D131" s="12">
        <f t="shared" si="18"/>
        <v>7.6302257718092556E-2</v>
      </c>
      <c r="E131" s="12">
        <f t="shared" si="19"/>
        <v>0.11903597709403996</v>
      </c>
      <c r="F131" s="12">
        <f t="shared" si="20"/>
        <v>0.11847847987687601</v>
      </c>
      <c r="G131" s="12">
        <f t="shared" si="21"/>
        <v>7.3551687121377995E-2</v>
      </c>
      <c r="H131" s="12">
        <f t="shared" si="22"/>
        <v>8.6874598955452298E-2</v>
      </c>
      <c r="I131" s="12">
        <f t="shared" si="23"/>
        <v>9.1589768377075387E-2</v>
      </c>
      <c r="J131" s="12">
        <f t="shared" si="24"/>
        <v>-6.4660102536073127E-2</v>
      </c>
      <c r="M131" s="123">
        <f>IF($Q$1,  C131, -0.2)</f>
        <v>-0.2</v>
      </c>
    </row>
    <row r="132" spans="2:13" x14ac:dyDescent="0.3">
      <c r="B132" s="12">
        <v>8.3827812499823295E-2</v>
      </c>
      <c r="C132" s="12">
        <f t="shared" si="17"/>
        <v>1.1256590222128705E-2</v>
      </c>
      <c r="D132" s="12">
        <f t="shared" si="18"/>
        <v>7.6745530360908101E-2</v>
      </c>
      <c r="E132" s="12">
        <f t="shared" si="19"/>
        <v>0.11856457031256623</v>
      </c>
      <c r="F132" s="12">
        <f t="shared" si="20"/>
        <v>0.11801363371221546</v>
      </c>
      <c r="G132" s="12">
        <f t="shared" si="21"/>
        <v>7.479180213496861E-2</v>
      </c>
      <c r="H132" s="12">
        <f t="shared" si="22"/>
        <v>8.7468314694569976E-2</v>
      </c>
      <c r="I132" s="12">
        <f t="shared" si="23"/>
        <v>9.2863822864677981E-2</v>
      </c>
      <c r="J132" s="12">
        <f t="shared" si="24"/>
        <v>-6.4955134250312574E-2</v>
      </c>
      <c r="M132" s="123">
        <f>IF($Q$1,  C132, -0.2)</f>
        <v>-0.2</v>
      </c>
    </row>
    <row r="133" spans="2:13" x14ac:dyDescent="0.3">
      <c r="B133" s="12">
        <v>8.5093975777802311E-2</v>
      </c>
      <c r="C133" s="12">
        <f t="shared" si="17"/>
        <v>1.1406411732856617E-2</v>
      </c>
      <c r="D133" s="12">
        <f t="shared" si="18"/>
        <v>7.7185920682288855E-2</v>
      </c>
      <c r="E133" s="12">
        <f t="shared" si="19"/>
        <v>0.1180897590833241</v>
      </c>
      <c r="F133" s="12">
        <f t="shared" si="20"/>
        <v>0.11754537867886734</v>
      </c>
      <c r="G133" s="12">
        <f t="shared" si="21"/>
        <v>7.6042006203832072E-2</v>
      </c>
      <c r="H133" s="12">
        <f t="shared" si="22"/>
        <v>8.805971041206874E-2</v>
      </c>
      <c r="I133" s="12">
        <f t="shared" si="23"/>
        <v>9.414594535177255E-2</v>
      </c>
      <c r="J133" s="12">
        <f t="shared" si="24"/>
        <v>-6.5246886946355512E-2</v>
      </c>
      <c r="M133" s="123">
        <f>IF($Q$1,  C133, -0.2)</f>
        <v>-0.2</v>
      </c>
    </row>
    <row r="134" spans="2:13" x14ac:dyDescent="0.3">
      <c r="B134" s="12">
        <v>8.6369205036507135E-2</v>
      </c>
      <c r="C134" s="12">
        <f t="shared" si="17"/>
        <v>1.1556698334481403E-2</v>
      </c>
      <c r="D134" s="12">
        <f t="shared" si="18"/>
        <v>7.7623412016941659E-2</v>
      </c>
      <c r="E134" s="12">
        <f t="shared" si="19"/>
        <v>0.11761154811130979</v>
      </c>
      <c r="F134" s="12">
        <f t="shared" si="20"/>
        <v>0.1170737184982073</v>
      </c>
      <c r="G134" s="12">
        <f t="shared" si="21"/>
        <v>7.7302288962099938E-2</v>
      </c>
      <c r="H134" s="12">
        <f t="shared" si="22"/>
        <v>8.8648754514424735E-2</v>
      </c>
      <c r="I134" s="12">
        <f t="shared" si="23"/>
        <v>9.5436121110914332E-2</v>
      </c>
      <c r="J134" s="12">
        <f t="shared" si="24"/>
        <v>-6.5535357845461925E-2</v>
      </c>
      <c r="M134" s="123">
        <f>IF($Q$1,  C134, -0.2)</f>
        <v>-0.2</v>
      </c>
    </row>
    <row r="135" spans="2:13" x14ac:dyDescent="0.3">
      <c r="B135" s="12">
        <v>8.7653487639444361E-2</v>
      </c>
      <c r="C135" s="12">
        <f t="shared" si="17"/>
        <v>1.1707435540536984E-2</v>
      </c>
      <c r="D135" s="12">
        <f t="shared" si="18"/>
        <v>7.8057987739958992E-2</v>
      </c>
      <c r="E135" s="12">
        <f t="shared" si="19"/>
        <v>0.11712994213520835</v>
      </c>
      <c r="F135" s="12">
        <f t="shared" si="20"/>
        <v>0.11659865692758938</v>
      </c>
      <c r="G135" s="12">
        <f t="shared" si="21"/>
        <v>7.8572639850421025E-2</v>
      </c>
      <c r="H135" s="12">
        <f t="shared" si="22"/>
        <v>8.9235415350694416E-2</v>
      </c>
      <c r="I135" s="12">
        <f t="shared" si="23"/>
        <v>9.6734335428467697E-2</v>
      </c>
      <c r="J135" s="12">
        <f t="shared" si="24"/>
        <v>-6.582054426962046E-2</v>
      </c>
      <c r="M135" s="123">
        <f>IF($Q$1,  C135, -0.2)</f>
        <v>-0.2</v>
      </c>
    </row>
    <row r="136" spans="2:13" x14ac:dyDescent="0.3">
      <c r="B136" s="12">
        <v>8.8946810860409342E-2</v>
      </c>
      <c r="C136" s="12">
        <f t="shared" si="17"/>
        <v>1.185860878614188E-2</v>
      </c>
      <c r="D136" s="12">
        <f t="shared" si="18"/>
        <v>7.8489631269484106E-2</v>
      </c>
      <c r="E136" s="12">
        <f t="shared" si="19"/>
        <v>0.11664494592734648</v>
      </c>
      <c r="F136" s="12">
        <f t="shared" si="20"/>
        <v>0.11612019776049656</v>
      </c>
      <c r="G136" s="12">
        <f t="shared" si="21"/>
        <v>7.9853048115301362E-2</v>
      </c>
      <c r="H136" s="12">
        <f t="shared" si="22"/>
        <v>8.9819661215898516E-2</v>
      </c>
      <c r="I136" s="12">
        <f t="shared" si="23"/>
        <v>9.8040573605517323E-2</v>
      </c>
      <c r="J136" s="12">
        <f t="shared" si="24"/>
        <v>-6.6102443643614756E-2</v>
      </c>
      <c r="M136" s="123">
        <f>IF($Q$1,  C136, -0.2)</f>
        <v>-0.2</v>
      </c>
    </row>
    <row r="137" spans="2:13" x14ac:dyDescent="0.3">
      <c r="B137" s="12">
        <v>9.0249161883612206E-2</v>
      </c>
      <c r="C137" s="12">
        <f t="shared" si="17"/>
        <v>1.2010203428661621E-2</v>
      </c>
      <c r="D137" s="12">
        <f t="shared" si="18"/>
        <v>7.8918326069367578E-2</v>
      </c>
      <c r="E137" s="12">
        <f t="shared" si="19"/>
        <v>0.1161565642936454</v>
      </c>
      <c r="F137" s="12">
        <f t="shared" si="20"/>
        <v>0.11563834482669193</v>
      </c>
      <c r="G137" s="12">
        <f t="shared" si="21"/>
        <v>8.1143502808457293E-2</v>
      </c>
      <c r="H137" s="12">
        <f t="shared" si="22"/>
        <v>9.0401460354406035E-2</v>
      </c>
      <c r="I137" s="12">
        <f t="shared" si="23"/>
        <v>9.9354820958767118E-2</v>
      </c>
      <c r="J137" s="12">
        <f t="shared" si="24"/>
        <v>-6.6381053497082801E-2</v>
      </c>
      <c r="M137" s="123">
        <f>IF($Q$1,  C137, -0.2)</f>
        <v>-0.2</v>
      </c>
    </row>
    <row r="138" spans="2:13" x14ac:dyDescent="0.3">
      <c r="B138" s="12">
        <v>9.1560527803804637E-2</v>
      </c>
      <c r="C138" s="12">
        <f t="shared" si="17"/>
        <v>1.2162204748374827E-2</v>
      </c>
      <c r="D138" s="12">
        <f t="shared" si="18"/>
        <v>7.9344055651814946E-2</v>
      </c>
      <c r="E138" s="12">
        <f t="shared" si="19"/>
        <v>0.11566480207357324</v>
      </c>
      <c r="F138" s="12">
        <f t="shared" si="20"/>
        <v>0.11515310199236965</v>
      </c>
      <c r="G138" s="12">
        <f t="shared" si="21"/>
        <v>8.2443992786182405E-2</v>
      </c>
      <c r="H138" s="12">
        <f t="shared" si="22"/>
        <v>9.0980780963317812E-2</v>
      </c>
      <c r="I138" s="12">
        <f t="shared" si="23"/>
        <v>0.10067706282142687</v>
      </c>
      <c r="J138" s="12">
        <f t="shared" si="24"/>
        <v>-6.6656371466568151E-2</v>
      </c>
      <c r="M138" s="123">
        <f>IF($Q$1,  C138, -0.2)</f>
        <v>-0.2</v>
      </c>
    </row>
    <row r="139" spans="2:13" x14ac:dyDescent="0.3">
      <c r="B139" s="12">
        <v>9.2880895626408333E-2</v>
      </c>
      <c r="C139" s="12">
        <f t="shared" si="17"/>
        <v>1.2314597949143044E-2</v>
      </c>
      <c r="D139" s="12">
        <f t="shared" si="18"/>
        <v>7.9766803580025178E-2</v>
      </c>
      <c r="E139" s="12">
        <f t="shared" si="19"/>
        <v>0.11516966414009686</v>
      </c>
      <c r="F139" s="12">
        <f t="shared" si="20"/>
        <v>0.11466447316030624</v>
      </c>
      <c r="G139" s="12">
        <f t="shared" si="21"/>
        <v>8.3754506708729179E-2</v>
      </c>
      <c r="H139" s="12">
        <f t="shared" si="22"/>
        <v>9.1557591195849594E-2</v>
      </c>
      <c r="I139" s="12">
        <f t="shared" si="23"/>
        <v>0.10200728454408749</v>
      </c>
      <c r="J139" s="12">
        <f t="shared" si="24"/>
        <v>-6.6928395297563517E-2</v>
      </c>
      <c r="M139" s="123">
        <f>IF($Q$1,  C139, -0.2)</f>
        <v>-0.2</v>
      </c>
    </row>
    <row r="140" spans="2:13" x14ac:dyDescent="0.3">
      <c r="B140" s="12">
        <v>9.4210252267643013E-2</v>
      </c>
      <c r="C140" s="12">
        <f t="shared" si="17"/>
        <v>1.2467368159084023E-2</v>
      </c>
      <c r="D140" s="12">
        <f t="shared" si="18"/>
        <v>8.0186553470819016E-2</v>
      </c>
      <c r="E140" s="12">
        <f t="shared" si="19"/>
        <v>0.11467115539963385</v>
      </c>
      <c r="F140" s="12">
        <f t="shared" si="20"/>
        <v>0.1141724622700122</v>
      </c>
      <c r="G140" s="12">
        <f t="shared" si="21"/>
        <v>8.5075033039703749E-2</v>
      </c>
      <c r="H140" s="12">
        <f t="shared" si="22"/>
        <v>9.213185916471342E-2</v>
      </c>
      <c r="I140" s="12">
        <f t="shared" si="23"/>
        <v>0.10334547149558228</v>
      </c>
      <c r="J140" s="12">
        <f t="shared" si="24"/>
        <v>-6.719712284654536E-2</v>
      </c>
      <c r="M140" s="123">
        <f>IF($Q$1,  C140, -0.2)</f>
        <v>-0.2</v>
      </c>
    </row>
    <row r="141" spans="2:13" x14ac:dyDescent="0.3">
      <c r="B141" s="12">
        <v>9.5548584554656757E-2</v>
      </c>
      <c r="C141" s="12">
        <f t="shared" si="17"/>
        <v>1.2620500431248814E-2</v>
      </c>
      <c r="D141" s="12">
        <f t="shared" si="18"/>
        <v>8.0603288997257355E-2</v>
      </c>
      <c r="E141" s="12">
        <f t="shared" si="19"/>
        <v>0.1141692807920037</v>
      </c>
      <c r="F141" s="12">
        <f t="shared" si="20"/>
        <v>0.11367707329788347</v>
      </c>
      <c r="G141" s="12">
        <f t="shared" si="21"/>
        <v>8.6405560045476712E-2</v>
      </c>
      <c r="H141" s="12">
        <f t="shared" si="22"/>
        <v>9.2703552945497564E-2</v>
      </c>
      <c r="I141" s="12">
        <f t="shared" si="23"/>
        <v>0.1046916090638368</v>
      </c>
      <c r="J141" s="12">
        <f t="shared" si="24"/>
        <v>-6.7462552082999921E-2</v>
      </c>
      <c r="M141" s="123">
        <f>IF($Q$1,  C141, -0.2)</f>
        <v>-0.2</v>
      </c>
    </row>
    <row r="142" spans="2:13" x14ac:dyDescent="0.3">
      <c r="B142" s="12">
        <v>9.6895879225656123E-2</v>
      </c>
      <c r="C142" s="12">
        <f t="shared" si="17"/>
        <v>1.2773979744302241E-2</v>
      </c>
      <c r="D142" s="12">
        <f t="shared" si="18"/>
        <v>8.1016993891248237E-2</v>
      </c>
      <c r="E142" s="12">
        <f t="shared" si="19"/>
        <v>0.11366404529037893</v>
      </c>
      <c r="F142" s="12">
        <f t="shared" si="20"/>
        <v>0.1131783102573533</v>
      </c>
      <c r="G142" s="12">
        <f t="shared" si="21"/>
        <v>8.7746075794607553E-2</v>
      </c>
      <c r="H142" s="12">
        <f t="shared" si="22"/>
        <v>9.3272640580043642E-2</v>
      </c>
      <c r="I142" s="12">
        <f t="shared" si="23"/>
        <v>0.10604568265670469</v>
      </c>
      <c r="J142" s="12">
        <f t="shared" si="24"/>
        <v>-6.7724681091439171E-2</v>
      </c>
      <c r="M142" s="123">
        <f>IF($Q$1,  C142, -0.2)</f>
        <v>-0.2</v>
      </c>
    </row>
    <row r="143" spans="2:13" x14ac:dyDescent="0.3">
      <c r="B143" s="12">
        <v>9.8252122930037711E-2</v>
      </c>
      <c r="C143" s="12">
        <f t="shared" si="17"/>
        <v>1.2927791003207047E-2</v>
      </c>
      <c r="D143" s="12">
        <f t="shared" si="18"/>
        <v>8.1427651946143043E-2</v>
      </c>
      <c r="E143" s="12">
        <f t="shared" si="19"/>
        <v>0.11315545390123584</v>
      </c>
      <c r="F143" s="12">
        <f t="shared" si="20"/>
        <v>0.11267617719904396</v>
      </c>
      <c r="G143" s="12">
        <f t="shared" si="21"/>
        <v>8.909656815728477E-2</v>
      </c>
      <c r="H143" s="12">
        <f t="shared" si="22"/>
        <v>9.3839090079821386E-2</v>
      </c>
      <c r="I143" s="12">
        <f t="shared" si="23"/>
        <v>0.10740767770279065</v>
      </c>
      <c r="J143" s="12">
        <f t="shared" si="24"/>
        <v>-6.7983508073407306E-2</v>
      </c>
      <c r="M143" s="123">
        <f>IF($Q$1,  C143, -0.2)</f>
        <v>-0.2</v>
      </c>
    </row>
    <row r="144" spans="2:13" x14ac:dyDescent="0.3">
      <c r="B144" s="12">
        <v>9.9617302228520166E-2</v>
      </c>
      <c r="C144" s="12">
        <f t="shared" si="17"/>
        <v>1.3081919039911459E-2</v>
      </c>
      <c r="D144" s="12">
        <f t="shared" si="18"/>
        <v>8.1835247019320587E-2</v>
      </c>
      <c r="E144" s="12">
        <f t="shared" si="19"/>
        <v>0.11264351166430492</v>
      </c>
      <c r="F144" s="12">
        <f t="shared" si="20"/>
        <v>0.11217067821091886</v>
      </c>
      <c r="G144" s="12">
        <f t="shared" si="21"/>
        <v>9.0457024804780739E-2</v>
      </c>
      <c r="H144" s="12">
        <f t="shared" si="22"/>
        <v>9.4402869429299735E-2</v>
      </c>
      <c r="I144" s="12">
        <f t="shared" si="23"/>
        <v>0.10877757965225959</v>
      </c>
      <c r="J144" s="12">
        <f t="shared" si="24"/>
        <v>-6.8239031349476814E-2</v>
      </c>
      <c r="M144" s="123">
        <f>IF($Q$1,  C144, -0.2)</f>
        <v>-0.2</v>
      </c>
    </row>
    <row r="145" spans="2:13" x14ac:dyDescent="0.3">
      <c r="B145" s="12">
        <v>0.10099140359327796</v>
      </c>
      <c r="C145" s="12">
        <f t="shared" si="17"/>
        <v>1.3236348614040374E-2</v>
      </c>
      <c r="D145" s="12">
        <f t="shared" si="18"/>
        <v>8.2239763034759161E-2</v>
      </c>
      <c r="E145" s="12">
        <f t="shared" si="19"/>
        <v>0.11212822365252074</v>
      </c>
      <c r="F145" s="12">
        <f t="shared" si="20"/>
        <v>0.11166181741843419</v>
      </c>
      <c r="G145" s="12">
        <f t="shared" si="21"/>
        <v>9.1827433208923143E-2</v>
      </c>
      <c r="H145" s="12">
        <f t="shared" si="22"/>
        <v>9.4963946589314341E-2</v>
      </c>
      <c r="I145" s="12">
        <f t="shared" si="23"/>
        <v>0.11015537397763278</v>
      </c>
      <c r="J145" s="12">
        <f t="shared" si="24"/>
        <v>-6.8491249361233603E-2</v>
      </c>
      <c r="M145" s="123">
        <f>IF($Q$1,  C145, -0.2)</f>
        <v>-0.2</v>
      </c>
    </row>
    <row r="146" spans="2:13" x14ac:dyDescent="0.3">
      <c r="B146" s="12">
        <v>0.10237441340807496</v>
      </c>
      <c r="C146" s="12">
        <f t="shared" si="17"/>
        <v>1.3391064413589848E-2</v>
      </c>
      <c r="D146" s="12">
        <f t="shared" si="18"/>
        <v>8.2641183985595695E-2</v>
      </c>
      <c r="E146" s="12">
        <f t="shared" si="19"/>
        <v>0.11160959497197187</v>
      </c>
      <c r="F146" s="12">
        <f t="shared" si="20"/>
        <v>0.11114959898469115</v>
      </c>
      <c r="G146" s="12">
        <f t="shared" si="21"/>
        <v>9.3207780641580806E-2</v>
      </c>
      <c r="H146" s="12">
        <f t="shared" si="22"/>
        <v>9.5522289500430693E-2</v>
      </c>
      <c r="I146" s="12">
        <f t="shared" si="23"/>
        <v>0.11154104617456911</v>
      </c>
      <c r="J146" s="12">
        <f t="shared" si="24"/>
        <v>-6.8740160673250991E-2</v>
      </c>
      <c r="M146" s="123">
        <f>IF($Q$1,  C146, -0.2)</f>
        <v>-0.2</v>
      </c>
    </row>
    <row r="147" spans="2:13" x14ac:dyDescent="0.3">
      <c r="B147" s="12">
        <v>0.1037663179683993</v>
      </c>
      <c r="C147" s="12">
        <f t="shared" si="17"/>
        <v>1.354605105562509E-2</v>
      </c>
      <c r="D147" s="12">
        <f t="shared" si="18"/>
        <v>8.3039493936671357E-2</v>
      </c>
      <c r="E147" s="12">
        <f t="shared" si="19"/>
        <v>0.11108763076185024</v>
      </c>
      <c r="F147" s="12">
        <f t="shared" si="20"/>
        <v>0.11063402711058794</v>
      </c>
      <c r="G147" s="12">
        <f t="shared" si="21"/>
        <v>9.4598054174166168E-2</v>
      </c>
      <c r="H147" s="12">
        <f t="shared" si="22"/>
        <v>9.6077866086301797E-2</v>
      </c>
      <c r="I147" s="12">
        <f t="shared" si="23"/>
        <v>0.11293458176263244</v>
      </c>
      <c r="J147" s="12">
        <f t="shared" si="24"/>
        <v>-6.8985763975051614E-2</v>
      </c>
      <c r="M147" s="123">
        <f>IF($Q$1,  C147, -0.2)</f>
        <v>-0.2</v>
      </c>
    </row>
    <row r="148" spans="2:13" x14ac:dyDescent="0.3">
      <c r="B148" s="12">
        <v>0.10516710348159974</v>
      </c>
      <c r="C148" s="12">
        <f t="shared" si="17"/>
        <v>1.3701293086981925E-2</v>
      </c>
      <c r="D148" s="12">
        <f t="shared" si="18"/>
        <v>8.343467702706428E-2</v>
      </c>
      <c r="E148" s="12">
        <f t="shared" si="19"/>
        <v>0.11056233619440008</v>
      </c>
      <c r="F148" s="12">
        <f t="shared" si="20"/>
        <v>0.11011510603497153</v>
      </c>
      <c r="G148" s="12">
        <f t="shared" si="21"/>
        <v>9.5998240677154331E-2</v>
      </c>
      <c r="H148" s="12">
        <f t="shared" si="22"/>
        <v>9.6630644257021753E-2</v>
      </c>
      <c r="I148" s="12">
        <f t="shared" si="23"/>
        <v>0.11433596628604516</v>
      </c>
      <c r="J148" s="12">
        <f t="shared" si="24"/>
        <v>-6.9228058083057903E-2</v>
      </c>
      <c r="M148" s="123">
        <f>IF($Q$1,  C148, -0.2)</f>
        <v>-0.2</v>
      </c>
    </row>
    <row r="149" spans="2:13" x14ac:dyDescent="0.3">
      <c r="B149" s="12">
        <v>0.10657675606702155</v>
      </c>
      <c r="C149" s="12">
        <f t="shared" si="17"/>
        <v>1.3856774984971464E-2</v>
      </c>
      <c r="D149" s="12">
        <f t="shared" si="18"/>
        <v>8.3826717472607157E-2</v>
      </c>
      <c r="E149" s="12">
        <f t="shared" si="19"/>
        <v>0.1100337164748669</v>
      </c>
      <c r="F149" s="12">
        <f t="shared" si="20"/>
        <v>0.10959284003478992</v>
      </c>
      <c r="G149" s="12">
        <f t="shared" si="21"/>
        <v>9.7408326819617225E-2</v>
      </c>
      <c r="H149" s="12">
        <f t="shared" si="22"/>
        <v>9.7180591912472108E-2</v>
      </c>
      <c r="I149" s="12">
        <f t="shared" si="23"/>
        <v>0.11574518531442587</v>
      </c>
      <c r="J149" s="12">
        <f t="shared" si="24"/>
        <v>-6.9467041942529173E-2</v>
      </c>
      <c r="M149" s="123">
        <f>IF($Q$1,  C149, -0.2)</f>
        <v>-0.2</v>
      </c>
    </row>
    <row r="150" spans="2:13" x14ac:dyDescent="0.3">
      <c r="B150" s="12">
        <v>0.10799526175614471</v>
      </c>
      <c r="C150" s="12">
        <f t="shared" si="17"/>
        <v>1.4012481158088287E-2</v>
      </c>
      <c r="D150" s="12">
        <f t="shared" si="18"/>
        <v>8.421559956839092E-2</v>
      </c>
      <c r="E150" s="12">
        <f t="shared" si="19"/>
        <v>0.10950177684144571</v>
      </c>
      <c r="F150" s="12">
        <f t="shared" si="20"/>
        <v>0.10906723342524374</v>
      </c>
      <c r="G150" s="12">
        <f t="shared" si="21"/>
        <v>9.8828299068775771E-2</v>
      </c>
      <c r="H150" s="12">
        <f t="shared" si="22"/>
        <v>9.7727676945662909E-2</v>
      </c>
      <c r="I150" s="12">
        <f t="shared" si="23"/>
        <v>0.11716222444351365</v>
      </c>
      <c r="J150" s="12">
        <f t="shared" si="24"/>
        <v>-6.9702714629486337E-2</v>
      </c>
      <c r="M150" s="123">
        <f>IF($Q$1,  C150, -0.2)</f>
        <v>-0.2</v>
      </c>
    </row>
    <row r="151" spans="2:13" x14ac:dyDescent="0.3">
      <c r="B151" s="12">
        <v>0.10942260649272206</v>
      </c>
      <c r="C151" s="12">
        <f t="shared" si="17"/>
        <v>1.4168395946721851E-2</v>
      </c>
      <c r="D151" s="12">
        <f t="shared" si="18"/>
        <v>8.4601307691252875E-2</v>
      </c>
      <c r="E151" s="12">
        <f t="shared" si="19"/>
        <v>0.10896652256522921</v>
      </c>
      <c r="F151" s="12">
        <f t="shared" si="20"/>
        <v>0.10853829055993822</v>
      </c>
      <c r="G151" s="12">
        <f t="shared" si="21"/>
        <v>0.10025814368956795</v>
      </c>
      <c r="H151" s="12">
        <f t="shared" si="22"/>
        <v>9.827186724606625E-2</v>
      </c>
      <c r="I151" s="12">
        <f t="shared" si="23"/>
        <v>0.11858706929587617</v>
      </c>
      <c r="J151" s="12">
        <f t="shared" si="24"/>
        <v>-6.9935075352622542E-2</v>
      </c>
      <c r="M151" s="123">
        <f>IF($Q$1,  C151, -0.2)</f>
        <v>-0.2</v>
      </c>
    </row>
    <row r="152" spans="2:13" x14ac:dyDescent="0.3">
      <c r="B152" s="12">
        <v>0.11085877613291861</v>
      </c>
      <c r="C152" s="12">
        <f t="shared" si="17"/>
        <v>1.4324503623871183E-2</v>
      </c>
      <c r="D152" s="12">
        <f t="shared" si="18"/>
        <v>8.4983826302249446E-2</v>
      </c>
      <c r="E152" s="12">
        <f t="shared" si="19"/>
        <v>0.1084279589501555</v>
      </c>
      <c r="F152" s="12">
        <f t="shared" si="20"/>
        <v>0.10800601583103481</v>
      </c>
      <c r="G152" s="12">
        <f t="shared" si="21"/>
        <v>0.10169784674423403</v>
      </c>
      <c r="H152" s="12">
        <f t="shared" si="22"/>
        <v>9.8813130702942828E-2</v>
      </c>
      <c r="I152" s="12">
        <f t="shared" si="23"/>
        <v>0.1200197055216032</v>
      </c>
      <c r="J152" s="12">
        <f t="shared" si="24"/>
        <v>-7.0164123455200469E-2</v>
      </c>
      <c r="M152" s="123">
        <f>IF($Q$1,  C152, -0.2)</f>
        <v>-0.2</v>
      </c>
    </row>
    <row r="153" spans="2:13" x14ac:dyDescent="0.3">
      <c r="B153" s="12">
        <v>0.11230375644545154</v>
      </c>
      <c r="C153" s="12">
        <f t="shared" si="17"/>
        <v>1.4480788395862858E-2</v>
      </c>
      <c r="D153" s="12">
        <f t="shared" si="18"/>
        <v>8.5363139949112737E-2</v>
      </c>
      <c r="E153" s="12">
        <f t="shared" si="19"/>
        <v>0.10788609133295565</v>
      </c>
      <c r="F153" s="12">
        <f t="shared" si="20"/>
        <v>0.10747041366940284</v>
      </c>
      <c r="G153" s="12">
        <f t="shared" si="21"/>
        <v>0.10314739409191905</v>
      </c>
      <c r="H153" s="12">
        <f t="shared" si="22"/>
        <v>9.9351435208660382E-2</v>
      </c>
      <c r="I153" s="12">
        <f t="shared" si="23"/>
        <v>0.12146011879898404</v>
      </c>
      <c r="J153" s="12">
        <f t="shared" si="24"/>
        <v>-7.0389858416934681E-2</v>
      </c>
      <c r="M153" s="123">
        <f>IF($Q$1,  C153, -0.2)</f>
        <v>-0.2</v>
      </c>
    </row>
    <row r="154" spans="2:13" x14ac:dyDescent="0.3">
      <c r="B154" s="12">
        <v>0.11375753311173153</v>
      </c>
      <c r="C154" s="12">
        <f t="shared" si="17"/>
        <v>1.463723440307222E-2</v>
      </c>
      <c r="D154" s="12">
        <f t="shared" si="18"/>
        <v>8.5739233268690873E-2</v>
      </c>
      <c r="E154" s="12">
        <f t="shared" si="19"/>
        <v>0.10734092508310066</v>
      </c>
      <c r="F154" s="12">
        <f t="shared" si="20"/>
        <v>0.10693148854477079</v>
      </c>
      <c r="G154" s="12">
        <f t="shared" si="21"/>
        <v>0.1046067713882928</v>
      </c>
      <c r="H154" s="12">
        <f t="shared" si="22"/>
        <v>9.9886748662004143E-2</v>
      </c>
      <c r="I154" s="12">
        <f t="shared" si="23"/>
        <v>0.12290829483517027</v>
      </c>
      <c r="J154" s="12">
        <f t="shared" si="24"/>
        <v>-7.0612279855859689E-2</v>
      </c>
      <c r="M154" s="123">
        <f>IF($Q$1,  C154, -0.2)</f>
        <v>-0.2</v>
      </c>
    </row>
    <row r="155" spans="2:13" x14ac:dyDescent="0.3">
      <c r="B155" s="12">
        <v>0.11522009172600445</v>
      </c>
      <c r="C155" s="12">
        <f t="shared" si="17"/>
        <v>1.479382572064775E-2</v>
      </c>
      <c r="D155" s="12">
        <f t="shared" si="18"/>
        <v>8.6112090989371032E-2</v>
      </c>
      <c r="E155" s="12">
        <f t="shared" si="19"/>
        <v>0.10679246560274831</v>
      </c>
      <c r="F155" s="12">
        <f t="shared" si="20"/>
        <v>0.10638924496587762</v>
      </c>
      <c r="G155" s="12">
        <f t="shared" si="21"/>
        <v>0.10607596408518717</v>
      </c>
      <c r="H155" s="12">
        <f t="shared" si="22"/>
        <v>0.10041903897147801</v>
      </c>
      <c r="I155" s="12">
        <f t="shared" si="23"/>
        <v>0.12436421936682172</v>
      </c>
      <c r="J155" s="12">
        <f t="shared" si="24"/>
        <v>-7.0831387530182519E-2</v>
      </c>
      <c r="M155" s="123">
        <f>IF($Q$1,  C155, -0.2)</f>
        <v>-0.2</v>
      </c>
    </row>
    <row r="156" spans="2:13" x14ac:dyDescent="0.3">
      <c r="B156" s="12">
        <v>0.11669141779549419</v>
      </c>
      <c r="C156" s="12">
        <f t="shared" si="17"/>
        <v>1.4950546359238641E-2</v>
      </c>
      <c r="D156" s="12">
        <f t="shared" si="18"/>
        <v>8.6481697933485258E-2</v>
      </c>
      <c r="E156" s="12">
        <f t="shared" si="19"/>
        <v>0.10624071832668966</v>
      </c>
      <c r="F156" s="12">
        <f t="shared" si="20"/>
        <v>0.10584368748062375</v>
      </c>
      <c r="G156" s="12">
        <f t="shared" si="21"/>
        <v>0.10755495743025134</v>
      </c>
      <c r="H156" s="12">
        <f t="shared" si="22"/>
        <v>0.10094827405859669</v>
      </c>
      <c r="I156" s="12">
        <f t="shared" si="23"/>
        <v>0.12582787816073704</v>
      </c>
      <c r="J156" s="12">
        <f t="shared" si="24"/>
        <v>-7.1047181340119392E-2</v>
      </c>
      <c r="M156" s="123">
        <f>IF($Q$1,  C156, -0.2)</f>
        <v>-0.2</v>
      </c>
    </row>
    <row r="157" spans="2:13" x14ac:dyDescent="0.3">
      <c r="B157" s="12">
        <v>0.11817149674054617</v>
      </c>
      <c r="C157" s="12">
        <f t="shared" si="17"/>
        <v>1.5107380265725499E-2</v>
      </c>
      <c r="D157" s="12">
        <f t="shared" si="18"/>
        <v>8.6848039019698453E-2</v>
      </c>
      <c r="E157" s="12">
        <f t="shared" si="19"/>
        <v>0.10568568872229517</v>
      </c>
      <c r="F157" s="12">
        <f t="shared" si="20"/>
        <v>0.10529482067622195</v>
      </c>
      <c r="G157" s="12">
        <f t="shared" si="21"/>
        <v>0.10904373646662471</v>
      </c>
      <c r="H157" s="12">
        <f t="shared" si="22"/>
        <v>0.10147442186116795</v>
      </c>
      <c r="I157" s="12">
        <f t="shared" si="23"/>
        <v>0.12729925701446762</v>
      </c>
      <c r="J157" s="12">
        <f t="shared" si="24"/>
        <v>-7.125966132971695E-2</v>
      </c>
      <c r="M157" s="123">
        <f>IF($Q$1,  C157, -0.2)</f>
        <v>-0.2</v>
      </c>
    </row>
    <row r="158" spans="2:13" x14ac:dyDescent="0.3">
      <c r="B158" s="12">
        <v>0.11966031389477194</v>
      </c>
      <c r="C158" s="12">
        <f t="shared" si="17"/>
        <v>1.526431132395416E-2</v>
      </c>
      <c r="D158" s="12">
        <f t="shared" si="18"/>
        <v>8.7211099265377956E-2</v>
      </c>
      <c r="E158" s="12">
        <f t="shared" si="19"/>
        <v>0.1051273822894605</v>
      </c>
      <c r="F158" s="12">
        <f t="shared" si="20"/>
        <v>0.10474264917934778</v>
      </c>
      <c r="G158" s="12">
        <f t="shared" si="21"/>
        <v>0.11054228603262833</v>
      </c>
      <c r="H158" s="12">
        <f t="shared" si="22"/>
        <v>0.10199745033656445</v>
      </c>
      <c r="I158" s="12">
        <f t="shared" si="23"/>
        <v>0.12877834175691555</v>
      </c>
      <c r="J158" s="12">
        <f t="shared" si="24"/>
        <v>-7.1468827688656131E-2</v>
      </c>
      <c r="M158" s="123">
        <f>IF($Q$1,  C158, -0.2)</f>
        <v>-0.2</v>
      </c>
    </row>
    <row r="159" spans="2:13" x14ac:dyDescent="0.3">
      <c r="B159" s="12">
        <v>0.12115785450519423</v>
      </c>
      <c r="C159" s="12">
        <f t="shared" si="17"/>
        <v>1.5421323355472543E-2</v>
      </c>
      <c r="D159" s="12">
        <f t="shared" si="18"/>
        <v>8.757086378894427E-2</v>
      </c>
      <c r="E159" s="12">
        <f t="shared" si="19"/>
        <v>0.10456580456055214</v>
      </c>
      <c r="F159" s="12">
        <f t="shared" si="20"/>
        <v>0.10418717765629007</v>
      </c>
      <c r="G159" s="12">
        <f t="shared" si="21"/>
        <v>0.11205059076147394</v>
      </c>
      <c r="H159" s="12">
        <f t="shared" si="22"/>
        <v>0.10251732746498464</v>
      </c>
      <c r="I159" s="12">
        <f t="shared" si="23"/>
        <v>0.13026511824891451</v>
      </c>
      <c r="J159" s="12">
        <f t="shared" si="24"/>
        <v>-7.1674680754039558E-2</v>
      </c>
      <c r="M159" s="123">
        <f>IF($Q$1,  C159, -0.2)</f>
        <v>-0.2</v>
      </c>
    </row>
    <row r="160" spans="2:13" x14ac:dyDescent="0.3">
      <c r="B160" s="12">
        <v>0.12266410373239378</v>
      </c>
      <c r="C160" s="12">
        <f t="shared" si="17"/>
        <v>1.5578400120270664E-2</v>
      </c>
      <c r="D160" s="12">
        <f t="shared" si="18"/>
        <v>8.7927317812202976E-2</v>
      </c>
      <c r="E160" s="12">
        <f t="shared" si="19"/>
        <v>0.10400096110035231</v>
      </c>
      <c r="F160" s="12">
        <f t="shared" si="20"/>
        <v>0.1036284108131006</v>
      </c>
      <c r="G160" s="12">
        <f t="shared" si="21"/>
        <v>0.11356863508099255</v>
      </c>
      <c r="H160" s="12">
        <f t="shared" si="22"/>
        <v>0.10303402125270288</v>
      </c>
      <c r="I160" s="12">
        <f t="shared" si="23"/>
        <v>0.13175957238379502</v>
      </c>
      <c r="J160" s="12">
        <f t="shared" si="24"/>
        <v>-7.1877221012161555E-2</v>
      </c>
      <c r="M160" s="123">
        <f>IF($Q$1,  C160, -0.2)</f>
        <v>-0.2</v>
      </c>
    </row>
    <row r="161" spans="2:13" x14ac:dyDescent="0.3">
      <c r="B161" s="12">
        <v>0.12417904665065549</v>
      </c>
      <c r="C161" s="12">
        <f t="shared" si="17"/>
        <v>1.5735525317523508E-2</v>
      </c>
      <c r="D161" s="12">
        <f t="shared" si="18"/>
        <v>8.8280446662656581E-2</v>
      </c>
      <c r="E161" s="12">
        <f t="shared" si="19"/>
        <v>0.10343285750600417</v>
      </c>
      <c r="F161" s="12">
        <f t="shared" si="20"/>
        <v>0.10306635339574416</v>
      </c>
      <c r="G161" s="12">
        <f t="shared" si="21"/>
        <v>0.11509640321337999</v>
      </c>
      <c r="H161" s="12">
        <f t="shared" si="22"/>
        <v>0.10354749973530704</v>
      </c>
      <c r="I161" s="12">
        <f t="shared" si="23"/>
        <v>0.13326169008793098</v>
      </c>
      <c r="J161" s="12">
        <f t="shared" si="24"/>
        <v>-7.2076449100260023E-2</v>
      </c>
      <c r="M161" s="123">
        <f>IF($Q$1,  C161, -0.2)</f>
        <v>-0.2</v>
      </c>
    </row>
    <row r="162" spans="2:13" x14ac:dyDescent="0.3">
      <c r="B162" s="12">
        <v>0.12570266824811704</v>
      </c>
      <c r="C162" s="12">
        <f t="shared" si="17"/>
        <v>1.5892682586337019E-2</v>
      </c>
      <c r="D162" s="12">
        <f t="shared" si="18"/>
        <v>8.8630235775796609E-2</v>
      </c>
      <c r="E162" s="12">
        <f t="shared" si="19"/>
        <v>0.10286149940695609</v>
      </c>
      <c r="F162" s="12">
        <f t="shared" si="20"/>
        <v>0.10250101019024754</v>
      </c>
      <c r="G162" s="12">
        <f t="shared" si="21"/>
        <v>0.11663387917496294</v>
      </c>
      <c r="H162" s="12">
        <f t="shared" si="22"/>
        <v>0.10405773098092441</v>
      </c>
      <c r="I162" s="12">
        <f t="shared" si="23"/>
        <v>0.13477145732127116</v>
      </c>
      <c r="J162" s="12">
        <f t="shared" si="24"/>
        <v>-7.2272365808250388E-2</v>
      </c>
      <c r="M162" s="123">
        <f>IF($Q$1,  C162, -0.2)</f>
        <v>-0.2</v>
      </c>
    </row>
    <row r="163" spans="2:13" x14ac:dyDescent="0.3">
      <c r="B163" s="12">
        <v>0.1272349534269176</v>
      </c>
      <c r="C163" s="12">
        <f t="shared" si="17"/>
        <v>1.6049855506497034E-2</v>
      </c>
      <c r="D163" s="12">
        <f t="shared" si="18"/>
        <v>8.8976670697374971E-2</v>
      </c>
      <c r="E163" s="12">
        <f t="shared" si="19"/>
        <v>0.10228689246490588</v>
      </c>
      <c r="F163" s="12">
        <f t="shared" si="20"/>
        <v>0.10193238602284861</v>
      </c>
      <c r="G163" s="12">
        <f t="shared" si="21"/>
        <v>0.11818104677598285</v>
      </c>
      <c r="H163" s="12">
        <f t="shared" si="22"/>
        <v>0.1045646830934345</v>
      </c>
      <c r="I163" s="12">
        <f t="shared" si="23"/>
        <v>0.13628886007785235</v>
      </c>
      <c r="J163" s="12">
        <f t="shared" si="24"/>
        <v>-7.2464972080440421E-2</v>
      </c>
      <c r="M163" s="123">
        <f>IF($Q$1,  C163, -0.2)</f>
        <v>-0.2</v>
      </c>
    </row>
    <row r="164" spans="2:13" x14ac:dyDescent="0.3">
      <c r="B164" s="12">
        <v>0.12877588700334663</v>
      </c>
      <c r="C164" s="12">
        <f t="shared" si="17"/>
        <v>1.6207027599220984E-2</v>
      </c>
      <c r="D164" s="12">
        <f t="shared" si="18"/>
        <v>8.9319737085654452E-2</v>
      </c>
      <c r="E164" s="12">
        <f t="shared" si="19"/>
        <v>0.10170904237374499</v>
      </c>
      <c r="F164" s="12">
        <f t="shared" si="20"/>
        <v>0.10136048576014506</v>
      </c>
      <c r="G164" s="12">
        <f t="shared" si="21"/>
        <v>0.11973788962039845</v>
      </c>
      <c r="H164" s="12">
        <f t="shared" si="22"/>
        <v>0.10506832421566845</v>
      </c>
      <c r="I164" s="12">
        <f t="shared" si="23"/>
        <v>0.1378138843862948</v>
      </c>
      <c r="J164" s="12">
        <f t="shared" si="24"/>
        <v>-7.2654269017226492E-2</v>
      </c>
      <c r="M164" s="123">
        <f>IF($Q$1,  C164, -0.2)</f>
        <v>-0.2</v>
      </c>
    </row>
    <row r="165" spans="2:13" x14ac:dyDescent="0.3">
      <c r="B165" s="12">
        <v>0.13032545370799575</v>
      </c>
      <c r="C165" s="12">
        <f t="shared" si="17"/>
        <v>1.6364182327912806E-2</v>
      </c>
      <c r="D165" s="12">
        <f t="shared" si="18"/>
        <v>8.965942071363818E-2</v>
      </c>
      <c r="E165" s="12">
        <f t="shared" si="19"/>
        <v>0.10112795485950157</v>
      </c>
      <c r="F165" s="12">
        <f t="shared" si="20"/>
        <v>0.10078531430924208</v>
      </c>
      <c r="G165" s="12">
        <f t="shared" si="21"/>
        <v>0.12130439110570949</v>
      </c>
      <c r="H165" s="12">
        <f t="shared" si="22"/>
        <v>0.10556862253259547</v>
      </c>
      <c r="I165" s="12">
        <f t="shared" si="23"/>
        <v>0.139346516310282</v>
      </c>
      <c r="J165" s="12">
        <f t="shared" si="24"/>
        <v>-7.2840257876769843E-2</v>
      </c>
      <c r="M165" s="123">
        <f>IF($Q$1,  C165, -0.2)</f>
        <v>-0.2</v>
      </c>
    </row>
    <row r="166" spans="2:13" x14ac:dyDescent="0.3">
      <c r="B166" s="12">
        <v>0.13188363818590843</v>
      </c>
      <c r="C166" s="12">
        <f t="shared" si="17"/>
        <v>1.6521303098920335E-2</v>
      </c>
      <c r="D166" s="12">
        <f t="shared" si="18"/>
        <v>8.9995707471276734E-2</v>
      </c>
      <c r="E166" s="12">
        <f t="shared" si="19"/>
        <v>0.10054363568028432</v>
      </c>
      <c r="F166" s="12">
        <f t="shared" si="20"/>
        <v>0.10020687661790063</v>
      </c>
      <c r="G166" s="12">
        <f t="shared" si="21"/>
        <v>0.12288053442279677</v>
      </c>
      <c r="H166" s="12">
        <f t="shared" si="22"/>
        <v>0.10606554627449394</v>
      </c>
      <c r="I166" s="12">
        <f t="shared" si="23"/>
        <v>0.14088674194902009</v>
      </c>
      <c r="J166" s="12">
        <f t="shared" si="24"/>
        <v>-7.3022940076653275E-2</v>
      </c>
      <c r="M166" s="123">
        <f>IF($Q$1,  C166, -0.2)</f>
        <v>-0.2</v>
      </c>
    </row>
    <row r="167" spans="2:13" x14ac:dyDescent="0.3">
      <c r="B167" s="12">
        <v>0.13345042499673354</v>
      </c>
      <c r="C167" s="12">
        <f t="shared" si="17"/>
        <v>1.6678373262295876E-2</v>
      </c>
      <c r="D167" s="12">
        <f t="shared" si="18"/>
        <v>9.0328583367653592E-2</v>
      </c>
      <c r="E167" s="12">
        <f t="shared" si="19"/>
        <v>9.9956090626224903E-2</v>
      </c>
      <c r="F167" s="12">
        <f t="shared" si="20"/>
        <v>9.9625177674684179E-2</v>
      </c>
      <c r="G167" s="12">
        <f t="shared" si="21"/>
        <v>0.12446630255578472</v>
      </c>
      <c r="H167" s="12">
        <f t="shared" si="22"/>
        <v>0.10655906372010882</v>
      </c>
      <c r="I167" s="12">
        <f t="shared" si="23"/>
        <v>0.14243454743768236</v>
      </c>
      <c r="J167" s="12">
        <f t="shared" si="24"/>
        <v>-7.3202317195517064E-2</v>
      </c>
      <c r="M167" s="123">
        <f>IF($Q$1,  C167, -0.2)</f>
        <v>-0.2</v>
      </c>
    </row>
    <row r="168" spans="2:13" x14ac:dyDescent="0.3">
      <c r="B168" s="12">
        <v>0.13502579861487751</v>
      </c>
      <c r="C168" s="12">
        <f t="shared" si="17"/>
        <v>1.683537611255935E-2</v>
      </c>
      <c r="D168" s="12">
        <f t="shared" si="18"/>
        <v>9.0658034533147608E-2</v>
      </c>
      <c r="E168" s="12">
        <f t="shared" si="19"/>
        <v>9.9365325519420913E-2</v>
      </c>
      <c r="F168" s="12">
        <f t="shared" si="20"/>
        <v>9.9040222509105713E-2</v>
      </c>
      <c r="G168" s="12">
        <f t="shared" si="21"/>
        <v>0.1260616782819213</v>
      </c>
      <c r="H168" s="12">
        <f t="shared" si="22"/>
        <v>0.10704914319979314</v>
      </c>
      <c r="I168" s="12">
        <f t="shared" si="23"/>
        <v>0.14398991894783372</v>
      </c>
      <c r="J168" s="12">
        <f t="shared" si="24"/>
        <v>-7.337839097467444E-2</v>
      </c>
      <c r="M168" s="123">
        <f>IF($Q$1,  C168, -0.2)</f>
        <v>-0.2</v>
      </c>
    </row>
    <row r="169" spans="2:13" x14ac:dyDescent="0.3">
      <c r="B169" s="12">
        <v>0.13660974342965859</v>
      </c>
      <c r="C169" s="12">
        <f t="shared" si="17"/>
        <v>1.699229488946432E-2</v>
      </c>
      <c r="D169" s="12">
        <f t="shared" si="18"/>
        <v>9.0984047221572883E-2</v>
      </c>
      <c r="E169" s="12">
        <f t="shared" si="19"/>
        <v>9.8771346213878009E-2</v>
      </c>
      <c r="F169" s="12">
        <f t="shared" si="20"/>
        <v>9.8452016191773795E-2</v>
      </c>
      <c r="G169" s="12">
        <f t="shared" si="21"/>
        <v>0.12766664417147885</v>
      </c>
      <c r="H169" s="12">
        <f t="shared" si="22"/>
        <v>0.1075357530986345</v>
      </c>
      <c r="I169" s="12">
        <f t="shared" si="23"/>
        <v>0.14555284268783833</v>
      </c>
      <c r="J169" s="12">
        <f t="shared" si="24"/>
        <v>-7.3551163319705876E-2</v>
      </c>
      <c r="M169" s="123">
        <f>IF($Q$1,  C169, -0.2)</f>
        <v>-0.2</v>
      </c>
    </row>
    <row r="170" spans="2:13" x14ac:dyDescent="0.3">
      <c r="B170" s="12">
        <v>0.13820224374546131</v>
      </c>
      <c r="C170" s="12">
        <f t="shared" si="17"/>
        <v>1.7149112778766708E-2</v>
      </c>
      <c r="D170" s="12">
        <f t="shared" si="18"/>
        <v>9.1306607812294757E-2</v>
      </c>
      <c r="E170" s="12">
        <f t="shared" si="19"/>
        <v>9.8174158595451991E-2</v>
      </c>
      <c r="F170" s="12">
        <f t="shared" si="20"/>
        <v>9.7860563834538311E-2</v>
      </c>
      <c r="G170" s="12">
        <f t="shared" si="21"/>
        <v>0.1292811825876741</v>
      </c>
      <c r="H170" s="12">
        <f t="shared" si="22"/>
        <v>0.10801886185956491</v>
      </c>
      <c r="I170" s="12">
        <f t="shared" si="23"/>
        <v>0.14712330490324851</v>
      </c>
      <c r="J170" s="12">
        <f t="shared" si="24"/>
        <v>-7.3720636302031489E-2</v>
      </c>
      <c r="M170" s="123">
        <f>IF($Q$1,  C170, -0.2)</f>
        <v>-0.2</v>
      </c>
    </row>
    <row r="171" spans="2:13" x14ac:dyDescent="0.3">
      <c r="B171" s="12">
        <v>0.13980328378189188</v>
      </c>
      <c r="C171" s="12">
        <f t="shared" si="17"/>
        <v>1.7305812912996241E-2</v>
      </c>
      <c r="D171" s="12">
        <f t="shared" si="18"/>
        <v>9.1625702812322185E-2</v>
      </c>
      <c r="E171" s="12">
        <f t="shared" si="19"/>
        <v>9.7573768581790524E-2</v>
      </c>
      <c r="F171" s="12">
        <f t="shared" si="20"/>
        <v>9.7265870590635628E-2</v>
      </c>
      <c r="G171" s="12">
        <f t="shared" si="21"/>
        <v>0.13090527568660831</v>
      </c>
      <c r="H171" s="12">
        <f t="shared" si="22"/>
        <v>0.10849843798645409</v>
      </c>
      <c r="I171" s="12">
        <f t="shared" si="23"/>
        <v>0.14870129187717546</v>
      </c>
      <c r="J171" s="12">
        <f t="shared" si="24"/>
        <v>-7.3886812160461612E-2</v>
      </c>
      <c r="M171" s="123">
        <f>IF($Q$1,  C171, -0.2)</f>
        <v>-0.2</v>
      </c>
    </row>
    <row r="172" spans="2:13" x14ac:dyDescent="0.3">
      <c r="B172" s="12">
        <v>0.14141284767393503</v>
      </c>
      <c r="C172" s="12">
        <f t="shared" si="17"/>
        <v>1.7462378372230584E-2</v>
      </c>
      <c r="D172" s="12">
        <f t="shared" si="18"/>
        <v>9.1941318858376225E-2</v>
      </c>
      <c r="E172" s="12">
        <f t="shared" si="19"/>
        <v>9.6970182122274345E-2</v>
      </c>
      <c r="F172" s="12">
        <f t="shared" si="20"/>
        <v>9.666794165483289E-2</v>
      </c>
      <c r="G172" s="12">
        <f t="shared" si="21"/>
        <v>0.13253890541722796</v>
      </c>
      <c r="H172" s="12">
        <f t="shared" si="22"/>
        <v>0.10897445004718632</v>
      </c>
      <c r="I172" s="12">
        <f t="shared" si="23"/>
        <v>0.1502867899306421</v>
      </c>
      <c r="J172" s="12">
        <f t="shared" si="24"/>
        <v>-7.4049693302725164E-2</v>
      </c>
      <c r="M172" s="123">
        <f>IF($Q$1,  C172, -0.2)</f>
        <v>-0.2</v>
      </c>
    </row>
    <row r="173" spans="2:13" x14ac:dyDescent="0.3">
      <c r="B173" s="12">
        <v>0.143030919472111</v>
      </c>
      <c r="C173" s="12">
        <f t="shared" si="17"/>
        <v>1.7618792184872112E-2</v>
      </c>
      <c r="D173" s="12">
        <f t="shared" si="18"/>
        <v>9.2253442718933376E-2</v>
      </c>
      <c r="E173" s="12">
        <f t="shared" si="19"/>
        <v>9.6363405197958357E-2</v>
      </c>
      <c r="F173" s="12">
        <f t="shared" si="20"/>
        <v>9.6066782263571973E-2</v>
      </c>
      <c r="G173" s="12">
        <f t="shared" si="21"/>
        <v>0.13418205352130486</v>
      </c>
      <c r="H173" s="12">
        <f t="shared" si="22"/>
        <v>0.10944686667671902</v>
      </c>
      <c r="I173" s="12">
        <f t="shared" si="23"/>
        <v>0.15187978542291714</v>
      </c>
      <c r="J173" s="12">
        <f t="shared" si="24"/>
        <v>-7.4209282306974794E-2</v>
      </c>
      <c r="M173" s="123">
        <f>IF($Q$1,  C173, -0.2)</f>
        <v>-0.2</v>
      </c>
    </row>
    <row r="174" spans="2:13" x14ac:dyDescent="0.3">
      <c r="B174" s="12">
        <v>0.14465748314263338</v>
      </c>
      <c r="C174" s="12">
        <f t="shared" si="17"/>
        <v>1.7775037328427265E-2</v>
      </c>
      <c r="D174" s="12">
        <f t="shared" si="18"/>
        <v>9.2562061296244239E-2</v>
      </c>
      <c r="E174" s="12">
        <f t="shared" si="19"/>
        <v>9.5753443821512463E-2</v>
      </c>
      <c r="F174" s="12">
        <f t="shared" si="20"/>
        <v>9.546239769511275E-2</v>
      </c>
      <c r="G174" s="12">
        <f t="shared" si="21"/>
        <v>0.13583470153343669</v>
      </c>
      <c r="H174" s="12">
        <f t="shared" si="22"/>
        <v>0.10991565658012373</v>
      </c>
      <c r="I174" s="12">
        <f t="shared" si="23"/>
        <v>0.15348026475183008</v>
      </c>
      <c r="J174" s="12">
        <f t="shared" si="24"/>
        <v>-7.4365581923269197E-2</v>
      </c>
      <c r="M174" s="123">
        <f>IF($Q$1,  C174, -0.2)</f>
        <v>-0.2</v>
      </c>
    </row>
    <row r="175" spans="2:13" x14ac:dyDescent="0.3">
      <c r="B175" s="12">
        <v>0.14629252256756808</v>
      </c>
      <c r="C175" s="12">
        <f t="shared" si="17"/>
        <v>1.7931096730288504E-2</v>
      </c>
      <c r="D175" s="12">
        <f t="shared" si="18"/>
        <v>9.28671616283267E-2</v>
      </c>
      <c r="E175" s="12">
        <f t="shared" si="19"/>
        <v>9.5140304037161949E-2</v>
      </c>
      <c r="F175" s="12">
        <f t="shared" si="20"/>
        <v>9.4854793269675663E-2</v>
      </c>
      <c r="G175" s="12">
        <f t="shared" si="21"/>
        <v>0.13749683078106803</v>
      </c>
      <c r="H175" s="12">
        <f t="shared" si="22"/>
        <v>0.1103807885356085</v>
      </c>
      <c r="I175" s="12">
        <f t="shared" si="23"/>
        <v>0.15508821435406814</v>
      </c>
      <c r="J175" s="12">
        <f t="shared" si="24"/>
        <v>-7.4518595075031488E-2</v>
      </c>
      <c r="M175" s="123">
        <f>IF($Q$1,  C175, -0.2)</f>
        <v>-0.2</v>
      </c>
    </row>
    <row r="176" spans="2:13" x14ac:dyDescent="0.3">
      <c r="B176" s="12">
        <v>0.14793602154499341</v>
      </c>
      <c r="C176" s="12">
        <f t="shared" si="17"/>
        <v>1.8086953268518866E-2</v>
      </c>
      <c r="D176" s="12">
        <f t="shared" si="18"/>
        <v>9.3168730890933624E-2</v>
      </c>
      <c r="E176" s="12">
        <f t="shared" si="19"/>
        <v>9.4523991920627451E-2</v>
      </c>
      <c r="F176" s="12">
        <f t="shared" si="20"/>
        <v>9.4243974349583426E-2</v>
      </c>
      <c r="G176" s="12">
        <f t="shared" si="21"/>
        <v>0.13916842238453198</v>
      </c>
      <c r="H176" s="12">
        <f t="shared" si="22"/>
        <v>0.11084223139752176</v>
      </c>
      <c r="I176" s="12">
        <f t="shared" si="23"/>
        <v>0.15670362070545485</v>
      </c>
      <c r="J176" s="12">
        <f t="shared" si="24"/>
        <v>-7.4668324860484039E-2</v>
      </c>
      <c r="M176" s="123">
        <f>IF($Q$1,  C176, -0.2)</f>
        <v>-0.2</v>
      </c>
    </row>
    <row r="177" spans="2:13" x14ac:dyDescent="0.3">
      <c r="B177" s="12">
        <v>0.14958796378916006</v>
      </c>
      <c r="C177" s="12">
        <f t="shared" si="17"/>
        <v>1.8242589772638929E-2</v>
      </c>
      <c r="D177" s="12">
        <f t="shared" si="18"/>
        <v>9.3466756399493825E-2</v>
      </c>
      <c r="E177" s="12">
        <f t="shared" si="19"/>
        <v>9.3904513579064958E-2</v>
      </c>
      <c r="F177" s="12">
        <f t="shared" si="20"/>
        <v>9.3629946339402262E-2</v>
      </c>
      <c r="G177" s="12">
        <f t="shared" si="21"/>
        <v>0.14084945725711173</v>
      </c>
      <c r="H177" s="12">
        <f t="shared" si="22"/>
        <v>0.1112999540993362</v>
      </c>
      <c r="I177" s="12">
        <f t="shared" si="23"/>
        <v>0.15832647032120839</v>
      </c>
      <c r="J177" s="12">
        <f t="shared" si="24"/>
        <v>-7.4814774554058341E-2</v>
      </c>
      <c r="M177" s="123">
        <f>IF($Q$1,  C177, -0.2)</f>
        <v>-0.2</v>
      </c>
    </row>
    <row r="178" spans="2:13" x14ac:dyDescent="0.3">
      <c r="B178" s="12">
        <v>0.15124833293065298</v>
      </c>
      <c r="C178" s="12">
        <f t="shared" si="17"/>
        <v>1.8397989024416382E-2</v>
      </c>
      <c r="D178" s="12">
        <f t="shared" si="18"/>
        <v>9.3761225611027316E-2</v>
      </c>
      <c r="E178" s="12">
        <f t="shared" si="19"/>
        <v>9.3281875151005111E-2</v>
      </c>
      <c r="F178" s="12">
        <f t="shared" si="20"/>
        <v>9.3012714686082174E-2</v>
      </c>
      <c r="G178" s="12">
        <f t="shared" si="21"/>
        <v>0.14253991610512323</v>
      </c>
      <c r="H178" s="12">
        <f t="shared" si="22"/>
        <v>0.11175392565661346</v>
      </c>
      <c r="I178" s="12">
        <f t="shared" si="23"/>
        <v>0.15995674975618274</v>
      </c>
      <c r="J178" s="12">
        <f t="shared" si="24"/>
        <v>-7.4957947607780684E-2</v>
      </c>
      <c r="M178" s="123">
        <f>IF($Q$1,  C178, -0.2)</f>
        <v>-0.2</v>
      </c>
    </row>
    <row r="179" spans="2:13" x14ac:dyDescent="0.3">
      <c r="B179" s="12">
        <v>0.15291711251655316</v>
      </c>
      <c r="C179" s="12">
        <f t="shared" si="17"/>
        <v>1.8553133758657935E-2</v>
      </c>
      <c r="D179" s="12">
        <f t="shared" si="18"/>
        <v>9.4052126126032934E-2</v>
      </c>
      <c r="E179" s="12">
        <f t="shared" si="19"/>
        <v>9.2656082806292547E-2</v>
      </c>
      <c r="F179" s="12">
        <f t="shared" si="20"/>
        <v>9.2392284879096634E-2</v>
      </c>
      <c r="G179" s="12">
        <f t="shared" si="21"/>
        <v>0.14423977942801808</v>
      </c>
      <c r="H179" s="12">
        <f t="shared" si="22"/>
        <v>0.11220411516994813</v>
      </c>
      <c r="I179" s="12">
        <f t="shared" si="23"/>
        <v>0.16159444560508823</v>
      </c>
      <c r="J179" s="12">
        <f t="shared" si="24"/>
        <v>-7.5097847652632249E-2</v>
      </c>
      <c r="M179" s="123">
        <f>IF($Q$1,  C179, -0.2)</f>
        <v>-0.2</v>
      </c>
    </row>
    <row r="180" spans="2:13" x14ac:dyDescent="0.3">
      <c r="B180" s="12">
        <v>0.15459428601060099</v>
      </c>
      <c r="C180" s="12">
        <f t="shared" si="17"/>
        <v>1.8708006664003737E-2</v>
      </c>
      <c r="D180" s="12">
        <f t="shared" si="18"/>
        <v>9.4339445690349369E-2</v>
      </c>
      <c r="E180" s="12">
        <f t="shared" si="19"/>
        <v>9.2027142746024609E-2</v>
      </c>
      <c r="F180" s="12">
        <f t="shared" si="20"/>
        <v>9.1768662450581281E-2</v>
      </c>
      <c r="G180" s="12">
        <f t="shared" si="21"/>
        <v>0.14594902751850761</v>
      </c>
      <c r="H180" s="12">
        <f t="shared" si="22"/>
        <v>0.11265049182789147</v>
      </c>
      <c r="I180" s="12">
        <f t="shared" si="23"/>
        <v>0.16323954450269437</v>
      </c>
      <c r="J180" s="12">
        <f t="shared" si="24"/>
        <v>-7.5234478499883989E-2</v>
      </c>
      <c r="M180" s="123">
        <f>IF($Q$1,  C180, -0.2)</f>
        <v>-0.2</v>
      </c>
    </row>
    <row r="181" spans="2:13" x14ac:dyDescent="0.3">
      <c r="B181" s="12">
        <v>0.15627983679335988</v>
      </c>
      <c r="C181" s="12">
        <f t="shared" si="17"/>
        <v>1.8862590383724127E-2</v>
      </c>
      <c r="D181" s="12">
        <f t="shared" si="18"/>
        <v>9.462317219698814E-2</v>
      </c>
      <c r="E181" s="12">
        <f t="shared" si="19"/>
        <v>9.1395061202490024E-2</v>
      </c>
      <c r="F181" s="12">
        <f t="shared" si="20"/>
        <v>9.1141852975471865E-2</v>
      </c>
      <c r="G181" s="12">
        <f t="shared" si="21"/>
        <v>0.14766764046270706</v>
      </c>
      <c r="H181" s="12">
        <f t="shared" si="22"/>
        <v>0.11309302490985351</v>
      </c>
      <c r="I181" s="12">
        <f t="shared" si="23"/>
        <v>0.16489203312401271</v>
      </c>
      <c r="J181" s="12">
        <f t="shared" si="24"/>
        <v>-7.5367844142405271E-2</v>
      </c>
      <c r="M181" s="123">
        <f>IF($Q$1,  C181, -0.2)</f>
        <v>-0.2</v>
      </c>
    </row>
    <row r="182" spans="2:13" x14ac:dyDescent="0.3">
      <c r="B182" s="12">
        <v>0.15797374816238119</v>
      </c>
      <c r="C182" s="12">
        <f t="shared" si="17"/>
        <v>1.9016867516518779E-2</v>
      </c>
      <c r="D182" s="12">
        <f t="shared" si="18"/>
        <v>9.4903293687938914E-2</v>
      </c>
      <c r="E182" s="12">
        <f t="shared" si="19"/>
        <v>9.0759844439107035E-2</v>
      </c>
      <c r="F182" s="12">
        <f t="shared" si="20"/>
        <v>9.0511862071641358E-2</v>
      </c>
      <c r="G182" s="12">
        <f t="shared" si="21"/>
        <v>0.14939559814030146</v>
      </c>
      <c r="H182" s="12">
        <f t="shared" si="22"/>
        <v>0.11353168378898412</v>
      </c>
      <c r="I182" s="12">
        <f t="shared" si="23"/>
        <v>0.16655189818446092</v>
      </c>
      <c r="J182" s="12">
        <f t="shared" si="24"/>
        <v>-7.5497948755946565E-2</v>
      </c>
      <c r="M182" s="123">
        <f>IF($Q$1,  C182, -0.2)</f>
        <v>-0.2</v>
      </c>
    </row>
    <row r="183" spans="2:13" x14ac:dyDescent="0.3">
      <c r="B183" s="12">
        <v>0.15967600333236964</v>
      </c>
      <c r="C183" s="12">
        <f t="shared" si="17"/>
        <v>1.9170820617318143E-2</v>
      </c>
      <c r="D183" s="12">
        <f t="shared" si="18"/>
        <v>9.5179798355946491E-2</v>
      </c>
      <c r="E183" s="12">
        <f t="shared" si="19"/>
        <v>9.0121498750361365E-2</v>
      </c>
      <c r="F183" s="12">
        <f t="shared" si="20"/>
        <v>8.9878695400036041E-2</v>
      </c>
      <c r="G183" s="12">
        <f t="shared" si="21"/>
        <v>0.15113288022473159</v>
      </c>
      <c r="H183" s="12">
        <f t="shared" si="22"/>
        <v>0.11396643793503161</v>
      </c>
      <c r="I183" s="12">
        <f t="shared" si="23"/>
        <v>0.16821912644000769</v>
      </c>
      <c r="J183" s="12">
        <f t="shared" si="24"/>
        <v>-7.5624796700395319E-2</v>
      </c>
      <c r="M183" s="123">
        <f>IF($Q$1,  C183, -0.2)</f>
        <v>-0.2</v>
      </c>
    </row>
    <row r="184" spans="2:13" x14ac:dyDescent="0.3">
      <c r="B184" s="12">
        <v>0.16138658543534967</v>
      </c>
      <c r="C184" s="12">
        <f t="shared" si="17"/>
        <v>1.9324432198087178E-2</v>
      </c>
      <c r="D184" s="12">
        <f t="shared" si="18"/>
        <v>9.5452674546259081E-2</v>
      </c>
      <c r="E184" s="12">
        <f t="shared" si="19"/>
        <v>8.9480030461743854E-2</v>
      </c>
      <c r="F184" s="12">
        <f t="shared" si="20"/>
        <v>8.9242358664810909E-2</v>
      </c>
      <c r="G184" s="12">
        <f t="shared" si="21"/>
        <v>0.15287946618340129</v>
      </c>
      <c r="H184" s="12">
        <f t="shared" si="22"/>
        <v>0.11439725691717914</v>
      </c>
      <c r="I184" s="12">
        <f t="shared" si="23"/>
        <v>0.16989370468729806</v>
      </c>
      <c r="J184" s="12">
        <f t="shared" si="24"/>
        <v>-7.5748392521004793E-2</v>
      </c>
      <c r="M184" s="123">
        <f>IF($Q$1,  C184, -0.2)</f>
        <v>-0.2</v>
      </c>
    </row>
    <row r="185" spans="2:13" x14ac:dyDescent="0.3">
      <c r="B185" s="12">
        <v>0.16310547752083215</v>
      </c>
      <c r="C185" s="12">
        <f t="shared" si="17"/>
        <v>1.9477684728631317E-2</v>
      </c>
      <c r="D185" s="12">
        <f t="shared" si="18"/>
        <v>9.5721910758347642E-2</v>
      </c>
      <c r="E185" s="12">
        <f t="shared" si="19"/>
        <v>8.8835445929687923E-2</v>
      </c>
      <c r="F185" s="12">
        <f t="shared" si="20"/>
        <v>8.8602857613464078E-2</v>
      </c>
      <c r="G185" s="12">
        <f t="shared" si="21"/>
        <v>0.15463533527790502</v>
      </c>
      <c r="H185" s="12">
        <f t="shared" si="22"/>
        <v>0.11482411040685825</v>
      </c>
      <c r="I185" s="12">
        <f t="shared" si="23"/>
        <v>0.17157561976375929</v>
      </c>
      <c r="J185" s="12">
        <f t="shared" si="24"/>
        <v>-7.5868740949595614E-2</v>
      </c>
      <c r="M185" s="123">
        <f>IF($Q$1,  C185, -0.2)</f>
        <v>-0.2</v>
      </c>
    </row>
    <row r="186" spans="2:13" x14ac:dyDescent="0.3">
      <c r="B186" s="12">
        <v>0.16483266255598328</v>
      </c>
      <c r="C186" s="12">
        <f t="shared" si="17"/>
        <v>1.9630560637404738E-2</v>
      </c>
      <c r="D186" s="12">
        <f t="shared" si="18"/>
        <v>9.5987495647596136E-2</v>
      </c>
      <c r="E186" s="12">
        <f t="shared" si="19"/>
        <v>8.8187751541506251E-2</v>
      </c>
      <c r="F186" s="12">
        <f t="shared" si="20"/>
        <v>8.7960198036969847E-2</v>
      </c>
      <c r="G186" s="12">
        <f t="shared" si="21"/>
        <v>0.15640046656427795</v>
      </c>
      <c r="H186" s="12">
        <f t="shared" si="22"/>
        <v>0.11524696818053906</v>
      </c>
      <c r="I186" s="12">
        <f t="shared" si="23"/>
        <v>0.17326485854768861</v>
      </c>
      <c r="J186" s="12">
        <f t="shared" si="24"/>
        <v>-7.5985846905729598E-2</v>
      </c>
      <c r="M186" s="123">
        <f>IF($Q$1,  C186, -0.2)</f>
        <v>-0.2</v>
      </c>
    </row>
    <row r="187" spans="2:13" x14ac:dyDescent="0.3">
      <c r="B187" s="12">
        <v>0.1665681234257923</v>
      </c>
      <c r="C187" s="12">
        <f t="shared" si="17"/>
        <v>1.9783042312320722E-2</v>
      </c>
      <c r="D187" s="12">
        <f t="shared" si="18"/>
        <v>9.6249418026961756E-2</v>
      </c>
      <c r="E187" s="12">
        <f t="shared" si="19"/>
        <v>8.7536953715327867E-2</v>
      </c>
      <c r="F187" s="12">
        <f t="shared" si="20"/>
        <v>8.7314385769911448E-2</v>
      </c>
      <c r="G187" s="12">
        <f t="shared" si="21"/>
        <v>0.15817483889326495</v>
      </c>
      <c r="H187" s="12">
        <f t="shared" si="22"/>
        <v>0.11566580012249673</v>
      </c>
      <c r="I187" s="12">
        <f t="shared" si="23"/>
        <v>0.17496140795831966</v>
      </c>
      <c r="J187" s="12">
        <f t="shared" si="24"/>
        <v>-7.6099715497855283E-2</v>
      </c>
      <c r="M187" s="123">
        <f>IF($Q$1,  C187, -0.2)</f>
        <v>-0.2</v>
      </c>
    </row>
    <row r="188" spans="2:13" x14ac:dyDescent="0.3">
      <c r="B188" s="12">
        <v>0.16831184293324197</v>
      </c>
      <c r="C188" s="12">
        <f t="shared" si="17"/>
        <v>1.9935112101564231E-2</v>
      </c>
      <c r="D188" s="12">
        <f t="shared" si="18"/>
        <v>9.6507666868605568E-2</v>
      </c>
      <c r="E188" s="12">
        <f t="shared" si="19"/>
        <v>8.6883058900034241E-2</v>
      </c>
      <c r="F188" s="12">
        <f t="shared" si="20"/>
        <v>8.6665426690612113E-2</v>
      </c>
      <c r="G188" s="12">
        <f t="shared" si="21"/>
        <v>0.15995843091061249</v>
      </c>
      <c r="H188" s="12">
        <f t="shared" si="22"/>
        <v>0.11608057622755376</v>
      </c>
      <c r="I188" s="12">
        <f t="shared" si="23"/>
        <v>0.17666525495587146</v>
      </c>
      <c r="J188" s="12">
        <f t="shared" si="24"/>
        <v>-7.621035202442529E-2</v>
      </c>
      <c r="M188" s="123">
        <f>IF($Q$1,  C188, -0.2)</f>
        <v>-0.2</v>
      </c>
    </row>
    <row r="189" spans="2:13" x14ac:dyDescent="0.3">
      <c r="B189" s="12">
        <v>0.17006380379947839</v>
      </c>
      <c r="C189" s="12">
        <f t="shared" si="17"/>
        <v>2.0086752314406601E-2</v>
      </c>
      <c r="D189" s="12">
        <f t="shared" si="18"/>
        <v>9.6762231305492899E-2</v>
      </c>
      <c r="E189" s="12">
        <f t="shared" si="19"/>
        <v>8.6226073575195586E-2</v>
      </c>
      <c r="F189" s="12">
        <f t="shared" si="20"/>
        <v>8.6013326721265576E-2</v>
      </c>
      <c r="G189" s="12">
        <f t="shared" si="21"/>
        <v>0.16175122105738032</v>
      </c>
      <c r="H189" s="12">
        <f t="shared" si="22"/>
        <v>0.11649126660379806</v>
      </c>
      <c r="I189" s="12">
        <f t="shared" si="23"/>
        <v>0.17837638654157645</v>
      </c>
      <c r="J189" s="12">
        <f t="shared" si="24"/>
        <v>-7.6317761974984868E-2</v>
      </c>
      <c r="M189" s="123">
        <f>IF($Q$1,  C189, -0.2)</f>
        <v>-0.2</v>
      </c>
    </row>
    <row r="190" spans="2:13" x14ac:dyDescent="0.3">
      <c r="B190" s="12">
        <v>0.17182398866398252</v>
      </c>
      <c r="C190" s="12">
        <f t="shared" si="17"/>
        <v>2.02379452220223E-2</v>
      </c>
      <c r="D190" s="12">
        <f t="shared" si="18"/>
        <v>9.7013100632962826E-2</v>
      </c>
      <c r="E190" s="12">
        <f t="shared" si="19"/>
        <v>8.5566004251006536E-2</v>
      </c>
      <c r="F190" s="12">
        <f t="shared" si="20"/>
        <v>8.5358091828065169E-2</v>
      </c>
      <c r="G190" s="12">
        <f t="shared" si="21"/>
        <v>0.16355318757027479</v>
      </c>
      <c r="H190" s="12">
        <f t="shared" si="22"/>
        <v>0.11689784147527563</v>
      </c>
      <c r="I190" s="12">
        <f t="shared" si="23"/>
        <v>0.18009478975769025</v>
      </c>
      <c r="J190" s="12">
        <f t="shared" si="24"/>
        <v>-7.6421951031231034E-2</v>
      </c>
      <c r="M190" s="123">
        <f>IF($Q$1,  C190, -0.2)</f>
        <v>-0.2</v>
      </c>
    </row>
    <row r="191" spans="2:13" x14ac:dyDescent="0.3">
      <c r="B191" s="12">
        <v>0.1735923800847422</v>
      </c>
      <c r="C191" s="12">
        <f t="shared" si="17"/>
        <v>2.0388673058307775E-2</v>
      </c>
      <c r="D191" s="12">
        <f t="shared" si="18"/>
        <v>9.726026431026713E-2</v>
      </c>
      <c r="E191" s="12">
        <f t="shared" si="19"/>
        <v>8.4902857468221654E-2</v>
      </c>
      <c r="F191" s="12">
        <f t="shared" si="20"/>
        <v>8.4699728021331994E-2</v>
      </c>
      <c r="G191" s="12">
        <f t="shared" si="21"/>
        <v>0.16536430848200312</v>
      </c>
      <c r="H191" s="12">
        <f t="shared" si="22"/>
        <v>0.11730027118465806</v>
      </c>
      <c r="I191" s="12">
        <f t="shared" si="23"/>
        <v>0.18182045168748129</v>
      </c>
      <c r="J191" s="12">
        <f t="shared" si="24"/>
        <v>-7.6522925068042522E-2</v>
      </c>
      <c r="M191" s="123">
        <f>IF($Q$1,  C191, -0.2)</f>
        <v>-0.2</v>
      </c>
    </row>
    <row r="192" spans="2:13" x14ac:dyDescent="0.3">
      <c r="B192" s="12">
        <v>0.17536896053842488</v>
      </c>
      <c r="C192" s="12">
        <f t="shared" si="17"/>
        <v>2.0538918020702297E-2</v>
      </c>
      <c r="D192" s="12">
        <f t="shared" si="18"/>
        <v>9.7503711962078091E-2</v>
      </c>
      <c r="E192" s="12">
        <f t="shared" si="19"/>
        <v>8.4236639798090651E-2</v>
      </c>
      <c r="F192" s="12">
        <f t="shared" si="20"/>
        <v>8.4038241355641918E-2</v>
      </c>
      <c r="G192" s="12">
        <f t="shared" si="21"/>
        <v>0.16718456162164841</v>
      </c>
      <c r="H192" s="12">
        <f t="shared" si="22"/>
        <v>0.11769852619588464</v>
      </c>
      <c r="I192" s="12">
        <f t="shared" si="23"/>
        <v>0.18355335945520135</v>
      </c>
      <c r="J192" s="12">
        <f t="shared" si="24"/>
        <v>-7.6620690154480031E-2</v>
      </c>
      <c r="M192" s="123">
        <f>IF($Q$1,  C192, -0.2)</f>
        <v>-0.2</v>
      </c>
    </row>
    <row r="193" spans="2:13" x14ac:dyDescent="0.3">
      <c r="B193" s="12">
        <v>0.17715371242055111</v>
      </c>
      <c r="C193" s="12">
        <f t="shared" si="17"/>
        <v>2.068866227101079E-2</v>
      </c>
      <c r="D193" s="12">
        <f t="shared" si="18"/>
        <v>9.7743433379964315E-2</v>
      </c>
      <c r="E193" s="12">
        <f t="shared" si="19"/>
        <v>8.3567357842293313E-2</v>
      </c>
      <c r="F193" s="12">
        <f t="shared" si="20"/>
        <v>8.3373637929951491E-2</v>
      </c>
      <c r="G193" s="12">
        <f t="shared" si="21"/>
        <v>0.16901392461506601</v>
      </c>
      <c r="H193" s="12">
        <f t="shared" si="22"/>
        <v>0.11809257709677741</v>
      </c>
      <c r="I193" s="12">
        <f t="shared" si="23"/>
        <v>0.18529350022603622</v>
      </c>
      <c r="J193" s="12">
        <f t="shared" si="24"/>
        <v>-7.6715252554755822E-2</v>
      </c>
      <c r="M193" s="123">
        <f>IF($Q$1,  C193, -0.2)</f>
        <v>-0.2</v>
      </c>
    </row>
    <row r="194" spans="2:13" x14ac:dyDescent="0.3">
      <c r="B194" s="12">
        <v>0.17894661804566958</v>
      </c>
      <c r="C194" s="12">
        <f t="shared" ref="C194:C257" si="25">IF($A$1=0, 0, IF(B194&lt;=$A$2, ($A$1/$A$2^2)*(2*$A$2*B194-B194^2), ($A$1/(1-$A$2)^2)*((1-2*$A$2)+2*$A$2*B194-B194^2)))</f>
        <v>2.0837887936228663E-2</v>
      </c>
      <c r="D194" s="12">
        <f t="shared" ref="D194:D257" si="26">5*$A$3*(0.2969*SQRT(B194)-0.126*B194-0.3516*B194^2+0.2843*B194^3-0.1015*B194^4)</f>
        <v>9.7979418523835668E-2</v>
      </c>
      <c r="E194" s="12">
        <f t="shared" ref="E194:E257" si="27">IF($A$1=0, 0, IF(B194&lt;=$A$2, ($A$1/$A$2^2) *(2*$A$2-2*B194), ($A$1/(1-$A$2)^2)*(2*$A$2-2*B194)))</f>
        <v>8.2895018232873888E-2</v>
      </c>
      <c r="F194" s="12">
        <f t="shared" ref="F194:F257" si="28">IF($A$1=0, 0,  ATAN(E194))</f>
        <v>8.2705923887722382E-2</v>
      </c>
      <c r="G194" s="12">
        <f t="shared" ref="G194:G257" si="29">B194-D194*SIN(F194)</f>
        <v>0.17085237488530108</v>
      </c>
      <c r="H194" s="12">
        <f t="shared" ref="H194:H257" si="30">C194+D194*COS(F194)</f>
        <v>0.11848239460163089</v>
      </c>
      <c r="I194" s="12">
        <f t="shared" ref="I194:I257" si="31">B194+D194*SIN(F194)</f>
        <v>0.18704086120603808</v>
      </c>
      <c r="J194" s="12">
        <f t="shared" ref="J194:J257" si="32">C194-D194*COS(F194)</f>
        <v>-7.6806618729173562E-2</v>
      </c>
      <c r="M194" s="123">
        <f>IF($Q$1,  C194, -0.2)</f>
        <v>-0.2</v>
      </c>
    </row>
    <row r="195" spans="2:13" x14ac:dyDescent="0.3">
      <c r="B195" s="12">
        <v>0.18074765964753159</v>
      </c>
      <c r="C195" s="12">
        <f t="shared" si="25"/>
        <v>2.09865771093685E-2</v>
      </c>
      <c r="D195" s="12">
        <f t="shared" si="26"/>
        <v>9.8211657523355353E-2</v>
      </c>
      <c r="E195" s="12">
        <f t="shared" si="27"/>
        <v>8.2219627632175635E-2</v>
      </c>
      <c r="F195" s="12">
        <f t="shared" si="28"/>
        <v>8.203510541704509E-2</v>
      </c>
      <c r="G195" s="12">
        <f t="shared" si="29"/>
        <v>0.1726998896530263</v>
      </c>
      <c r="H195" s="12">
        <f t="shared" si="30"/>
        <v>0.11886794955377378</v>
      </c>
      <c r="I195" s="12">
        <f t="shared" si="31"/>
        <v>0.18879542964203688</v>
      </c>
      <c r="J195" s="12">
        <f t="shared" si="32"/>
        <v>-7.6894795335036792E-2</v>
      </c>
      <c r="M195" s="123">
        <f>IF($Q$1,  C195, -0.2)</f>
        <v>-0.2</v>
      </c>
    </row>
    <row r="196" spans="2:13" x14ac:dyDescent="0.3">
      <c r="B196" s="12">
        <v>0.1825568193792676</v>
      </c>
      <c r="C196" s="12">
        <f t="shared" si="25"/>
        <v>2.1134711850288659E-2</v>
      </c>
      <c r="D196" s="12">
        <f t="shared" si="26"/>
        <v>9.8440140679320096E-2</v>
      </c>
      <c r="E196" s="12">
        <f t="shared" si="27"/>
        <v>8.1541192732774631E-2</v>
      </c>
      <c r="F196" s="12">
        <f t="shared" si="28"/>
        <v>8.1361188750760954E-2</v>
      </c>
      <c r="G196" s="12">
        <f t="shared" si="29"/>
        <v>0.17455644593700143</v>
      </c>
      <c r="H196" s="12">
        <f t="shared" si="30"/>
        <v>0.11924921292810393</v>
      </c>
      <c r="I196" s="12">
        <f t="shared" si="31"/>
        <v>0.19055719282153377</v>
      </c>
      <c r="J196" s="12">
        <f t="shared" si="32"/>
        <v>-7.6979789227526615E-2</v>
      </c>
      <c r="M196" s="123">
        <f>IF($Q$1,  C196, -0.2)</f>
        <v>-0.2</v>
      </c>
    </row>
    <row r="197" spans="2:13" x14ac:dyDescent="0.3">
      <c r="B197" s="12">
        <v>0.18437407931356398</v>
      </c>
      <c r="C197" s="12">
        <f t="shared" si="25"/>
        <v>2.1282274186523769E-2</v>
      </c>
      <c r="D197" s="12">
        <f t="shared" si="26"/>
        <v>9.8664858465007749E-2</v>
      </c>
      <c r="E197" s="12">
        <f t="shared" si="27"/>
        <v>8.0859720257413489E-2</v>
      </c>
      <c r="F197" s="12">
        <f t="shared" si="28"/>
        <v>8.0684180166583117E-2</v>
      </c>
      <c r="G197" s="12">
        <f t="shared" si="29"/>
        <v>0.17642202055455358</v>
      </c>
      <c r="H197" s="12">
        <f t="shared" si="30"/>
        <v>0.11962615583359552</v>
      </c>
      <c r="I197" s="12">
        <f t="shared" si="31"/>
        <v>0.19232613807257437</v>
      </c>
      <c r="J197" s="12">
        <f t="shared" si="32"/>
        <v>-7.7061607460547979E-2</v>
      </c>
      <c r="M197" s="123">
        <f>IF($Q$1,  C197, -0.2)</f>
        <v>-0.2</v>
      </c>
    </row>
    <row r="198" spans="2:13" x14ac:dyDescent="0.3">
      <c r="B198" s="12">
        <v>0.18619942144284063</v>
      </c>
      <c r="C198" s="12">
        <f t="shared" si="25"/>
        <v>2.1429246114116982E-2</v>
      </c>
      <c r="D198" s="12">
        <f t="shared" si="26"/>
        <v>9.8885801527491934E-2</v>
      </c>
      <c r="E198" s="12">
        <f t="shared" si="27"/>
        <v>8.0175216958934745E-2</v>
      </c>
      <c r="F198" s="12">
        <f t="shared" si="28"/>
        <v>8.0004085987216214E-2</v>
      </c>
      <c r="G198" s="12">
        <f t="shared" si="29"/>
        <v>0.17829659012207799</v>
      </c>
      <c r="H198" s="12">
        <f t="shared" si="30"/>
        <v>0.11999874951577819</v>
      </c>
      <c r="I198" s="12">
        <f t="shared" si="31"/>
        <v>0.19410225276360327</v>
      </c>
      <c r="J198" s="12">
        <f t="shared" si="32"/>
        <v>-7.7140257287544228E-2</v>
      </c>
      <c r="M198" s="123">
        <f>IF($Q$1,  C198, -0.2)</f>
        <v>-0.2</v>
      </c>
    </row>
    <row r="199" spans="2:13" x14ac:dyDescent="0.3">
      <c r="B199" s="12">
        <v>0.18803282767942942</v>
      </c>
      <c r="C199" s="12">
        <f t="shared" si="25"/>
        <v>2.1575609598454035E-2</v>
      </c>
      <c r="D199" s="12">
        <f t="shared" si="26"/>
        <v>9.910296068892345E-2</v>
      </c>
      <c r="E199" s="12">
        <f t="shared" si="27"/>
        <v>7.948768962021395E-2</v>
      </c>
      <c r="F199" s="12">
        <f t="shared" si="28"/>
        <v>7.9320912580474606E-2</v>
      </c>
      <c r="G199" s="12">
        <f t="shared" si="29"/>
        <v>0.18018013105556011</v>
      </c>
      <c r="H199" s="12">
        <f t="shared" si="30"/>
        <v>0.12036696535918735</v>
      </c>
      <c r="I199" s="12">
        <f t="shared" si="31"/>
        <v>0.19588552430329872</v>
      </c>
      <c r="J199" s="12">
        <f t="shared" si="32"/>
        <v>-7.7215746162279289E-2</v>
      </c>
      <c r="M199" s="123">
        <f>IF($Q$1,  C199, -0.2)</f>
        <v>-0.2</v>
      </c>
    </row>
    <row r="200" spans="2:13" x14ac:dyDescent="0.3">
      <c r="B200" s="12">
        <v>0.18987427985575323</v>
      </c>
      <c r="C200" s="12">
        <f t="shared" si="25"/>
        <v>2.1721346575099061E-2</v>
      </c>
      <c r="D200" s="12">
        <f t="shared" si="26"/>
        <v>9.9316326947778713E-2</v>
      </c>
      <c r="E200" s="12">
        <f t="shared" si="27"/>
        <v>7.8797145054092521E-2</v>
      </c>
      <c r="F200" s="12">
        <f t="shared" si="28"/>
        <v>7.863466635939946E-2</v>
      </c>
      <c r="G200" s="12">
        <f t="shared" si="29"/>
        <v>0.18207261957111803</v>
      </c>
      <c r="H200" s="12">
        <f t="shared" si="30"/>
        <v>0.12073077488978645</v>
      </c>
      <c r="I200" s="12">
        <f t="shared" si="31"/>
        <v>0.19767594014038842</v>
      </c>
      <c r="J200" s="12">
        <f t="shared" si="32"/>
        <v>-7.7288081739588343E-2</v>
      </c>
      <c r="M200" s="123">
        <f>IF($Q$1,  C200, -0.2)</f>
        <v>-0.2</v>
      </c>
    </row>
    <row r="201" spans="2:13" x14ac:dyDescent="0.3">
      <c r="B201" s="12">
        <v>0.19172375972450661</v>
      </c>
      <c r="C201" s="12">
        <f t="shared" si="25"/>
        <v>2.1866438950632176E-2</v>
      </c>
      <c r="D201" s="12">
        <f t="shared" si="26"/>
        <v>9.9525891480074166E-2</v>
      </c>
      <c r="E201" s="12">
        <f t="shared" si="27"/>
        <v>7.810359010331E-2</v>
      </c>
      <c r="F201" s="12">
        <f t="shared" si="28"/>
        <v>7.7945353782374105E-2</v>
      </c>
      <c r="G201" s="12">
        <f t="shared" si="29"/>
        <v>0.18397403168556656</v>
      </c>
      <c r="H201" s="12">
        <f t="shared" si="30"/>
        <v>0.1210901497773593</v>
      </c>
      <c r="I201" s="12">
        <f t="shared" si="31"/>
        <v>0.19947348776344667</v>
      </c>
      <c r="J201" s="12">
        <f t="shared" si="32"/>
        <v>-7.7357271876094952E-2</v>
      </c>
      <c r="M201" s="123">
        <f>IF($Q$1,  C201, -0.2)</f>
        <v>-0.2</v>
      </c>
    </row>
    <row r="202" spans="2:13" x14ac:dyDescent="0.3">
      <c r="B202" s="12">
        <v>0.19358124895883555</v>
      </c>
      <c r="C202" s="12">
        <f t="shared" si="25"/>
        <v>2.2010868603488578E-2</v>
      </c>
      <c r="D202" s="12">
        <f t="shared" si="26"/>
        <v>9.9731645640547081E-2</v>
      </c>
      <c r="E202" s="12">
        <f t="shared" si="27"/>
        <v>7.7407031640436649E-2</v>
      </c>
      <c r="F202" s="12">
        <f t="shared" si="28"/>
        <v>7.7252981353238548E-2</v>
      </c>
      <c r="G202" s="12">
        <f t="shared" si="29"/>
        <v>0.18588434321700023</v>
      </c>
      <c r="H202" s="12">
        <f t="shared" si="30"/>
        <v>0.12144506183787329</v>
      </c>
      <c r="I202" s="12">
        <f t="shared" si="31"/>
        <v>0.20127815470067087</v>
      </c>
      <c r="J202" s="12">
        <f t="shared" si="32"/>
        <v>-7.7423324630896129E-2</v>
      </c>
      <c r="M202" s="123">
        <f>IF($Q$1,  C202, -0.2)</f>
        <v>-0.2</v>
      </c>
    </row>
    <row r="203" spans="2:13" x14ac:dyDescent="0.3">
      <c r="B203" s="12">
        <v>0.19544672915252015</v>
      </c>
      <c r="C203" s="12">
        <f t="shared" si="25"/>
        <v>2.2154617384799537E-2</v>
      </c>
      <c r="D203" s="12">
        <f t="shared" si="26"/>
        <v>9.9933580963802116E-2</v>
      </c>
      <c r="E203" s="12">
        <f t="shared" si="27"/>
        <v>7.6707476567804925E-2</v>
      </c>
      <c r="F203" s="12">
        <f t="shared" si="28"/>
        <v>7.6557555621401846E-2</v>
      </c>
      <c r="G203" s="12">
        <f t="shared" si="29"/>
        <v>0.18780352978539927</v>
      </c>
      <c r="H203" s="12">
        <f t="shared" si="30"/>
        <v>0.1217954830358126</v>
      </c>
      <c r="I203" s="12">
        <f t="shared" si="31"/>
        <v>0.20308992851964103</v>
      </c>
      <c r="J203" s="12">
        <f t="shared" si="32"/>
        <v>-7.7486248266213517E-2</v>
      </c>
      <c r="M203" s="123">
        <f>IF($Q$1,  C203, -0.2)</f>
        <v>-0.2</v>
      </c>
    </row>
    <row r="204" spans="2:13" x14ac:dyDescent="0.3">
      <c r="B204" s="12">
        <v>0.19732018182015654</v>
      </c>
      <c r="C204" s="12">
        <f t="shared" si="25"/>
        <v>2.2297667119234799E-2</v>
      </c>
      <c r="D204" s="12">
        <f t="shared" si="26"/>
        <v>0.10013168916542381</v>
      </c>
      <c r="E204" s="12">
        <f t="shared" si="27"/>
        <v>7.6004931817441279E-2</v>
      </c>
      <c r="F204" s="12">
        <f t="shared" si="28"/>
        <v>7.5859083181953571E-2</v>
      </c>
      <c r="G204" s="12">
        <f t="shared" si="29"/>
        <v>0.18973156681325415</v>
      </c>
      <c r="H204" s="12">
        <f t="shared" si="30"/>
        <v>0.12214138548648146</v>
      </c>
      <c r="I204" s="12">
        <f t="shared" si="31"/>
        <v>0.20490879682705893</v>
      </c>
      <c r="J204" s="12">
        <f t="shared" si="32"/>
        <v>-7.7546051248011866E-2</v>
      </c>
      <c r="M204" s="123">
        <f>IF($Q$1,  C204, -0.2)</f>
        <v>-0.2</v>
      </c>
    </row>
    <row r="205" spans="2:13" x14ac:dyDescent="0.3">
      <c r="B205" s="12">
        <v>0.1992015883973397</v>
      </c>
      <c r="C205" s="12">
        <f t="shared" si="25"/>
        <v>2.2439999605846608E-2</v>
      </c>
      <c r="D205" s="12">
        <f t="shared" si="26"/>
        <v>0.10032596214305414</v>
      </c>
      <c r="E205" s="12">
        <f t="shared" si="27"/>
        <v>7.5299404350997592E-2</v>
      </c>
      <c r="F205" s="12">
        <f t="shared" si="28"/>
        <v>7.5157570675773666E-2</v>
      </c>
      <c r="G205" s="12">
        <f t="shared" si="29"/>
        <v>0.19166842952621113</v>
      </c>
      <c r="H205" s="12">
        <f t="shared" si="30"/>
        <v>0.12248274145827621</v>
      </c>
      <c r="I205" s="12">
        <f t="shared" si="31"/>
        <v>0.20673474726846827</v>
      </c>
      <c r="J205" s="12">
        <f t="shared" si="32"/>
        <v>-7.7602742246582992E-2</v>
      </c>
      <c r="M205" s="123">
        <f>IF($Q$1,  C205, -0.2)</f>
        <v>-0.2</v>
      </c>
    </row>
    <row r="206" spans="2:13" x14ac:dyDescent="0.3">
      <c r="B206" s="12">
        <v>0.20109093024084834</v>
      </c>
      <c r="C206" s="12">
        <f t="shared" si="25"/>
        <v>2.2581596618915425E-2</v>
      </c>
      <c r="D206" s="12">
        <f t="shared" si="26"/>
        <v>0.10051639197743575</v>
      </c>
      <c r="E206" s="12">
        <f t="shared" si="27"/>
        <v>7.4590901159681852E-2</v>
      </c>
      <c r="F206" s="12">
        <f t="shared" si="28"/>
        <v>7.4453024789640443E-2</v>
      </c>
      <c r="G206" s="12">
        <f t="shared" si="29"/>
        <v>0.19361409295373924</v>
      </c>
      <c r="H206" s="12">
        <f t="shared" si="30"/>
        <v>0.12281952337492733</v>
      </c>
      <c r="I206" s="12">
        <f t="shared" si="31"/>
        <v>0.20856776752795744</v>
      </c>
      <c r="J206" s="12">
        <f t="shared" si="32"/>
        <v>-7.7656330137096469E-2</v>
      </c>
      <c r="M206" s="123">
        <f>IF($Q$1,  C206, -0.2)</f>
        <v>-0.2</v>
      </c>
    </row>
    <row r="207" spans="2:13" x14ac:dyDescent="0.3">
      <c r="B207" s="12">
        <v>0.20298818862882839</v>
      </c>
      <c r="C207" s="12">
        <f t="shared" si="25"/>
        <v>2.2722439908796851E-2</v>
      </c>
      <c r="D207" s="12">
        <f t="shared" si="26"/>
        <v>0.10070297093341964</v>
      </c>
      <c r="E207" s="12">
        <f t="shared" si="27"/>
        <v>7.3879429264189334E-2</v>
      </c>
      <c r="F207" s="12">
        <f t="shared" si="28"/>
        <v>7.3745452256337746E-2</v>
      </c>
      <c r="G207" s="12">
        <f t="shared" si="29"/>
        <v>0.1955685319298153</v>
      </c>
      <c r="H207" s="12">
        <f t="shared" si="30"/>
        <v>0.12315170381770912</v>
      </c>
      <c r="I207" s="12">
        <f t="shared" si="31"/>
        <v>0.21040784532784149</v>
      </c>
      <c r="J207" s="12">
        <f t="shared" si="32"/>
        <v>-7.7706824000115415E-2</v>
      </c>
      <c r="M207" s="123">
        <f>IF($Q$1,  C207, -0.2)</f>
        <v>-0.2</v>
      </c>
    </row>
    <row r="208" spans="2:13" x14ac:dyDescent="0.3">
      <c r="B208" s="12">
        <v>0.20489334476097976</v>
      </c>
      <c r="C208" s="12">
        <f t="shared" si="25"/>
        <v>2.2862511202770389E-2</v>
      </c>
      <c r="D208" s="12">
        <f t="shared" si="26"/>
        <v>0.10088569146093852</v>
      </c>
      <c r="E208" s="12">
        <f t="shared" si="27"/>
        <v>7.3164995714632572E-2</v>
      </c>
      <c r="F208" s="12">
        <f t="shared" si="28"/>
        <v>7.3034859854759632E-2</v>
      </c>
      <c r="G208" s="12">
        <f t="shared" si="29"/>
        <v>0.1975317210936319</v>
      </c>
      <c r="H208" s="12">
        <f t="shared" si="30"/>
        <v>0.12347925552761936</v>
      </c>
      <c r="I208" s="12">
        <f t="shared" si="31"/>
        <v>0.21225496842832761</v>
      </c>
      <c r="J208" s="12">
        <f t="shared" si="32"/>
        <v>-7.7754233122078589E-2</v>
      </c>
      <c r="M208" s="123">
        <f>IF($Q$1,  C208, -0.2)</f>
        <v>-0.2</v>
      </c>
    </row>
    <row r="209" spans="2:13" x14ac:dyDescent="0.3">
      <c r="B209" s="12">
        <v>0.20680637975874194</v>
      </c>
      <c r="C209" s="12">
        <f t="shared" si="25"/>
        <v>2.3001792205889351E-2</v>
      </c>
      <c r="D209" s="12">
        <f t="shared" si="26"/>
        <v>0.10106454619594388</v>
      </c>
      <c r="E209" s="12">
        <f t="shared" si="27"/>
        <v>7.2447607590471752E-2</v>
      </c>
      <c r="F209" s="12">
        <f t="shared" si="28"/>
        <v>7.2321254410014135E-2</v>
      </c>
      <c r="G209" s="12">
        <f t="shared" si="29"/>
        <v>0.19950363489032322</v>
      </c>
      <c r="H209" s="12">
        <f t="shared" si="30"/>
        <v>0.12380215140752542</v>
      </c>
      <c r="I209" s="12">
        <f t="shared" si="31"/>
        <v>0.21410912462716067</v>
      </c>
      <c r="J209" s="12">
        <f t="shared" si="32"/>
        <v>-7.7798566995746707E-2</v>
      </c>
      <c r="M209" s="123">
        <f>IF($Q$1,  C209, -0.2)</f>
        <v>-0.2</v>
      </c>
    </row>
    <row r="210" spans="2:13" x14ac:dyDescent="0.3">
      <c r="B210" s="12">
        <v>0.20872727466548102</v>
      </c>
      <c r="C210" s="12">
        <f t="shared" si="25"/>
        <v>2.3140264601832307E-2</v>
      </c>
      <c r="D210" s="12">
        <f t="shared" si="26"/>
        <v>0.101239527961308</v>
      </c>
      <c r="E210" s="12">
        <f t="shared" si="27"/>
        <v>7.1727272000444597E-2</v>
      </c>
      <c r="F210" s="12">
        <f t="shared" si="28"/>
        <v>7.1604642793525325E-2</v>
      </c>
      <c r="G210" s="12">
        <f t="shared" si="29"/>
        <v>0.2014842475717116</v>
      </c>
      <c r="H210" s="12">
        <f t="shared" si="30"/>
        <v>0.12412036452427935</v>
      </c>
      <c r="I210" s="12">
        <f t="shared" si="31"/>
        <v>0.21597030175925044</v>
      </c>
      <c r="J210" s="12">
        <f t="shared" si="32"/>
        <v>-7.7839835320614725E-2</v>
      </c>
      <c r="M210" s="123">
        <f>IF($Q$1,  C210, -0.2)</f>
        <v>-0.2</v>
      </c>
    </row>
    <row r="211" spans="2:13" x14ac:dyDescent="0.3">
      <c r="B211" s="12">
        <v>0.21065601044667814</v>
      </c>
      <c r="C211" s="12">
        <f t="shared" si="25"/>
        <v>2.3277910053755908E-2</v>
      </c>
      <c r="D211" s="12">
        <f t="shared" si="26"/>
        <v>0.10141062976769021</v>
      </c>
      <c r="E211" s="12">
        <f t="shared" si="27"/>
        <v>7.1003996082495677E-2</v>
      </c>
      <c r="F211" s="12">
        <f t="shared" si="28"/>
        <v>7.088503192313321E-2</v>
      </c>
      <c r="G211" s="12">
        <f t="shared" si="29"/>
        <v>0.20347353319707467</v>
      </c>
      <c r="H211" s="12">
        <f t="shared" si="30"/>
        <v>0.12443386811080001</v>
      </c>
      <c r="I211" s="12">
        <f t="shared" si="31"/>
        <v>0.21783848769628161</v>
      </c>
      <c r="J211" s="12">
        <f t="shared" si="32"/>
        <v>-7.7878048003288181E-2</v>
      </c>
      <c r="M211" s="123">
        <f>IF($Q$1,  C211, -0.2)</f>
        <v>-0.2</v>
      </c>
    </row>
    <row r="212" spans="2:13" x14ac:dyDescent="0.3">
      <c r="B212" s="12">
        <v>0.21259256799011716</v>
      </c>
      <c r="C212" s="12">
        <f t="shared" si="25"/>
        <v>2.3414710205148959E-2</v>
      </c>
      <c r="D212" s="12">
        <f t="shared" si="26"/>
        <v>0.10157784481436699</v>
      </c>
      <c r="E212" s="12">
        <f t="shared" si="27"/>
        <v>7.0277787003706058E-2</v>
      </c>
      <c r="F212" s="12">
        <f t="shared" si="28"/>
        <v>7.0162428763192786E-2</v>
      </c>
      <c r="G212" s="12">
        <f t="shared" si="29"/>
        <v>0.20547146563393068</v>
      </c>
      <c r="H212" s="12">
        <f t="shared" si="30"/>
        <v>0.12474263556812251</v>
      </c>
      <c r="I212" s="12">
        <f t="shared" si="31"/>
        <v>0.21971367034630365</v>
      </c>
      <c r="J212" s="12">
        <f t="shared" si="32"/>
        <v>-7.7913215157824595E-2</v>
      </c>
      <c r="M212" s="123">
        <f>IF($Q$1,  C212, -0.2)</f>
        <v>-0.2</v>
      </c>
    </row>
    <row r="213" spans="2:13" x14ac:dyDescent="0.3">
      <c r="B213" s="12">
        <v>0.21453692810607505</v>
      </c>
      <c r="C213" s="12">
        <f t="shared" si="25"/>
        <v>2.35506466806879E-2</v>
      </c>
      <c r="D213" s="12">
        <f t="shared" si="26"/>
        <v>0.1017411664900261</v>
      </c>
      <c r="E213" s="12">
        <f t="shared" si="27"/>
        <v>6.9548651960221849E-2</v>
      </c>
      <c r="F213" s="12">
        <f t="shared" si="28"/>
        <v>6.9436840324670374E-2</v>
      </c>
      <c r="G213" s="12">
        <f t="shared" si="29"/>
        <v>0.20747801855884518</v>
      </c>
      <c r="H213" s="12">
        <f t="shared" si="30"/>
        <v>0.12504664046741445</v>
      </c>
      <c r="I213" s="12">
        <f t="shared" si="31"/>
        <v>0.22159583765330493</v>
      </c>
      <c r="J213" s="12">
        <f t="shared" si="32"/>
        <v>-7.7945347106038662E-2</v>
      </c>
      <c r="M213" s="123">
        <f>IF($Q$1,  C213, -0.2)</f>
        <v>-0.2</v>
      </c>
    </row>
    <row r="214" spans="2:13" x14ac:dyDescent="0.3">
      <c r="B214" s="12">
        <v>0.2164890715275114</v>
      </c>
      <c r="C214" s="12">
        <f t="shared" si="25"/>
        <v>2.3685701087093464E-2</v>
      </c>
      <c r="D214" s="12">
        <f t="shared" si="26"/>
        <v>0.10190058837352436</v>
      </c>
      <c r="E214" s="12">
        <f t="shared" si="27"/>
        <v>6.8816598177183219E-2</v>
      </c>
      <c r="F214" s="12">
        <f t="shared" si="28"/>
        <v>6.8708273665239183E-2</v>
      </c>
      <c r="G214" s="12">
        <f t="shared" si="29"/>
        <v>0.20949316545825578</v>
      </c>
      <c r="H214" s="12">
        <f t="shared" si="30"/>
        <v>0.12534585655195887</v>
      </c>
      <c r="I214" s="12">
        <f t="shared" si="31"/>
        <v>0.22348497759676703</v>
      </c>
      <c r="J214" s="12">
        <f t="shared" si="32"/>
        <v>-7.7974454377771937E-2</v>
      </c>
      <c r="M214" s="123">
        <f>IF($Q$1,  C214, -0.2)</f>
        <v>-0.2</v>
      </c>
    </row>
    <row r="215" spans="2:13" x14ac:dyDescent="0.3">
      <c r="B215" s="12">
        <v>0.21844897891025949</v>
      </c>
      <c r="C215" s="12">
        <f t="shared" si="25"/>
        <v>2.3819855013988606E-2</v>
      </c>
      <c r="D215" s="12">
        <f t="shared" si="26"/>
        <v>0.10205610423460919</v>
      </c>
      <c r="E215" s="12">
        <f t="shared" si="27"/>
        <v>6.8081632908652684E-2</v>
      </c>
      <c r="F215" s="12">
        <f t="shared" si="28"/>
        <v>6.7976735889372461E-2</v>
      </c>
      <c r="G215" s="12">
        <f t="shared" si="29"/>
        <v>0.21151687962931703</v>
      </c>
      <c r="H215" s="12">
        <f t="shared" si="30"/>
        <v>0.12564025773910345</v>
      </c>
      <c r="I215" s="12">
        <f t="shared" si="31"/>
        <v>0.22538107819120196</v>
      </c>
      <c r="J215" s="12">
        <f t="shared" si="32"/>
        <v>-7.8000547711126245E-2</v>
      </c>
      <c r="M215" s="123">
        <f>IF($Q$1,  C215, -0.2)</f>
        <v>-0.2</v>
      </c>
    </row>
    <row r="216" spans="2:13" x14ac:dyDescent="0.3">
      <c r="B216" s="12">
        <v>0.22041663083321805</v>
      </c>
      <c r="C216" s="12">
        <f t="shared" si="25"/>
        <v>2.395309003475762E-2</v>
      </c>
      <c r="D216" s="12">
        <f t="shared" si="26"/>
        <v>0.10220770803460313</v>
      </c>
      <c r="E216" s="12">
        <f t="shared" si="27"/>
        <v>6.7343763437543225E-2</v>
      </c>
      <c r="F216" s="12">
        <f t="shared" si="28"/>
        <v>6.7242234148435123E-2</v>
      </c>
      <c r="G216" s="12">
        <f t="shared" si="29"/>
        <v>0.21354913418076429</v>
      </c>
      <c r="H216" s="12">
        <f t="shared" si="30"/>
        <v>0.12592981812217574</v>
      </c>
      <c r="I216" s="12">
        <f t="shared" si="31"/>
        <v>0.22728412748567181</v>
      </c>
      <c r="J216" s="12">
        <f t="shared" si="32"/>
        <v>-7.8023638052660507E-2</v>
      </c>
      <c r="M216" s="123">
        <f>IF($Q$1,  C216, -0.2)</f>
        <v>-0.2</v>
      </c>
    </row>
    <row r="217" spans="2:13" x14ac:dyDescent="0.3">
      <c r="B217" s="12">
        <v>0.22239200779854373</v>
      </c>
      <c r="C217" s="12">
        <f t="shared" si="25"/>
        <v>2.4085387707406397E-2</v>
      </c>
      <c r="D217" s="12">
        <f t="shared" si="26"/>
        <v>0.10235539392705224</v>
      </c>
      <c r="E217" s="12">
        <f t="shared" si="27"/>
        <v>6.6602997075546094E-2</v>
      </c>
      <c r="F217" s="12">
        <f t="shared" si="28"/>
        <v>6.6504775640773395E-2</v>
      </c>
      <c r="G217" s="12">
        <f t="shared" si="29"/>
        <v>0.21558990203379666</v>
      </c>
      <c r="H217" s="12">
        <f t="shared" si="30"/>
        <v>0.12621451197236441</v>
      </c>
      <c r="I217" s="12">
        <f t="shared" si="31"/>
        <v>0.22919411356329081</v>
      </c>
      <c r="J217" s="12">
        <f t="shared" si="32"/>
        <v>-7.8043736557551618E-2</v>
      </c>
      <c r="M217" s="123">
        <f>IF($Q$1,  C217, -0.2)</f>
        <v>-0.2</v>
      </c>
    </row>
    <row r="218" spans="2:13" x14ac:dyDescent="0.3">
      <c r="B218" s="12">
        <v>0.22437509023184399</v>
      </c>
      <c r="C218" s="12">
        <f t="shared" si="25"/>
        <v>2.4216729575423816E-2</v>
      </c>
      <c r="D218" s="12">
        <f t="shared" si="26"/>
        <v>0.10249915625833685</v>
      </c>
      <c r="E218" s="12">
        <f t="shared" si="27"/>
        <v>6.5859341163058499E-2</v>
      </c>
      <c r="F218" s="12">
        <f t="shared" si="28"/>
        <v>6.5764367611802946E-2</v>
      </c>
      <c r="G218" s="12">
        <f t="shared" si="29"/>
        <v>0.2176391559229785</v>
      </c>
      <c r="H218" s="12">
        <f t="shared" si="30"/>
        <v>0.1264943137405653</v>
      </c>
      <c r="I218" s="12">
        <f t="shared" si="31"/>
        <v>0.23111102454070948</v>
      </c>
      <c r="J218" s="12">
        <f t="shared" si="32"/>
        <v>-7.8060854589717676E-2</v>
      </c>
      <c r="M218" s="123">
        <f>IF($Q$1,  C218, -0.2)</f>
        <v>-0.2</v>
      </c>
    </row>
    <row r="219" spans="2:13" x14ac:dyDescent="0.3">
      <c r="B219" s="12">
        <v>0.22636585848237156</v>
      </c>
      <c r="C219" s="12">
        <f t="shared" si="25"/>
        <v>2.4347097168644281E-2</v>
      </c>
      <c r="D219" s="12">
        <f t="shared" si="26"/>
        <v>0.1026389895682461</v>
      </c>
      <c r="E219" s="12">
        <f t="shared" si="27"/>
        <v>6.5112803069110659E-2</v>
      </c>
      <c r="F219" s="12">
        <f t="shared" si="28"/>
        <v>6.5021017354094574E-2</v>
      </c>
      <c r="G219" s="12">
        <f t="shared" si="29"/>
        <v>0.21969686839716063</v>
      </c>
      <c r="H219" s="12">
        <f t="shared" si="30"/>
        <v>0.12676919805919373</v>
      </c>
      <c r="I219" s="12">
        <f t="shared" si="31"/>
        <v>0.2330348485675825</v>
      </c>
      <c r="J219" s="12">
        <f t="shared" si="32"/>
        <v>-7.8075003721905178E-2</v>
      </c>
      <c r="M219" s="123">
        <f>IF($Q$1,  C219, -0.2)</f>
        <v>-0.2</v>
      </c>
    </row>
    <row r="220" spans="2:13" x14ac:dyDescent="0.3">
      <c r="B220" s="12">
        <v>0.22836429282321902</v>
      </c>
      <c r="C220" s="12">
        <f t="shared" si="25"/>
        <v>2.4476472004111179E-2</v>
      </c>
      <c r="D220" s="12">
        <f t="shared" si="26"/>
        <v>0.10277488859051478</v>
      </c>
      <c r="E220" s="12">
        <f t="shared" si="27"/>
        <v>6.4363390191292863E-2</v>
      </c>
      <c r="F220" s="12">
        <f t="shared" si="28"/>
        <v>6.427473220745851E-2</v>
      </c>
      <c r="G220" s="12">
        <f t="shared" si="29"/>
        <v>0.22176301182041916</v>
      </c>
      <c r="H220" s="12">
        <f t="shared" si="30"/>
        <v>0.12703913974396083</v>
      </c>
      <c r="I220" s="12">
        <f t="shared" si="31"/>
        <v>0.23496557382601888</v>
      </c>
      <c r="J220" s="12">
        <f t="shared" si="32"/>
        <v>-7.8086195735738481E-2</v>
      </c>
      <c r="M220" s="123">
        <f>IF($Q$1,  C220, -0.2)</f>
        <v>-0.2</v>
      </c>
    </row>
    <row r="221" spans="2:13" x14ac:dyDescent="0.3">
      <c r="B221" s="12">
        <v>0.2303703734515139</v>
      </c>
      <c r="C221" s="12">
        <f t="shared" si="25"/>
        <v>2.4604835586941459E-2</v>
      </c>
      <c r="D221" s="12">
        <f t="shared" si="26"/>
        <v>0.10290684825332302</v>
      </c>
      <c r="E221" s="12">
        <f t="shared" si="27"/>
        <v>6.3611109955682282E-2</v>
      </c>
      <c r="F221" s="12">
        <f t="shared" si="28"/>
        <v>6.3525519559026605E-2</v>
      </c>
      <c r="G221" s="12">
        <f t="shared" si="29"/>
        <v>0.22383755837301275</v>
      </c>
      <c r="H221" s="12">
        <f t="shared" si="30"/>
        <v>0.12730411379561515</v>
      </c>
      <c r="I221" s="12">
        <f t="shared" si="31"/>
        <v>0.23690318853001505</v>
      </c>
      <c r="J221" s="12">
        <f t="shared" si="32"/>
        <v>-7.8094442621732235E-2</v>
      </c>
      <c r="M221" s="123">
        <f>IF($Q$1,  C221, -0.2)</f>
        <v>-0.2</v>
      </c>
    </row>
    <row r="222" spans="2:13" x14ac:dyDescent="0.3">
      <c r="B222" s="12">
        <v>0.23238408048861525</v>
      </c>
      <c r="C222" s="12">
        <f t="shared" si="25"/>
        <v>2.473216941119118E-2</v>
      </c>
      <c r="D222" s="12">
        <f t="shared" si="26"/>
        <v>0.10303486367975888</v>
      </c>
      <c r="E222" s="12">
        <f t="shared" si="27"/>
        <v>6.2855969816769275E-2</v>
      </c>
      <c r="F222" s="12">
        <f t="shared" si="28"/>
        <v>6.2773386843332529E-2</v>
      </c>
      <c r="G222" s="12">
        <f t="shared" si="29"/>
        <v>0.22592048005235882</v>
      </c>
      <c r="H222" s="12">
        <f t="shared" si="30"/>
        <v>0.12756409540164865</v>
      </c>
      <c r="I222" s="12">
        <f t="shared" si="31"/>
        <v>0.23884768092487169</v>
      </c>
      <c r="J222" s="12">
        <f t="shared" si="32"/>
        <v>-7.809975657926628E-2</v>
      </c>
      <c r="M222" s="123">
        <f>IF($Q$1,  C222, -0.2)</f>
        <v>-0.2</v>
      </c>
    </row>
    <row r="223" spans="2:13" x14ac:dyDescent="0.3">
      <c r="B223" s="12">
        <v>0.23440539398031057</v>
      </c>
      <c r="C223" s="12">
        <f t="shared" si="25"/>
        <v>2.4858454960721962E-2</v>
      </c>
      <c r="D223" s="12">
        <f t="shared" si="26"/>
        <v>0.10315893018824296</v>
      </c>
      <c r="E223" s="12">
        <f t="shared" si="27"/>
        <v>6.2097977257383523E-2</v>
      </c>
      <c r="F223" s="12">
        <f t="shared" si="28"/>
        <v>6.2018341542389957E-2</v>
      </c>
      <c r="G223" s="12">
        <f t="shared" si="29"/>
        <v>0.22801174867402718</v>
      </c>
      <c r="H223" s="12">
        <f t="shared" si="30"/>
        <v>0.12781905993796666</v>
      </c>
      <c r="I223" s="12">
        <f t="shared" si="31"/>
        <v>0.24079903928659396</v>
      </c>
      <c r="J223" s="12">
        <f t="shared" si="32"/>
        <v>-7.8102150016522723E-2</v>
      </c>
      <c r="M223" s="123">
        <f>IF($Q$1,  C223, -0.2)</f>
        <v>-0.2</v>
      </c>
    </row>
    <row r="224" spans="2:13" x14ac:dyDescent="0.3">
      <c r="B224" s="12">
        <v>0.23643429389701376</v>
      </c>
      <c r="C224" s="12">
        <f t="shared" si="25"/>
        <v>2.4983673710068405E-2</v>
      </c>
      <c r="D224" s="12">
        <f t="shared" si="26"/>
        <v>0.103279043292916</v>
      </c>
      <c r="E224" s="12">
        <f t="shared" si="27"/>
        <v>6.1337139788619828E-2</v>
      </c>
      <c r="F224" s="12">
        <f t="shared" si="28"/>
        <v>6.1260391185768724E-2</v>
      </c>
      <c r="G224" s="12">
        <f t="shared" si="29"/>
        <v>0.23011133587275218</v>
      </c>
      <c r="H224" s="12">
        <f t="shared" si="30"/>
        <v>0.12806898297052238</v>
      </c>
      <c r="I224" s="12">
        <f t="shared" si="31"/>
        <v>0.24275725192127534</v>
      </c>
      <c r="J224" s="12">
        <f t="shared" si="32"/>
        <v>-7.8101635550385587E-2</v>
      </c>
      <c r="M224" s="123">
        <f>IF($Q$1,  C224, -0.2)</f>
        <v>-0.2</v>
      </c>
    </row>
    <row r="225" spans="2:13" x14ac:dyDescent="0.3">
      <c r="B225" s="12">
        <v>0.23847076013396296</v>
      </c>
      <c r="C225" s="12">
        <f t="shared" si="25"/>
        <v>2.5107807125306296E-2</v>
      </c>
      <c r="D225" s="12">
        <f t="shared" si="26"/>
        <v>0.10339519870398819</v>
      </c>
      <c r="E225" s="12">
        <f t="shared" si="27"/>
        <v>6.0573464949763879E-2</v>
      </c>
      <c r="F225" s="12">
        <f t="shared" si="28"/>
        <v>6.0499543350669226E-2</v>
      </c>
      <c r="G225" s="12">
        <f t="shared" si="29"/>
        <v>0.2322192131034613</v>
      </c>
      <c r="H225" s="12">
        <f t="shared" si="30"/>
        <v>0.12831384025691459</v>
      </c>
      <c r="I225" s="12">
        <f t="shared" si="31"/>
        <v>0.24472230716446461</v>
      </c>
      <c r="J225" s="12">
        <f t="shared" si="32"/>
        <v>-7.809822600630198E-2</v>
      </c>
      <c r="M225" s="123">
        <f>IF($Q$1,  C225, -0.2)</f>
        <v>-0.2</v>
      </c>
    </row>
    <row r="226" spans="2:13" x14ac:dyDescent="0.3">
      <c r="B226" s="12">
        <v>0.24051477251142062</v>
      </c>
      <c r="C226" s="12">
        <f t="shared" si="25"/>
        <v>2.523083666492176E-2</v>
      </c>
      <c r="D226" s="12">
        <f t="shared" si="26"/>
        <v>0.10350739232805145</v>
      </c>
      <c r="E226" s="12">
        <f t="shared" si="27"/>
        <v>5.9806960308217257E-2</v>
      </c>
      <c r="F226" s="12">
        <f t="shared" si="28"/>
        <v>5.9735805661994205E-2</v>
      </c>
      <c r="G226" s="12">
        <f t="shared" si="29"/>
        <v>0.23433535164232297</v>
      </c>
      <c r="H226" s="12">
        <f t="shared" si="30"/>
        <v>0.12855360774794936</v>
      </c>
      <c r="I226" s="12">
        <f t="shared" si="31"/>
        <v>0.24669419338051826</v>
      </c>
      <c r="J226" s="12">
        <f t="shared" si="32"/>
        <v>-7.8091934418105843E-2</v>
      </c>
      <c r="M226" s="123">
        <f>IF($Q$1,  C226, -0.2)</f>
        <v>-0.2</v>
      </c>
    </row>
    <row r="227" spans="2:13" x14ac:dyDescent="0.3">
      <c r="B227" s="12">
        <v>0.24256631077487267</v>
      </c>
      <c r="C227" s="12">
        <f t="shared" si="25"/>
        <v>2.5352743780681121E-2</v>
      </c>
      <c r="D227" s="12">
        <f t="shared" si="26"/>
        <v>0.10361562026835301</v>
      </c>
      <c r="E227" s="12">
        <f t="shared" si="27"/>
        <v>5.9037633459422735E-2</v>
      </c>
      <c r="F227" s="12">
        <f t="shared" si="28"/>
        <v>5.8969185792419089E-2</v>
      </c>
      <c r="G227" s="12">
        <f t="shared" si="29"/>
        <v>0.23645972258780981</v>
      </c>
      <c r="H227" s="12">
        <f t="shared" si="30"/>
        <v>0.12878826158916484</v>
      </c>
      <c r="I227" s="12">
        <f t="shared" si="31"/>
        <v>0.24867289896193553</v>
      </c>
      <c r="J227" s="12">
        <f t="shared" si="32"/>
        <v>-7.8082774027802587E-2</v>
      </c>
      <c r="M227" s="123">
        <f>IF($Q$1,  C227, -0.2)</f>
        <v>-0.2</v>
      </c>
    </row>
    <row r="228" spans="2:13" x14ac:dyDescent="0.3">
      <c r="B228" s="12">
        <v>0.24462535459522983</v>
      </c>
      <c r="C228" s="12">
        <f t="shared" si="25"/>
        <v>2.5473509918501603E-2</v>
      </c>
      <c r="D228" s="12">
        <f t="shared" si="26"/>
        <v>0.10371987882503189</v>
      </c>
      <c r="E228" s="12">
        <f t="shared" si="27"/>
        <v>5.8265492026788809E-2</v>
      </c>
      <c r="F228" s="12">
        <f t="shared" si="28"/>
        <v>5.8199691462459617E-2</v>
      </c>
      <c r="G228" s="12">
        <f t="shared" si="29"/>
        <v>0.2385922968617806</v>
      </c>
      <c r="H228" s="12">
        <f t="shared" si="30"/>
        <v>0.12901777812231949</v>
      </c>
      <c r="I228" s="12">
        <f t="shared" si="31"/>
        <v>0.25065841232867908</v>
      </c>
      <c r="J228" s="12">
        <f t="shared" si="32"/>
        <v>-7.8070758285316275E-2</v>
      </c>
      <c r="M228" s="123">
        <f>IF($Q$1,  C228, -0.2)</f>
        <v>-0.2</v>
      </c>
    </row>
    <row r="229" spans="2:13" x14ac:dyDescent="0.3">
      <c r="B229" s="12">
        <v>0.24669188356902849</v>
      </c>
      <c r="C229" s="12">
        <f t="shared" si="25"/>
        <v>2.5593116519322685E-2</v>
      </c>
      <c r="D229" s="12">
        <f t="shared" si="26"/>
        <v>0.10382016449531681</v>
      </c>
      <c r="E229" s="12">
        <f t="shared" si="27"/>
        <v>5.749054366161431E-2</v>
      </c>
      <c r="F229" s="12">
        <f t="shared" si="28"/>
        <v>5.7427330440537799E-2</v>
      </c>
      <c r="G229" s="12">
        <f t="shared" si="29"/>
        <v>0.24073304521057765</v>
      </c>
      <c r="H229" s="12">
        <f t="shared" si="30"/>
        <v>0.12924213388684286</v>
      </c>
      <c r="I229" s="12">
        <f t="shared" si="31"/>
        <v>0.25265072192747934</v>
      </c>
      <c r="J229" s="12">
        <f t="shared" si="32"/>
        <v>-7.8055900848197482E-2</v>
      </c>
      <c r="M229" s="123">
        <f>IF($Q$1,  C229, -0.2)</f>
        <v>-0.2</v>
      </c>
    </row>
    <row r="230" spans="2:13" x14ac:dyDescent="0.3">
      <c r="B230" s="12">
        <v>0.24876587721863352</v>
      </c>
      <c r="C230" s="12">
        <f t="shared" si="25"/>
        <v>2.5711545019978223E-2</v>
      </c>
      <c r="D230" s="12">
        <f t="shared" si="26"/>
        <v>0.10391647397368628</v>
      </c>
      <c r="E230" s="12">
        <f t="shared" si="27"/>
        <v>5.6712796043012423E-2</v>
      </c>
      <c r="F230" s="12">
        <f t="shared" si="28"/>
        <v>5.6652110543045246E-2</v>
      </c>
      <c r="G230" s="12">
        <f t="shared" si="29"/>
        <v>0.24288193820614226</v>
      </c>
      <c r="H230" s="12">
        <f t="shared" si="30"/>
        <v>0.1294613056212495</v>
      </c>
      <c r="I230" s="12">
        <f t="shared" si="31"/>
        <v>0.25464981623112481</v>
      </c>
      <c r="J230" s="12">
        <f t="shared" si="32"/>
        <v>-7.8038215581293036E-2</v>
      </c>
      <c r="M230" s="123">
        <f>IF($Q$1,  C230, -0.2)</f>
        <v>-0.2</v>
      </c>
    </row>
    <row r="231" spans="2:13" x14ac:dyDescent="0.3">
      <c r="B231" s="12">
        <v>0.25084731499244084</v>
      </c>
      <c r="C231" s="12">
        <f t="shared" si="25"/>
        <v>2.5828776854069212E-2</v>
      </c>
      <c r="D231" s="12">
        <f t="shared" si="26"/>
        <v>0.10400880415199075</v>
      </c>
      <c r="E231" s="12">
        <f t="shared" si="27"/>
        <v>5.593225687783468E-2</v>
      </c>
      <c r="F231" s="12">
        <f t="shared" si="28"/>
        <v>5.5874039634404689E-2</v>
      </c>
      <c r="G231" s="12">
        <f t="shared" si="29"/>
        <v>0.24503894624714539</v>
      </c>
      <c r="H231" s="12">
        <f t="shared" si="30"/>
        <v>0.12967527026451539</v>
      </c>
      <c r="I231" s="12">
        <f t="shared" si="31"/>
        <v>0.25665568373773628</v>
      </c>
      <c r="J231" s="12">
        <f t="shared" si="32"/>
        <v>-7.8017716556376973E-2</v>
      </c>
      <c r="M231" s="123">
        <f>IF($Q$1,  C231, -0.2)</f>
        <v>-0.2</v>
      </c>
    </row>
    <row r="232" spans="2:13" x14ac:dyDescent="0.3">
      <c r="B232" s="12">
        <v>0.25293617626508091</v>
      </c>
      <c r="C232" s="12">
        <f t="shared" si="25"/>
        <v>2.5944793452837116E-2</v>
      </c>
      <c r="D232" s="12">
        <f t="shared" si="26"/>
        <v>0.1040971521195363</v>
      </c>
      <c r="E232" s="12">
        <f t="shared" si="27"/>
        <v>5.5148933900594652E-2</v>
      </c>
      <c r="F232" s="12">
        <f t="shared" si="28"/>
        <v>5.5093125627129119E-2</v>
      </c>
      <c r="G232" s="12">
        <f t="shared" si="29"/>
        <v>0.24720403956013492</v>
      </c>
      <c r="H232" s="12">
        <f t="shared" si="30"/>
        <v>0.12988400495741653</v>
      </c>
      <c r="I232" s="12">
        <f t="shared" si="31"/>
        <v>0.2586683129700269</v>
      </c>
      <c r="J232" s="12">
        <f t="shared" si="32"/>
        <v>-7.7994418051742287E-2</v>
      </c>
      <c r="M232" s="123">
        <f>IF($Q$1,  C232, -0.2)</f>
        <v>-0.2</v>
      </c>
    </row>
    <row r="233" spans="2:13" x14ac:dyDescent="0.3">
      <c r="B233" s="12">
        <v>0.25503244033762351</v>
      </c>
      <c r="C233" s="12">
        <f t="shared" si="25"/>
        <v>2.6059576246037865E-2</v>
      </c>
      <c r="D233" s="12">
        <f t="shared" si="26"/>
        <v>0.10418151516313037</v>
      </c>
      <c r="E233" s="12">
        <f t="shared" si="27"/>
        <v>5.4362834873391178E-2</v>
      </c>
      <c r="F233" s="12">
        <f t="shared" si="28"/>
        <v>5.4309376481878557E-2</v>
      </c>
      <c r="G233" s="12">
        <f t="shared" si="29"/>
        <v>0.24937718820069926</v>
      </c>
      <c r="H233" s="12">
        <f t="shared" si="30"/>
        <v>0.13008748704382991</v>
      </c>
      <c r="I233" s="12">
        <f t="shared" si="31"/>
        <v>0.26068769247454776</v>
      </c>
      <c r="J233" s="12">
        <f t="shared" si="32"/>
        <v>-7.796833455175417E-2</v>
      </c>
      <c r="M233" s="123">
        <f>IF($Q$1,  C233, -0.2)</f>
        <v>-0.2</v>
      </c>
    </row>
    <row r="234" spans="2:13" x14ac:dyDescent="0.3">
      <c r="B234" s="12">
        <v>0.25713608643778241</v>
      </c>
      <c r="C234" s="12">
        <f t="shared" si="25"/>
        <v>2.6173106662816345E-2</v>
      </c>
      <c r="D234" s="12">
        <f t="shared" si="26"/>
        <v>0.10426189076708924</v>
      </c>
      <c r="E234" s="12">
        <f t="shared" si="27"/>
        <v>5.3573967585831592E-2</v>
      </c>
      <c r="F234" s="12">
        <f t="shared" si="28"/>
        <v>5.3522800207514785E-2</v>
      </c>
      <c r="G234" s="12">
        <f t="shared" si="29"/>
        <v>0.25155836205464593</v>
      </c>
      <c r="H234" s="12">
        <f t="shared" si="30"/>
        <v>0.13028569407199667</v>
      </c>
      <c r="I234" s="12">
        <f t="shared" si="31"/>
        <v>0.26271381082091888</v>
      </c>
      <c r="J234" s="12">
        <f t="shared" si="32"/>
        <v>-7.7939480746363976E-2</v>
      </c>
      <c r="M234" s="123">
        <f>IF($Q$1,  C234, -0.2)</f>
        <v>-0.2</v>
      </c>
    </row>
    <row r="235" spans="2:13" x14ac:dyDescent="0.3">
      <c r="B235" s="12">
        <v>0.25924709372012167</v>
      </c>
      <c r="C235" s="12">
        <f t="shared" si="25"/>
        <v>2.6285366132581457E-2</v>
      </c>
      <c r="D235" s="12">
        <f t="shared" si="26"/>
        <v>0.10433827661320727</v>
      </c>
      <c r="E235" s="12">
        <f t="shared" si="27"/>
        <v>5.2782339854954369E-2</v>
      </c>
      <c r="F235" s="12">
        <f t="shared" si="28"/>
        <v>5.2733404861153486E-2</v>
      </c>
      <c r="G235" s="12">
        <f t="shared" si="29"/>
        <v>0.25374753083919643</v>
      </c>
      <c r="H235" s="12">
        <f t="shared" si="30"/>
        <v>0.13047860379574702</v>
      </c>
      <c r="I235" s="12">
        <f t="shared" si="31"/>
        <v>0.2647466566010469</v>
      </c>
      <c r="J235" s="12">
        <f t="shared" si="32"/>
        <v>-7.7907871530584122E-2</v>
      </c>
      <c r="M235" s="123">
        <f>IF($Q$1,  C235, -0.2)</f>
        <v>-0.2</v>
      </c>
    </row>
    <row r="236" spans="2:13" x14ac:dyDescent="0.3">
      <c r="B236" s="12">
        <v>0.26136544126626193</v>
      </c>
      <c r="C236" s="12">
        <f t="shared" si="25"/>
        <v>2.6396336085881565E-2</v>
      </c>
      <c r="D236" s="12">
        <f t="shared" si="26"/>
        <v>0.1044106705806878</v>
      </c>
      <c r="E236" s="12">
        <f t="shared" si="27"/>
        <v>5.198795952515177E-2</v>
      </c>
      <c r="F236" s="12">
        <f t="shared" si="28"/>
        <v>5.1941198548214294E-2</v>
      </c>
      <c r="G236" s="12">
        <f t="shared" si="29"/>
        <v>0.25594466410419581</v>
      </c>
      <c r="H236" s="12">
        <f t="shared" si="30"/>
        <v>0.13066619417568684</v>
      </c>
      <c r="I236" s="12">
        <f t="shared" si="31"/>
        <v>0.26678621842832806</v>
      </c>
      <c r="J236" s="12">
        <f t="shared" si="32"/>
        <v>-7.7873522003923695E-2</v>
      </c>
      <c r="M236" s="123">
        <f>IF($Q$1,  C236, -0.2)</f>
        <v>-0.2</v>
      </c>
    </row>
    <row r="237" spans="2:13" x14ac:dyDescent="0.3">
      <c r="B237" s="12">
        <v>0.26349110808508769</v>
      </c>
      <c r="C237" s="12">
        <f t="shared" si="25"/>
        <v>2.6505997955280518E-2</v>
      </c>
      <c r="D237" s="12">
        <f t="shared" si="26"/>
        <v>0.10447907074603607</v>
      </c>
      <c r="E237" s="12">
        <f t="shared" si="27"/>
        <v>5.1190834468092111E-2</v>
      </c>
      <c r="F237" s="12">
        <f t="shared" si="28"/>
        <v>5.1146189422468388E-2</v>
      </c>
      <c r="G237" s="12">
        <f t="shared" si="29"/>
        <v>0.25814973123333723</v>
      </c>
      <c r="H237" s="12">
        <f t="shared" si="30"/>
        <v>0.13084844338034612</v>
      </c>
      <c r="I237" s="12">
        <f t="shared" si="31"/>
        <v>0.26883248493683815</v>
      </c>
      <c r="J237" s="12">
        <f t="shared" si="32"/>
        <v>-7.7836447469785103E-2</v>
      </c>
      <c r="M237" s="123">
        <f>IF($Q$1,  C237, -0.2)</f>
        <v>-0.2</v>
      </c>
    </row>
    <row r="238" spans="2:13" x14ac:dyDescent="0.3">
      <c r="B238" s="12">
        <v>0.26562407311295533</v>
      </c>
      <c r="C238" s="12">
        <f t="shared" si="25"/>
        <v>2.6614333176233924E-2</v>
      </c>
      <c r="D238" s="12">
        <f t="shared" si="26"/>
        <v>0.10454347538291345</v>
      </c>
      <c r="E238" s="12">
        <f t="shared" si="27"/>
        <v>5.0390972582641747E-2</v>
      </c>
      <c r="F238" s="12">
        <f t="shared" si="28"/>
        <v>5.0348385686083692E-2</v>
      </c>
      <c r="G238" s="12">
        <f t="shared" si="29"/>
        <v>0.26036270144540136</v>
      </c>
      <c r="H238" s="12">
        <f t="shared" si="30"/>
        <v>0.1310253297872887</v>
      </c>
      <c r="I238" s="12">
        <f t="shared" si="31"/>
        <v>0.2708854447805093</v>
      </c>
      <c r="J238" s="12">
        <f t="shared" si="32"/>
        <v>-7.7796663434820848E-2</v>
      </c>
      <c r="M238" s="123">
        <f>IF($Q$1,  C238, -0.2)</f>
        <v>-0.2</v>
      </c>
    </row>
    <row r="239" spans="2:13" x14ac:dyDescent="0.3">
      <c r="B239" s="12">
        <v>0.26776431521390176</v>
      </c>
      <c r="C239" s="12">
        <f t="shared" si="25"/>
        <v>2.6721323187965929E-2</v>
      </c>
      <c r="D239" s="12">
        <f t="shared" si="26"/>
        <v>0.10460388296195372</v>
      </c>
      <c r="E239" s="12">
        <f t="shared" si="27"/>
        <v>4.9588381794786834E-2</v>
      </c>
      <c r="F239" s="12">
        <f t="shared" si="28"/>
        <v>4.9547795589667716E-2</v>
      </c>
      <c r="G239" s="12">
        <f t="shared" si="29"/>
        <v>0.2625835437955103</v>
      </c>
      <c r="H239" s="12">
        <f t="shared" si="30"/>
        <v>0.13119683198418328</v>
      </c>
      <c r="I239" s="12">
        <f t="shared" si="31"/>
        <v>0.27294508663229322</v>
      </c>
      <c r="J239" s="12">
        <f t="shared" si="32"/>
        <v>-7.7754185608251425E-2</v>
      </c>
      <c r="M239" s="123">
        <f>IF($Q$1,  C239, -0.2)</f>
        <v>-0.2</v>
      </c>
    </row>
    <row r="240" spans="2:13" x14ac:dyDescent="0.3">
      <c r="B240" s="12">
        <v>0.26991181317985435</v>
      </c>
      <c r="C240" s="12">
        <f t="shared" si="25"/>
        <v>2.6826949434346287E-2</v>
      </c>
      <c r="D240" s="12">
        <f t="shared" si="26"/>
        <v>0.10466029215054115</v>
      </c>
      <c r="E240" s="12">
        <f t="shared" si="27"/>
        <v>4.8783070057554612E-2</v>
      </c>
      <c r="F240" s="12">
        <f t="shared" si="28"/>
        <v>4.8744427432307738E-2</v>
      </c>
      <c r="G240" s="12">
        <f t="shared" si="29"/>
        <v>0.26481222717639608</v>
      </c>
      <c r="H240" s="12">
        <f t="shared" si="30"/>
        <v>0.13136292876983613</v>
      </c>
      <c r="I240" s="12">
        <f t="shared" si="31"/>
        <v>0.27501139918331263</v>
      </c>
      <c r="J240" s="12">
        <f t="shared" si="32"/>
        <v>-7.7709029901143548E-2</v>
      </c>
      <c r="M240" s="123">
        <f>IF($Q$1,  C240, -0.2)</f>
        <v>-0.2</v>
      </c>
    </row>
    <row r="241" spans="2:13" x14ac:dyDescent="0.3">
      <c r="B241" s="12">
        <v>0.27206654573084033</v>
      </c>
      <c r="C241" s="12">
        <f t="shared" si="25"/>
        <v>2.6931193364767656E-2</v>
      </c>
      <c r="D241" s="12">
        <f t="shared" si="26"/>
        <v>0.10471270181255005</v>
      </c>
      <c r="E241" s="12">
        <f t="shared" si="27"/>
        <v>4.7975045350934872E-2</v>
      </c>
      <c r="F241" s="12">
        <f t="shared" si="28"/>
        <v>4.7938289561608984E-2</v>
      </c>
      <c r="G241" s="12">
        <f t="shared" si="29"/>
        <v>0.26704872031968169</v>
      </c>
      <c r="H241" s="12">
        <f t="shared" si="30"/>
        <v>0.13152359915518416</v>
      </c>
      <c r="I241" s="12">
        <f t="shared" si="31"/>
        <v>0.27708437114199896</v>
      </c>
      <c r="J241" s="12">
        <f t="shared" si="32"/>
        <v>-7.7661212425648857E-2</v>
      </c>
      <c r="M241" s="123">
        <f>IF($Q$1,  C241, -0.2)</f>
        <v>-0.2</v>
      </c>
    </row>
    <row r="242" spans="2:13" x14ac:dyDescent="0.3">
      <c r="B242" s="12">
        <v>0.27422849151519824</v>
      </c>
      <c r="C242" s="12">
        <f t="shared" si="25"/>
        <v>2.7034036435023261E-2</v>
      </c>
      <c r="D242" s="12">
        <f t="shared" si="26"/>
        <v>0.10476111100804633</v>
      </c>
      <c r="E242" s="12">
        <f t="shared" si="27"/>
        <v>4.7164315681800656E-2</v>
      </c>
      <c r="F242" s="12">
        <f t="shared" si="28"/>
        <v>4.7129390373729818E-2</v>
      </c>
      <c r="G242" s="12">
        <f t="shared" si="29"/>
        <v>0.26929299179717775</v>
      </c>
      <c r="H242" s="12">
        <f t="shared" si="30"/>
        <v>0.13167882236424969</v>
      </c>
      <c r="I242" s="12">
        <f t="shared" si="31"/>
        <v>0.27916399123321872</v>
      </c>
      <c r="J242" s="12">
        <f t="shared" si="32"/>
        <v>-7.7610749494203171E-2</v>
      </c>
      <c r="M242" s="123">
        <f>IF($Q$1,  C242, -0.2)</f>
        <v>-0.2</v>
      </c>
    </row>
    <row r="243" spans="2:13" x14ac:dyDescent="0.3">
      <c r="B243" s="12">
        <v>0.27639762910978904</v>
      </c>
      <c r="C243" s="12">
        <f t="shared" si="25"/>
        <v>2.7135460108184756E-2</v>
      </c>
      <c r="D243" s="12">
        <f t="shared" si="26"/>
        <v>0.10480551899295096</v>
      </c>
      <c r="E243" s="12">
        <f t="shared" si="27"/>
        <v>4.6350889083829103E-2</v>
      </c>
      <c r="F243" s="12">
        <f t="shared" si="28"/>
        <v>4.6317738313414847E-2</v>
      </c>
      <c r="G243" s="12">
        <f t="shared" si="29"/>
        <v>0.27154501002219056</v>
      </c>
      <c r="H243" s="12">
        <f t="shared" si="30"/>
        <v>0.1318285778350558</v>
      </c>
      <c r="I243" s="12">
        <f t="shared" si="31"/>
        <v>0.28125024819738753</v>
      </c>
      <c r="J243" s="12">
        <f t="shared" si="32"/>
        <v>-7.7557657618686285E-2</v>
      </c>
      <c r="M243" s="123">
        <f>IF($Q$1,  C243, -0.2)</f>
        <v>-0.2</v>
      </c>
    </row>
    <row r="244" spans="2:13" x14ac:dyDescent="0.3">
      <c r="B244" s="12">
        <v>0.27857393702020894</v>
      </c>
      <c r="C244" s="12">
        <f t="shared" si="25"/>
        <v>2.7235445855480208E-2</v>
      </c>
      <c r="D244" s="12">
        <f t="shared" si="26"/>
        <v>0.10484592521866493</v>
      </c>
      <c r="E244" s="12">
        <f t="shared" si="27"/>
        <v>4.5534773617421642E-2</v>
      </c>
      <c r="F244" s="12">
        <f t="shared" si="28"/>
        <v>4.5503341874025077E-2</v>
      </c>
      <c r="G244" s="12">
        <f t="shared" si="29"/>
        <v>0.2738047432508452</v>
      </c>
      <c r="H244" s="12">
        <f t="shared" si="30"/>
        <v>0.13197284522050234</v>
      </c>
      <c r="I244" s="12">
        <f t="shared" si="31"/>
        <v>0.28334313078957268</v>
      </c>
      <c r="J244" s="12">
        <f t="shared" si="32"/>
        <v>-7.7501953509541921E-2</v>
      </c>
      <c r="M244" s="123">
        <f>IF($Q$1,  C244, -0.2)</f>
        <v>-0.2</v>
      </c>
    </row>
    <row r="245" spans="2:13" x14ac:dyDescent="0.3">
      <c r="B245" s="12">
        <v>0.28075739368100194</v>
      </c>
      <c r="C245" s="12">
        <f t="shared" si="25"/>
        <v>2.7333975157172331E-2</v>
      </c>
      <c r="D245" s="12">
        <f t="shared" si="26"/>
        <v>0.10488232933165668</v>
      </c>
      <c r="E245" s="12">
        <f t="shared" si="27"/>
        <v>4.4715977369624266E-2</v>
      </c>
      <c r="F245" s="12">
        <f t="shared" si="28"/>
        <v>4.4686209597565883E-2</v>
      </c>
      <c r="G245" s="12">
        <f t="shared" si="29"/>
        <v>0.27607215958341957</v>
      </c>
      <c r="H245" s="12">
        <f t="shared" si="30"/>
        <v>0.13211160438920327</v>
      </c>
      <c r="I245" s="12">
        <f t="shared" si="31"/>
        <v>0.28544262777858431</v>
      </c>
      <c r="J245" s="12">
        <f t="shared" si="32"/>
        <v>-7.7443654074858606E-2</v>
      </c>
      <c r="M245" s="123">
        <f>IF($Q$1,  C245, -0.2)</f>
        <v>-0.2</v>
      </c>
    </row>
    <row r="246" spans="2:13" x14ac:dyDescent="0.3">
      <c r="B246" s="12">
        <v>0.28294797745587386</v>
      </c>
      <c r="C246" s="12">
        <f t="shared" si="25"/>
        <v>2.7431029503436753E-2</v>
      </c>
      <c r="D246" s="12">
        <f t="shared" si="26"/>
        <v>0.10491473117301085</v>
      </c>
      <c r="E246" s="12">
        <f t="shared" si="27"/>
        <v>4.3894508454047299E-2</v>
      </c>
      <c r="F246" s="12">
        <f t="shared" si="28"/>
        <v>4.3866350074712138E-2</v>
      </c>
      <c r="G246" s="12">
        <f t="shared" si="29"/>
        <v>0.27834722696569258</v>
      </c>
      <c r="H246" s="12">
        <f t="shared" si="30"/>
        <v>0.13224483542628374</v>
      </c>
      <c r="I246" s="12">
        <f t="shared" si="31"/>
        <v>0.28754872794605513</v>
      </c>
      <c r="J246" s="12">
        <f t="shared" si="32"/>
        <v>-7.7382776419410215E-2</v>
      </c>
      <c r="M246" s="123">
        <f>IF($Q$1,  C246, -0.2)</f>
        <v>-0.2</v>
      </c>
    </row>
    <row r="247" spans="2:13" x14ac:dyDescent="0.3">
      <c r="B247" s="12">
        <v>0.28514566663790619</v>
      </c>
      <c r="C247" s="12">
        <f t="shared" si="25"/>
        <v>2.7526590395240441E-2</v>
      </c>
      <c r="D247" s="12">
        <f t="shared" si="26"/>
        <v>0.10494313077793962</v>
      </c>
      <c r="E247" s="12">
        <f t="shared" si="27"/>
        <v>4.3070375010785172E-2</v>
      </c>
      <c r="F247" s="12">
        <f t="shared" si="28"/>
        <v>4.3043771944830993E-2</v>
      </c>
      <c r="G247" s="12">
        <f t="shared" si="29"/>
        <v>0.28062991319030295</v>
      </c>
      <c r="H247" s="12">
        <f t="shared" si="30"/>
        <v>0.13237251863413868</v>
      </c>
      <c r="I247" s="12">
        <f t="shared" si="31"/>
        <v>0.28966142008550944</v>
      </c>
      <c r="J247" s="12">
        <f t="shared" si="32"/>
        <v>-7.7319337843657798E-2</v>
      </c>
      <c r="M247" s="123">
        <f>IF($Q$1,  C247, -0.2)</f>
        <v>-0.2</v>
      </c>
    </row>
    <row r="248" spans="2:13" x14ac:dyDescent="0.3">
      <c r="B248" s="12">
        <v>0.28735043944977212</v>
      </c>
      <c r="C248" s="12">
        <f t="shared" si="25"/>
        <v>2.7620639345220098E-2</v>
      </c>
      <c r="D248" s="12">
        <f t="shared" si="26"/>
        <v>0.10496752837525589</v>
      </c>
      <c r="E248" s="12">
        <f t="shared" si="27"/>
        <v>4.2243585206335449E-2</v>
      </c>
      <c r="F248" s="12">
        <f t="shared" si="28"/>
        <v>4.2218483896001538E-2</v>
      </c>
      <c r="G248" s="12">
        <f t="shared" si="29"/>
        <v>0.28292018589812196</v>
      </c>
      <c r="H248" s="12">
        <f t="shared" si="30"/>
        <v>0.13249463453315141</v>
      </c>
      <c r="I248" s="12">
        <f t="shared" si="31"/>
        <v>0.29178069300142229</v>
      </c>
      <c r="J248" s="12">
        <f t="shared" si="32"/>
        <v>-7.725335584271123E-2</v>
      </c>
      <c r="M248" s="123">
        <f>IF($Q$1,  C248, -0.2)</f>
        <v>-0.2</v>
      </c>
    </row>
    <row r="249" spans="2:13" x14ac:dyDescent="0.3">
      <c r="B249" s="12">
        <v>0.28956227404395118</v>
      </c>
      <c r="C249" s="12">
        <f t="shared" si="25"/>
        <v>2.7713157878560619E-2</v>
      </c>
      <c r="D249" s="12">
        <f t="shared" si="26"/>
        <v>0.10498792438680857</v>
      </c>
      <c r="E249" s="12">
        <f t="shared" si="27"/>
        <v>4.14141472335183E-2</v>
      </c>
      <c r="F249" s="12">
        <f t="shared" si="28"/>
        <v>4.1390494665032578E-2</v>
      </c>
      <c r="G249" s="12">
        <f t="shared" si="29"/>
        <v>0.28521801257963508</v>
      </c>
      <c r="H249" s="12">
        <f t="shared" si="30"/>
        <v>0.13261116386237279</v>
      </c>
      <c r="I249" s="12">
        <f t="shared" si="31"/>
        <v>0.29390653550826729</v>
      </c>
      <c r="J249" s="12">
        <f t="shared" si="32"/>
        <v>-7.7184848105251544E-2</v>
      </c>
      <c r="M249" s="123">
        <f>IF($Q$1,  C249, -0.2)</f>
        <v>-0.2</v>
      </c>
    </row>
    <row r="250" spans="2:13" x14ac:dyDescent="0.3">
      <c r="B250" s="12">
        <v>0.2917811485029469</v>
      </c>
      <c r="C250" s="12">
        <f t="shared" si="25"/>
        <v>2.7804127533873513E-2</v>
      </c>
      <c r="D250" s="12">
        <f t="shared" si="26"/>
        <v>0.10500431942688014</v>
      </c>
      <c r="E250" s="12">
        <f t="shared" si="27"/>
        <v>4.0582069311394908E-2</v>
      </c>
      <c r="F250" s="12">
        <f t="shared" si="28"/>
        <v>4.05598130374768E-2</v>
      </c>
      <c r="G250" s="12">
        <f t="shared" si="29"/>
        <v>0.28752336057633832</v>
      </c>
      <c r="H250" s="12">
        <f t="shared" si="30"/>
        <v>0.13272208758016066</v>
      </c>
      <c r="I250" s="12">
        <f t="shared" si="31"/>
        <v>0.29603893642955548</v>
      </c>
      <c r="J250" s="12">
        <f t="shared" si="32"/>
        <v>-7.7113832512413633E-2</v>
      </c>
      <c r="M250" s="123">
        <f>IF($Q$1,  C250, -0.2)</f>
        <v>-0.2</v>
      </c>
    </row>
    <row r="251" spans="2:13" x14ac:dyDescent="0.3">
      <c r="B251" s="12">
        <v>0.29400704083950302</v>
      </c>
      <c r="C251" s="12">
        <f t="shared" si="25"/>
        <v>2.7893529864075225E-2</v>
      </c>
      <c r="D251" s="12">
        <f t="shared" si="26"/>
        <v>0.10501671430154673</v>
      </c>
      <c r="E251" s="12">
        <f t="shared" si="27"/>
        <v>3.9747359685186362E-2</v>
      </c>
      <c r="F251" s="12">
        <f t="shared" si="28"/>
        <v>3.9726447847643086E-2</v>
      </c>
      <c r="G251" s="12">
        <f t="shared" si="29"/>
        <v>0.28983619708214209</v>
      </c>
      <c r="H251" s="12">
        <f t="shared" si="30"/>
        <v>0.13282738686478007</v>
      </c>
      <c r="I251" s="12">
        <f t="shared" si="31"/>
        <v>0.29817788459686395</v>
      </c>
      <c r="J251" s="12">
        <f t="shared" si="32"/>
        <v>-7.7040327136629616E-2</v>
      </c>
      <c r="M251" s="123">
        <f>IF($Q$1,  C251, -0.2)</f>
        <v>-0.2</v>
      </c>
    </row>
    <row r="252" spans="2:13" x14ac:dyDescent="0.3">
      <c r="B252" s="12">
        <v>0.29623992899682194</v>
      </c>
      <c r="C252" s="12">
        <f t="shared" si="25"/>
        <v>2.7981346437265388E-2</v>
      </c>
      <c r="D252" s="12">
        <f t="shared" si="26"/>
        <v>0.10502511000800044</v>
      </c>
      <c r="E252" s="12">
        <f t="shared" si="27"/>
        <v>3.8910026626191765E-2</v>
      </c>
      <c r="F252" s="12">
        <f t="shared" si="28"/>
        <v>3.889040797860556E-2</v>
      </c>
      <c r="G252" s="12">
        <f t="shared" si="29"/>
        <v>0.29215648914478848</v>
      </c>
      <c r="H252" s="12">
        <f t="shared" si="30"/>
        <v>0.13292704311496351</v>
      </c>
      <c r="I252" s="12">
        <f t="shared" si="31"/>
        <v>0.30032336884885541</v>
      </c>
      <c r="J252" s="12">
        <f t="shared" si="32"/>
        <v>-7.6964350240432744E-2</v>
      </c>
      <c r="M252" s="123">
        <f>IF($Q$1,  C252, -0.2)</f>
        <v>-0.2</v>
      </c>
    </row>
    <row r="253" spans="2:13" x14ac:dyDescent="0.3">
      <c r="B253" s="12">
        <v>0.29847979084878318</v>
      </c>
      <c r="C253" s="12">
        <f t="shared" si="25"/>
        <v>2.8067558837604971E-2</v>
      </c>
      <c r="D253" s="12">
        <f t="shared" si="26"/>
        <v>0.10502950773383408</v>
      </c>
      <c r="E253" s="12">
        <f t="shared" si="27"/>
        <v>3.8070078431706303E-2</v>
      </c>
      <c r="F253" s="12">
        <f t="shared" si="28"/>
        <v>3.8051702362210039E-2</v>
      </c>
      <c r="G253" s="12">
        <f t="shared" si="29"/>
        <v>0.2944842036672774</v>
      </c>
      <c r="H253" s="12">
        <f t="shared" si="30"/>
        <v>0.13302103795043144</v>
      </c>
      <c r="I253" s="12">
        <f t="shared" si="31"/>
        <v>0.30247537803028895</v>
      </c>
      <c r="J253" s="12">
        <f t="shared" si="32"/>
        <v>-7.6885920275221481E-2</v>
      </c>
      <c r="M253" s="123">
        <f>IF($Q$1,  C253, -0.2)</f>
        <v>-0.2</v>
      </c>
    </row>
    <row r="254" spans="2:13" x14ac:dyDescent="0.3">
      <c r="B254" s="12">
        <v>0.30072660420016228</v>
      </c>
      <c r="C254" s="12">
        <f t="shared" si="25"/>
        <v>2.815214866619414E-2</v>
      </c>
      <c r="D254" s="12">
        <f t="shared" si="26"/>
        <v>0.10502990885628918</v>
      </c>
      <c r="E254" s="12">
        <f t="shared" si="27"/>
        <v>3.7227523424939138E-2</v>
      </c>
      <c r="F254" s="12">
        <f t="shared" si="28"/>
        <v>3.7210339979077849E-2</v>
      </c>
      <c r="G254" s="12">
        <f t="shared" si="29"/>
        <v>0.29681930740930323</v>
      </c>
      <c r="H254" s="12">
        <f t="shared" si="30"/>
        <v>0.1331093532123736</v>
      </c>
      <c r="I254" s="12">
        <f t="shared" si="31"/>
        <v>0.30463390099102133</v>
      </c>
      <c r="J254" s="12">
        <f t="shared" si="32"/>
        <v>-7.6805055879985318E-2</v>
      </c>
      <c r="M254" s="123">
        <f>IF($Q$1,  C254, -0.2)</f>
        <v>-0.2</v>
      </c>
    </row>
    <row r="255" spans="2:13" x14ac:dyDescent="0.3">
      <c r="B255" s="12">
        <v>0.30298034678685137</v>
      </c>
      <c r="C255" s="12">
        <f t="shared" si="25"/>
        <v>2.8235097541950062E-2</v>
      </c>
      <c r="D255" s="12">
        <f t="shared" si="26"/>
        <v>0.10502631494146575</v>
      </c>
      <c r="E255" s="12">
        <f t="shared" si="27"/>
        <v>3.6382369954930729E-2</v>
      </c>
      <c r="F255" s="12">
        <f t="shared" si="28"/>
        <v>3.636632985860655E-2</v>
      </c>
      <c r="G255" s="12">
        <f t="shared" si="29"/>
        <v>0.29916176698870151</v>
      </c>
      <c r="H255" s="12">
        <f t="shared" si="30"/>
        <v>0.13319197096388996</v>
      </c>
      <c r="I255" s="12">
        <f t="shared" si="31"/>
        <v>0.30679892658500124</v>
      </c>
      <c r="J255" s="12">
        <f t="shared" si="32"/>
        <v>-7.6721775879989851E-2</v>
      </c>
      <c r="M255" s="123">
        <f>IF($Q$1,  C255, -0.2)</f>
        <v>-0.2</v>
      </c>
    </row>
    <row r="256" spans="2:13" x14ac:dyDescent="0.3">
      <c r="B256" s="12">
        <v>0.30524099627607926</v>
      </c>
      <c r="C256" s="12">
        <f t="shared" si="25"/>
        <v>2.8316387102484367E-2</v>
      </c>
      <c r="D256" s="12">
        <f t="shared" si="26"/>
        <v>0.10501872774349576</v>
      </c>
      <c r="E256" s="12">
        <f t="shared" si="27"/>
        <v>3.5534626396470273E-2</v>
      </c>
      <c r="F256" s="12">
        <f t="shared" si="28"/>
        <v>3.5519681078968128E-2</v>
      </c>
      <c r="G256" s="12">
        <f t="shared" si="29"/>
        <v>0.30151154888290432</v>
      </c>
      <c r="H256" s="12">
        <f t="shared" si="30"/>
        <v>0.13326887349039243</v>
      </c>
      <c r="I256" s="12">
        <f t="shared" si="31"/>
        <v>0.30897044366925419</v>
      </c>
      <c r="J256" s="12">
        <f t="shared" si="32"/>
        <v>-7.6636099285423698E-2</v>
      </c>
      <c r="M256" s="123">
        <f>IF($Q$1,  C256, -0.2)</f>
        <v>-0.2</v>
      </c>
    </row>
    <row r="257" spans="2:13" x14ac:dyDescent="0.3">
      <c r="B257" s="12">
        <v>0.30750853026663305</v>
      </c>
      <c r="C257" s="12">
        <f t="shared" si="25"/>
        <v>2.8395999004980303E-2</v>
      </c>
      <c r="D257" s="12">
        <f t="shared" si="26"/>
        <v>0.10500714920367941</v>
      </c>
      <c r="E257" s="12">
        <f t="shared" si="27"/>
        <v>3.4684301150012607E-2</v>
      </c>
      <c r="F257" s="12">
        <f t="shared" si="28"/>
        <v>3.4670402767104175E-2</v>
      </c>
      <c r="G257" s="12">
        <f t="shared" si="29"/>
        <v>0.3038686194304055</v>
      </c>
      <c r="H257" s="12">
        <f t="shared" si="30"/>
        <v>0.13334004329996688</v>
      </c>
      <c r="I257" s="12">
        <f t="shared" si="31"/>
        <v>0.31114844110286061</v>
      </c>
      <c r="J257" s="12">
        <f t="shared" si="32"/>
        <v>-7.6548045290006278E-2</v>
      </c>
      <c r="M257" s="123">
        <f>IF($Q$1,  C257, -0.2)</f>
        <v>-0.2</v>
      </c>
    </row>
    <row r="258" spans="2:13" x14ac:dyDescent="0.3">
      <c r="B258" s="12">
        <v>0.30978292628908</v>
      </c>
      <c r="C258" s="12">
        <f t="shared" ref="C258:C321" si="33">IF($A$1=0, 0, IF(B258&lt;=$A$2, ($A$1/$A$2^2)*(2*$A$2*B258-B258^2), ($A$1/(1-$A$2)^2)*((1-2*$A$2)+2*$A$2*B258-B258^2)))</f>
        <v>2.8473914927069702E-2</v>
      </c>
      <c r="D258" s="12">
        <f t="shared" ref="D258:D321" si="34">5*$A$3*(0.2969*SQRT(B258)-0.126*B258-0.3516*B258^2+0.2843*B258^3-0.1015*B258^4)</f>
        <v>0.10499158144958426</v>
      </c>
      <c r="E258" s="12">
        <f t="shared" ref="E258:E321" si="35">IF($A$1=0, 0, IF(B258&lt;=$A$2, ($A$1/$A$2^2) *(2*$A$2-2*B258), ($A$1/(1-$A$2)^2)*(2*$A$2-2*B258)))</f>
        <v>3.3831402641595003E-2</v>
      </c>
      <c r="F258" s="12">
        <f t="shared" ref="F258:F321" si="36">IF($A$1=0, 0,  ATAN(E258))</f>
        <v>3.3818504098718276E-2</v>
      </c>
      <c r="G258" s="12">
        <f t="shared" ref="G258:G321" si="37">B258-D258*SIN(F258)</f>
        <v>0.30623294483223401</v>
      </c>
      <c r="H258" s="12">
        <f t="shared" ref="H258:H321" si="38">C258+D258*COS(F258)</f>
        <v>0.13340546312369517</v>
      </c>
      <c r="I258" s="12">
        <f t="shared" ref="I258:I321" si="39">B258+D258*SIN(F258)</f>
        <v>0.31333290774592598</v>
      </c>
      <c r="J258" s="12">
        <f t="shared" ref="J258:J321" si="40">C258-D258*COS(F258)</f>
        <v>-7.6457633269555778E-2</v>
      </c>
      <c r="M258" s="123">
        <f>IF($Q$1,  C258, -0.2)</f>
        <v>-0.2</v>
      </c>
    </row>
    <row r="259" spans="2:13" x14ac:dyDescent="0.3">
      <c r="B259" s="12">
        <v>0.31206416180598984</v>
      </c>
      <c r="C259" s="12">
        <f t="shared" si="33"/>
        <v>2.8550116567709404E-2</v>
      </c>
      <c r="D259" s="12">
        <f t="shared" si="34"/>
        <v>0.10497202679410805</v>
      </c>
      <c r="E259" s="12">
        <f t="shared" si="35"/>
        <v>3.2975939322753813E-2</v>
      </c>
      <c r="F259" s="12">
        <f t="shared" si="36"/>
        <v>3.2963994298265631E-2</v>
      </c>
      <c r="G259" s="12">
        <f t="shared" si="37"/>
        <v>0.30860449115343591</v>
      </c>
      <c r="H259" s="12">
        <f t="shared" si="38"/>
        <v>0.13346511591593796</v>
      </c>
      <c r="I259" s="12">
        <f t="shared" si="39"/>
        <v>0.31552383245854376</v>
      </c>
      <c r="J259" s="12">
        <f t="shared" si="40"/>
        <v>-7.6364882780519144E-2</v>
      </c>
      <c r="M259" s="123">
        <f>IF($Q$1,  C259, -0.2)</f>
        <v>-0.2</v>
      </c>
    </row>
    <row r="260" spans="2:13" x14ac:dyDescent="0.3">
      <c r="B260" s="12">
        <v>0.31435221421215875</v>
      </c>
      <c r="C260" s="12">
        <f t="shared" si="33"/>
        <v>2.8624585648057501E-2</v>
      </c>
      <c r="D260" s="12">
        <f t="shared" si="34"/>
        <v>0.10494848773450473</v>
      </c>
      <c r="E260" s="12">
        <f t="shared" si="35"/>
        <v>3.2117919670440469E-2</v>
      </c>
      <c r="F260" s="12">
        <f t="shared" si="36"/>
        <v>3.2106882638939419E-2</v>
      </c>
      <c r="G260" s="12">
        <f t="shared" si="37"/>
        <v>0.31098322432456466</v>
      </c>
      <c r="H260" s="12">
        <f t="shared" si="38"/>
        <v>0.13351898485457747</v>
      </c>
      <c r="I260" s="12">
        <f t="shared" si="39"/>
        <v>0.31772120409975285</v>
      </c>
      <c r="J260" s="12">
        <f t="shared" si="40"/>
        <v>-7.6269813558462476E-2</v>
      </c>
      <c r="M260" s="123">
        <f>IF($Q$1,  C260, -0.2)</f>
        <v>-0.2</v>
      </c>
    </row>
    <row r="261" spans="2:13" x14ac:dyDescent="0.3">
      <c r="B261" s="12">
        <v>0.31664706083483307</v>
      </c>
      <c r="C261" s="12">
        <f t="shared" si="33"/>
        <v>2.8697303912348999E-2</v>
      </c>
      <c r="D261" s="12">
        <f t="shared" si="34"/>
        <v>0.10492096695137414</v>
      </c>
      <c r="E261" s="12">
        <f t="shared" si="35"/>
        <v>3.1257352186937599E-2</v>
      </c>
      <c r="F261" s="12">
        <f t="shared" si="36"/>
        <v>3.1247178442654525E-2</v>
      </c>
      <c r="G261" s="12">
        <f t="shared" si="37"/>
        <v>0.31336911014317892</v>
      </c>
      <c r="H261" s="12">
        <f t="shared" si="38"/>
        <v>0.13356705334122115</v>
      </c>
      <c r="I261" s="12">
        <f t="shared" si="39"/>
        <v>0.31992501152648722</v>
      </c>
      <c r="J261" s="12">
        <f t="shared" si="40"/>
        <v>-7.6172445516523149E-2</v>
      </c>
      <c r="M261" s="123">
        <f>IF($Q$1,  C261, -0.2)</f>
        <v>-0.2</v>
      </c>
    </row>
    <row r="262" spans="2:13" x14ac:dyDescent="0.3">
      <c r="B262" s="12">
        <v>0.31894867893393375</v>
      </c>
      <c r="C262" s="12">
        <f t="shared" si="33"/>
        <v>2.8768253128771015E-2</v>
      </c>
      <c r="D262" s="12">
        <f t="shared" si="34"/>
        <v>0.10488946730761545</v>
      </c>
      <c r="E262" s="12">
        <f t="shared" si="35"/>
        <v>3.0394245399774842E-2</v>
      </c>
      <c r="F262" s="12">
        <f t="shared" si="36"/>
        <v>3.038489108002838E-2</v>
      </c>
      <c r="G262" s="12">
        <f t="shared" si="37"/>
        <v>0.31576211427534762</v>
      </c>
      <c r="H262" s="12">
        <f t="shared" si="38"/>
        <v>0.13360930500136517</v>
      </c>
      <c r="I262" s="12">
        <f t="shared" si="39"/>
        <v>0.32213524359251988</v>
      </c>
      <c r="J262" s="12">
        <f t="shared" si="40"/>
        <v>-7.6072798743823139E-2</v>
      </c>
      <c r="M262" s="123">
        <f>IF($Q$1,  C262, -0.2)</f>
        <v>-0.2</v>
      </c>
    </row>
    <row r="263" spans="2:13" x14ac:dyDescent="0.3">
      <c r="B263" s="12">
        <v>0.3212570457022822</v>
      </c>
      <c r="C263" s="12">
        <f t="shared" si="33"/>
        <v>2.8837415090337659E-2</v>
      </c>
      <c r="D263" s="12">
        <f t="shared" si="34"/>
        <v>0.1048539918473447</v>
      </c>
      <c r="E263" s="12">
        <f t="shared" si="35"/>
        <v>2.9528607861644175E-2</v>
      </c>
      <c r="F263" s="12">
        <f t="shared" si="36"/>
        <v>2.9520029970358495E-2</v>
      </c>
      <c r="G263" s="12">
        <f t="shared" si="37"/>
        <v>0.31816220225716241</v>
      </c>
      <c r="H263" s="12">
        <f t="shared" si="38"/>
        <v>0.13364572368451938</v>
      </c>
      <c r="I263" s="12">
        <f t="shared" si="39"/>
        <v>0.32435188914740198</v>
      </c>
      <c r="J263" s="12">
        <f t="shared" si="40"/>
        <v>-7.5970893503844075E-2</v>
      </c>
      <c r="M263" s="123">
        <f>IF($Q$1,  C263, -0.2)</f>
        <v>-0.2</v>
      </c>
    </row>
    <row r="264" spans="2:13" x14ac:dyDescent="0.3">
      <c r="B264" s="12">
        <v>0.32357213826582509</v>
      </c>
      <c r="C264" s="12">
        <f t="shared" si="33"/>
        <v>2.8904771615764099E-2</v>
      </c>
      <c r="D264" s="12">
        <f t="shared" si="34"/>
        <v>0.10481454379477606</v>
      </c>
      <c r="E264" s="12">
        <f t="shared" si="35"/>
        <v>2.8660448150315591E-2</v>
      </c>
      <c r="F264" s="12">
        <f t="shared" si="36"/>
        <v>2.8652604581597647E-2</v>
      </c>
      <c r="G264" s="12">
        <f t="shared" si="37"/>
        <v>0.32056933949625571</v>
      </c>
      <c r="H264" s="12">
        <f t="shared" si="38"/>
        <v>0.13367629346429172</v>
      </c>
      <c r="I264" s="12">
        <f t="shared" si="39"/>
        <v>0.32657493703539447</v>
      </c>
      <c r="J264" s="12">
        <f t="shared" si="40"/>
        <v>-7.5866750232763527E-2</v>
      </c>
      <c r="M264" s="123">
        <f>IF($Q$1,  C264, -0.2)</f>
        <v>-0.2</v>
      </c>
    </row>
    <row r="265" spans="2:13" x14ac:dyDescent="0.3">
      <c r="B265" s="12">
        <v>0.32589393368386299</v>
      </c>
      <c r="C265" s="12">
        <f t="shared" si="33"/>
        <v>2.8970304550340307E-2</v>
      </c>
      <c r="D265" s="12">
        <f t="shared" si="34"/>
        <v>0.10477112655306793</v>
      </c>
      <c r="E265" s="12">
        <f t="shared" si="35"/>
        <v>2.778977486855138E-2</v>
      </c>
      <c r="F265" s="12">
        <f t="shared" si="36"/>
        <v>2.7782624430324934E-2</v>
      </c>
      <c r="G265" s="12">
        <f t="shared" si="37"/>
        <v>0.32298349127332771</v>
      </c>
      <c r="H265" s="12">
        <f t="shared" si="38"/>
        <v>0.13370099863843435</v>
      </c>
      <c r="I265" s="12">
        <f t="shared" si="39"/>
        <v>0.32880437609439828</v>
      </c>
      <c r="J265" s="12">
        <f t="shared" si="40"/>
        <v>-7.5760389537753728E-2</v>
      </c>
      <c r="M265" s="123">
        <f>IF($Q$1,  C265, -0.2)</f>
        <v>-0.2</v>
      </c>
    </row>
    <row r="266" spans="2:13" x14ac:dyDescent="0.3">
      <c r="B266" s="12">
        <v>0.3282224089492759</v>
      </c>
      <c r="C266" s="12">
        <f t="shared" si="33"/>
        <v>2.9033995766804061E-2</v>
      </c>
      <c r="D266" s="12">
        <f t="shared" si="34"/>
        <v>0.10472374370313313</v>
      </c>
      <c r="E266" s="12">
        <f t="shared" si="35"/>
        <v>2.6916596644021538E-2</v>
      </c>
      <c r="F266" s="12">
        <f t="shared" si="36"/>
        <v>2.6910099081715128E-2</v>
      </c>
      <c r="G266" s="12">
        <f t="shared" si="37"/>
        <v>0.3254046227436761</v>
      </c>
      <c r="H266" s="12">
        <f t="shared" si="38"/>
        <v>0.13371982372884986</v>
      </c>
      <c r="I266" s="12">
        <f t="shared" si="39"/>
        <v>0.3310401951548757</v>
      </c>
      <c r="J266" s="12">
        <f t="shared" si="40"/>
        <v>-7.5651832195241728E-2</v>
      </c>
      <c r="M266" s="123">
        <f>IF($Q$1,  C266, -0.2)</f>
        <v>-0.2</v>
      </c>
    </row>
    <row r="267" spans="2:13" x14ac:dyDescent="0.3">
      <c r="B267" s="12">
        <v>0.33055754098875223</v>
      </c>
      <c r="C267" s="12">
        <f t="shared" si="33"/>
        <v>2.9095827166213343E-2</v>
      </c>
      <c r="D267" s="12">
        <f t="shared" si="34"/>
        <v>0.10467239900241365</v>
      </c>
      <c r="E267" s="12">
        <f t="shared" si="35"/>
        <v>2.6040922129217915E-2</v>
      </c>
      <c r="F267" s="12">
        <f t="shared" si="36"/>
        <v>2.6035038149504017E-2</v>
      </c>
      <c r="G267" s="12">
        <f t="shared" si="37"/>
        <v>0.32783269893873362</v>
      </c>
      <c r="H267" s="12">
        <f t="shared" si="38"/>
        <v>0.13373275348155833</v>
      </c>
      <c r="I267" s="12">
        <f t="shared" si="39"/>
        <v>0.33328238303877084</v>
      </c>
      <c r="J267" s="12">
        <f t="shared" si="40"/>
        <v>-7.5541099149131652E-2</v>
      </c>
      <c r="M267" s="123">
        <f>IF($Q$1,  C267, -0.2)</f>
        <v>-0.2</v>
      </c>
    </row>
    <row r="268" spans="2:13" x14ac:dyDescent="0.3">
      <c r="B268" s="12">
        <v>0.33289930666301693</v>
      </c>
      <c r="C268" s="12">
        <f t="shared" si="33"/>
        <v>2.9155780678818029E-2</v>
      </c>
      <c r="D268" s="12">
        <f t="shared" si="34"/>
        <v>0.10461709638362118</v>
      </c>
      <c r="E268" s="12">
        <f t="shared" si="35"/>
        <v>2.5162760001368654E-2</v>
      </c>
      <c r="F268" s="12">
        <f t="shared" si="36"/>
        <v>2.5157451295951167E-2</v>
      </c>
      <c r="G268" s="12">
        <f t="shared" si="37"/>
        <v>0.33026768476761009</v>
      </c>
      <c r="H268" s="12">
        <f t="shared" si="38"/>
        <v>0.13373977286662608</v>
      </c>
      <c r="I268" s="12">
        <f t="shared" si="39"/>
        <v>0.33553092855842376</v>
      </c>
      <c r="J268" s="12">
        <f t="shared" si="40"/>
        <v>-7.542821150899004E-2</v>
      </c>
      <c r="M268" s="123">
        <f>IF($Q$1,  C268, -0.2)</f>
        <v>-0.2</v>
      </c>
    </row>
    <row r="269" spans="2:13" x14ac:dyDescent="0.3">
      <c r="B269" s="12">
        <v>0.33524768276706118</v>
      </c>
      <c r="C269" s="12">
        <f t="shared" si="33"/>
        <v>2.9213838264930906E-2</v>
      </c>
      <c r="D269" s="12">
        <f t="shared" si="34"/>
        <v>0.10455783995344137</v>
      </c>
      <c r="E269" s="12">
        <f t="shared" si="35"/>
        <v>2.4282118962352058E-2</v>
      </c>
      <c r="F269" s="12">
        <f t="shared" si="36"/>
        <v>2.4277348231799327E-2</v>
      </c>
      <c r="G269" s="12">
        <f t="shared" si="37"/>
        <v>0.3327095450186397</v>
      </c>
      <c r="H269" s="12">
        <f t="shared" si="38"/>
        <v>0.13374086707805416</v>
      </c>
      <c r="I269" s="12">
        <f t="shared" si="39"/>
        <v>0.33778582051548267</v>
      </c>
      <c r="J269" s="12">
        <f t="shared" si="40"/>
        <v>-7.5313190548192341E-2</v>
      </c>
      <c r="M269" s="123">
        <f>IF($Q$1,  C269, -0.2)</f>
        <v>-0.2</v>
      </c>
    </row>
    <row r="270" spans="2:13" x14ac:dyDescent="0.3">
      <c r="B270" s="12">
        <v>0.33760264603037182</v>
      </c>
      <c r="C270" s="12">
        <f t="shared" si="33"/>
        <v>2.9269981915797914E-2</v>
      </c>
      <c r="D270" s="12">
        <f t="shared" si="34"/>
        <v>0.10449463399120487</v>
      </c>
      <c r="E270" s="12">
        <f t="shared" si="35"/>
        <v>2.3399007738610568E-2</v>
      </c>
      <c r="F270" s="12">
        <f t="shared" si="36"/>
        <v>2.3394738716231038E-2</v>
      </c>
      <c r="G270" s="12">
        <f t="shared" si="37"/>
        <v>0.33515824436093217</v>
      </c>
      <c r="H270" s="12">
        <f t="shared" si="38"/>
        <v>0.13373602153362926</v>
      </c>
      <c r="I270" s="12">
        <f t="shared" si="39"/>
        <v>0.34004704769981148</v>
      </c>
      <c r="J270" s="12">
        <f t="shared" si="40"/>
        <v>-7.5196057702033442E-2</v>
      </c>
      <c r="M270" s="123">
        <f>IF($Q$1,  C270, -0.2)</f>
        <v>-0.2</v>
      </c>
    </row>
    <row r="271" spans="2:13" x14ac:dyDescent="0.3">
      <c r="B271" s="12">
        <v>0.33996417311716254</v>
      </c>
      <c r="C271" s="12">
        <f t="shared" si="33"/>
        <v>2.9324193654467617E-2</v>
      </c>
      <c r="D271" s="12">
        <f t="shared" si="34"/>
        <v>0.10442748294752273</v>
      </c>
      <c r="E271" s="12">
        <f t="shared" si="35"/>
        <v>2.251343508106405E-2</v>
      </c>
      <c r="F271" s="12">
        <f t="shared" si="36"/>
        <v>2.2509632556821708E-2</v>
      </c>
      <c r="G271" s="12">
        <f t="shared" si="37"/>
        <v>0.33761374734592919</v>
      </c>
      <c r="H271" s="12">
        <f t="shared" si="38"/>
        <v>0.13372522187473504</v>
      </c>
      <c r="I271" s="12">
        <f t="shared" si="39"/>
        <v>0.34231459888839588</v>
      </c>
      <c r="J271" s="12">
        <f t="shared" si="40"/>
        <v>-7.5076834565799805E-2</v>
      </c>
      <c r="M271" s="123">
        <f>IF($Q$1,  C271, -0.2)</f>
        <v>-0.2</v>
      </c>
    </row>
    <row r="272" spans="2:13" x14ac:dyDescent="0.3">
      <c r="B272" s="12">
        <v>0.34233224062660483</v>
      </c>
      <c r="C272" s="12">
        <f t="shared" si="33"/>
        <v>2.9376455536659785E-2</v>
      </c>
      <c r="D272" s="12">
        <f t="shared" si="34"/>
        <v>0.10435639144288826</v>
      </c>
      <c r="E272" s="12">
        <f t="shared" si="35"/>
        <v>2.1625409765023189E-2</v>
      </c>
      <c r="F272" s="12">
        <f t="shared" si="36"/>
        <v>2.1622039609489867E-2</v>
      </c>
      <c r="G272" s="12">
        <f t="shared" si="37"/>
        <v>0.3400760184089639</v>
      </c>
      <c r="H272" s="12">
        <f t="shared" si="38"/>
        <v>0.13370845396612507</v>
      </c>
      <c r="I272" s="12">
        <f t="shared" si="39"/>
        <v>0.34458846284424577</v>
      </c>
      <c r="J272" s="12">
        <f t="shared" si="40"/>
        <v>-7.4955542892805496E-2</v>
      </c>
      <c r="M272" s="123">
        <f>IF($Q$1,  C272, -0.2)</f>
        <v>-0.2</v>
      </c>
    </row>
    <row r="273" spans="2:13" x14ac:dyDescent="0.3">
      <c r="B273" s="12">
        <v>0.34470682509305983</v>
      </c>
      <c r="C273" s="12">
        <f t="shared" si="33"/>
        <v>2.9426749651633208E-2</v>
      </c>
      <c r="D273" s="12">
        <f t="shared" si="34"/>
        <v>0.10428136426624485</v>
      </c>
      <c r="E273" s="12">
        <f t="shared" si="35"/>
        <v>2.0734940590102564E-2</v>
      </c>
      <c r="F273" s="12">
        <f t="shared" si="36"/>
        <v>2.0731969778444225E-2</v>
      </c>
      <c r="G273" s="12">
        <f t="shared" si="37"/>
        <v>0.34254502187082375</v>
      </c>
      <c r="H273" s="12">
        <f t="shared" si="38"/>
        <v>0.13368570389565762</v>
      </c>
      <c r="I273" s="12">
        <f t="shared" si="39"/>
        <v>0.34686862831529591</v>
      </c>
      <c r="J273" s="12">
        <f t="shared" si="40"/>
        <v>-7.4832204592391205E-2</v>
      </c>
      <c r="M273" s="123">
        <f>IF($Q$1,  C273, -0.2)</f>
        <v>-0.2</v>
      </c>
    </row>
    <row r="274" spans="2:13" x14ac:dyDescent="0.3">
      <c r="B274" s="12">
        <v>0.34708790298631065</v>
      </c>
      <c r="C274" s="12">
        <f t="shared" si="33"/>
        <v>2.9475058123052601E-2</v>
      </c>
      <c r="D274" s="12">
        <f t="shared" si="34"/>
        <v>0.10420240637351968</v>
      </c>
      <c r="E274" s="12">
        <f t="shared" si="35"/>
        <v>1.9842036380133508E-2</v>
      </c>
      <c r="F274" s="12">
        <f t="shared" si="36"/>
        <v>1.9839433016127537E-2</v>
      </c>
      <c r="G274" s="12">
        <f t="shared" si="37"/>
        <v>0.34502072193931688</v>
      </c>
      <c r="H274" s="12">
        <f t="shared" si="38"/>
        <v>0.1336569579739916</v>
      </c>
      <c r="I274" s="12">
        <f t="shared" si="39"/>
        <v>0.34915508403330442</v>
      </c>
      <c r="J274" s="12">
        <f t="shared" si="40"/>
        <v>-7.4706841727886414E-2</v>
      </c>
      <c r="M274" s="123">
        <f>IF($Q$1,  C274, -0.2)</f>
        <v>-0.2</v>
      </c>
    </row>
    <row r="275" spans="2:13" x14ac:dyDescent="0.3">
      <c r="B275" s="12">
        <v>0.34947545071179609</v>
      </c>
      <c r="C275" s="12">
        <f t="shared" si="33"/>
        <v>2.9521363109854461E-2</v>
      </c>
      <c r="D275" s="12">
        <f t="shared" si="34"/>
        <v>0.10411952288612476</v>
      </c>
      <c r="E275" s="12">
        <f t="shared" si="35"/>
        <v>1.8946705983076469E-2</v>
      </c>
      <c r="F275" s="12">
        <f t="shared" si="36"/>
        <v>1.8944439323157057E-2</v>
      </c>
      <c r="G275" s="12">
        <f t="shared" si="37"/>
        <v>0.34750308271084135</v>
      </c>
      <c r="H275" s="12">
        <f t="shared" si="38"/>
        <v>0.13362220273424494</v>
      </c>
      <c r="I275" s="12">
        <f t="shared" si="39"/>
        <v>0.35144781871275083</v>
      </c>
      <c r="J275" s="12">
        <f t="shared" si="40"/>
        <v>-7.4579476514536031E-2</v>
      </c>
      <c r="M275" s="123">
        <f>IF($Q$1,  C275, -0.2)</f>
        <v>-0.2</v>
      </c>
    </row>
    <row r="276" spans="2:13" x14ac:dyDescent="0.3">
      <c r="B276" s="12">
        <v>0.35186944461084391</v>
      </c>
      <c r="C276" s="12">
        <f t="shared" si="33"/>
        <v>2.9565646807112125E-2</v>
      </c>
      <c r="D276" s="12">
        <f t="shared" si="34"/>
        <v>0.10403271908942342</v>
      </c>
      <c r="E276" s="12">
        <f t="shared" si="35"/>
        <v>1.8048958270933536E-2</v>
      </c>
      <c r="F276" s="12">
        <f t="shared" si="36"/>
        <v>1.8046998748262176E-2</v>
      </c>
      <c r="G276" s="12">
        <f t="shared" si="37"/>
        <v>0.34999206817195611</v>
      </c>
      <c r="H276" s="12">
        <f t="shared" si="38"/>
        <v>0.13358142493161396</v>
      </c>
      <c r="I276" s="12">
        <f t="shared" si="39"/>
        <v>0.35374682104973171</v>
      </c>
      <c r="J276" s="12">
        <f t="shared" si="40"/>
        <v>-7.4450131317389701E-2</v>
      </c>
      <c r="M276" s="123">
        <f>IF($Q$1,  C276, -0.2)</f>
        <v>-0.2</v>
      </c>
    </row>
    <row r="277" spans="2:13" x14ac:dyDescent="0.3">
      <c r="B277" s="12">
        <v>0.35426986096090574</v>
      </c>
      <c r="C277" s="12">
        <f t="shared" si="33"/>
        <v>2.9607891446899699E-2</v>
      </c>
      <c r="D277" s="12">
        <f t="shared" si="34"/>
        <v>0.10394200043116547</v>
      </c>
      <c r="E277" s="12">
        <f t="shared" si="35"/>
        <v>1.7148802139660354E-2</v>
      </c>
      <c r="F277" s="12">
        <f t="shared" si="36"/>
        <v>1.7147121388218448E-2</v>
      </c>
      <c r="G277" s="12">
        <f t="shared" si="37"/>
        <v>0.35248764220095458</v>
      </c>
      <c r="H277" s="12">
        <f t="shared" si="38"/>
        <v>0.13353461154295623</v>
      </c>
      <c r="I277" s="12">
        <f t="shared" si="39"/>
        <v>0.3560520797208569</v>
      </c>
      <c r="J277" s="12">
        <f t="shared" si="40"/>
        <v>-7.4318828649156843E-2</v>
      </c>
      <c r="M277" s="123">
        <f>IF($Q$1,  C277, -0.2)</f>
        <v>-0.2</v>
      </c>
    </row>
    <row r="278" spans="2:13" x14ac:dyDescent="0.3">
      <c r="B278" s="12">
        <v>0.35667667597579156</v>
      </c>
      <c r="C278" s="12">
        <f t="shared" si="33"/>
        <v>2.9648079299155018E-2</v>
      </c>
      <c r="D278" s="12">
        <f t="shared" si="34"/>
        <v>0.10384737251988817</v>
      </c>
      <c r="E278" s="12">
        <f t="shared" si="35"/>
        <v>1.6246246509078171E-2</v>
      </c>
      <c r="F278" s="12">
        <f t="shared" si="36"/>
        <v>1.6244817387778766E-2</v>
      </c>
      <c r="G278" s="12">
        <f t="shared" si="37"/>
        <v>0.35498976856943937</v>
      </c>
      <c r="H278" s="12">
        <f t="shared" si="38"/>
        <v>0.13348174976633451</v>
      </c>
      <c r="I278" s="12">
        <f t="shared" si="39"/>
        <v>0.35836358338214375</v>
      </c>
      <c r="J278" s="12">
        <f t="shared" si="40"/>
        <v>-7.4185591168024465E-2</v>
      </c>
      <c r="M278" s="123">
        <f>IF($Q$1,  C278, -0.2)</f>
        <v>-0.2</v>
      </c>
    </row>
    <row r="279" spans="2:13" x14ac:dyDescent="0.3">
      <c r="B279" s="12">
        <v>0.35908986580590629</v>
      </c>
      <c r="C279" s="12">
        <f t="shared" si="33"/>
        <v>2.9686192672541471E-2</v>
      </c>
      <c r="D279" s="12">
        <f t="shared" si="34"/>
        <v>0.10374884112328606</v>
      </c>
      <c r="E279" s="12">
        <f t="shared" si="35"/>
        <v>1.5341300322785143E-2</v>
      </c>
      <c r="F279" s="12">
        <f t="shared" si="36"/>
        <v>1.5340096939600771E-2</v>
      </c>
      <c r="G279" s="12">
        <f t="shared" si="37"/>
        <v>0.35749841094389895</v>
      </c>
      <c r="H279" s="12">
        <f t="shared" si="38"/>
        <v>0.13342282702052408</v>
      </c>
      <c r="I279" s="12">
        <f t="shared" si="39"/>
        <v>0.36068132066791364</v>
      </c>
      <c r="J279" s="12">
        <f t="shared" si="40"/>
        <v>-7.4050441675441142E-2</v>
      </c>
      <c r="M279" s="123">
        <f>IF($Q$1,  C279, -0.2)</f>
        <v>-0.2</v>
      </c>
    </row>
    <row r="280" spans="2:13" x14ac:dyDescent="0.3">
      <c r="B280" s="12">
        <v>0.36150940653848485</v>
      </c>
      <c r="C280" s="12">
        <f t="shared" si="33"/>
        <v>2.9722213915308812E-2</v>
      </c>
      <c r="D280" s="12">
        <f t="shared" si="34"/>
        <v>0.10364641216654753</v>
      </c>
      <c r="E280" s="12">
        <f t="shared" si="35"/>
        <v>1.4433972548068188E-2</v>
      </c>
      <c r="F280" s="12">
        <f t="shared" si="36"/>
        <v>1.4432970284171771E-2</v>
      </c>
      <c r="G280" s="12">
        <f t="shared" si="37"/>
        <v>0.36001353288728366</v>
      </c>
      <c r="H280" s="12">
        <f t="shared" si="38"/>
        <v>0.1333578309444822</v>
      </c>
      <c r="I280" s="12">
        <f t="shared" si="39"/>
        <v>0.36300528018968603</v>
      </c>
      <c r="J280" s="12">
        <f t="shared" si="40"/>
        <v>-7.3913403113864573E-2</v>
      </c>
      <c r="M280" s="123">
        <f>IF($Q$1,  C280, -0.2)</f>
        <v>-0.2</v>
      </c>
    </row>
    <row r="281" spans="2:13" x14ac:dyDescent="0.3">
      <c r="B281" s="12">
        <v>0.36393527419783034</v>
      </c>
      <c r="C281" s="12">
        <f t="shared" si="33"/>
        <v>2.975612541615268E-2</v>
      </c>
      <c r="D281" s="12">
        <f t="shared" si="34"/>
        <v>0.10354009173066063</v>
      </c>
      <c r="E281" s="12">
        <f t="shared" si="35"/>
        <v>1.3524272175813628E-2</v>
      </c>
      <c r="F281" s="12">
        <f t="shared" si="36"/>
        <v>1.3523447709729403E-2</v>
      </c>
      <c r="G281" s="12">
        <f t="shared" si="37"/>
        <v>0.36253509786058452</v>
      </c>
      <c r="H281" s="12">
        <f t="shared" si="38"/>
        <v>0.13328674939678092</v>
      </c>
      <c r="I281" s="12">
        <f t="shared" si="39"/>
        <v>0.36533545053507616</v>
      </c>
      <c r="J281" s="12">
        <f t="shared" si="40"/>
        <v>-7.3774498564475557E-2</v>
      </c>
      <c r="M281" s="123">
        <f>IF($Q$1,  C281, -0.2)</f>
        <v>-0.2</v>
      </c>
    </row>
    <row r="282" spans="2:13" x14ac:dyDescent="0.3">
      <c r="B282" s="12">
        <v>0.36636744474555105</v>
      </c>
      <c r="C282" s="12">
        <f t="shared" si="33"/>
        <v>2.9787909605073076E-2</v>
      </c>
      <c r="D282" s="12">
        <f t="shared" si="34"/>
        <v>0.10342988605068636</v>
      </c>
      <c r="E282" s="12">
        <f t="shared" si="35"/>
        <v>1.261220822041836E-2</v>
      </c>
      <c r="F282" s="12">
        <f t="shared" si="36"/>
        <v>1.2611539552179758E-2</v>
      </c>
      <c r="G282" s="12">
        <f t="shared" si="37"/>
        <v>0.36506306922441023</v>
      </c>
      <c r="H282" s="12">
        <f t="shared" si="38"/>
        <v>0.13320957045500242</v>
      </c>
      <c r="I282" s="12">
        <f t="shared" si="39"/>
        <v>0.36767182026669187</v>
      </c>
      <c r="J282" s="12">
        <f t="shared" si="40"/>
        <v>-7.3633751244856285E-2</v>
      </c>
      <c r="M282" s="123">
        <f>IF($Q$1,  C282, -0.2)</f>
        <v>-0.2</v>
      </c>
    </row>
    <row r="283" spans="2:13" x14ac:dyDescent="0.3">
      <c r="B283" s="12">
        <v>0.36880589408079867</v>
      </c>
      <c r="C283" s="12">
        <f t="shared" si="33"/>
        <v>2.9817548954231551E-2</v>
      </c>
      <c r="D283" s="12">
        <f t="shared" si="34"/>
        <v>0.1033158015140016</v>
      </c>
      <c r="E283" s="12">
        <f t="shared" si="35"/>
        <v>1.1697789719700504E-2</v>
      </c>
      <c r="F283" s="12">
        <f t="shared" si="36"/>
        <v>1.1697256195011897E-2</v>
      </c>
      <c r="G283" s="12">
        <f t="shared" si="37"/>
        <v>0.36759741024056486</v>
      </c>
      <c r="H283" s="12">
        <f t="shared" si="38"/>
        <v>0.13312628241509858</v>
      </c>
      <c r="I283" s="12">
        <f t="shared" si="39"/>
        <v>0.37001437792103248</v>
      </c>
      <c r="J283" s="12">
        <f t="shared" si="40"/>
        <v>-7.3491184506635485E-2</v>
      </c>
      <c r="M283" s="123">
        <f>IF($Q$1,  C283, -0.2)</f>
        <v>-0.2</v>
      </c>
    </row>
    <row r="284" spans="2:13" x14ac:dyDescent="0.3">
      <c r="B284" s="12">
        <v>0.3712505980405072</v>
      </c>
      <c r="C284" s="12">
        <f t="shared" si="33"/>
        <v>2.9845025978807154E-2</v>
      </c>
      <c r="D284" s="12">
        <f t="shared" si="34"/>
        <v>0.10319784465851031</v>
      </c>
      <c r="E284" s="12">
        <f t="shared" si="35"/>
        <v>1.0781025734809806E-2</v>
      </c>
      <c r="F284" s="12">
        <f t="shared" si="36"/>
        <v>1.0780608069209035E-2</v>
      </c>
      <c r="G284" s="12">
        <f t="shared" si="37"/>
        <v>0.37013808407362447</v>
      </c>
      <c r="H284" s="12">
        <f t="shared" si="38"/>
        <v>0.13303687379071288</v>
      </c>
      <c r="I284" s="12">
        <f t="shared" si="39"/>
        <v>0.37236311200738992</v>
      </c>
      <c r="J284" s="12">
        <f t="shared" si="40"/>
        <v>-7.3346821833098583E-2</v>
      </c>
      <c r="M284" s="123">
        <f>IF($Q$1,  C284, -0.2)</f>
        <v>-0.2</v>
      </c>
    </row>
    <row r="285" spans="2:13" x14ac:dyDescent="0.3">
      <c r="B285" s="12">
        <v>0.37370153239963222</v>
      </c>
      <c r="C285" s="12">
        <f t="shared" si="33"/>
        <v>2.9870323237851073E-2</v>
      </c>
      <c r="D285" s="12">
        <f t="shared" si="34"/>
        <v>0.1030760221708249</v>
      </c>
      <c r="E285" s="12">
        <f t="shared" si="35"/>
        <v>9.8619253501379227E-3</v>
      </c>
      <c r="F285" s="12">
        <f t="shared" si="36"/>
        <v>9.8616056531564966E-3</v>
      </c>
      <c r="G285" s="12">
        <f t="shared" si="37"/>
        <v>0.37268505379251304</v>
      </c>
      <c r="H285" s="12">
        <f t="shared" si="38"/>
        <v>0.13294133331246738</v>
      </c>
      <c r="I285" s="12">
        <f t="shared" si="39"/>
        <v>0.37471801100675139</v>
      </c>
      <c r="J285" s="12">
        <f t="shared" si="40"/>
        <v>-7.3200686836765227E-2</v>
      </c>
      <c r="M285" s="123">
        <f>IF($Q$1,  C285, -0.2)</f>
        <v>-0.2</v>
      </c>
    </row>
    <row r="286" spans="2:13" x14ac:dyDescent="0.3">
      <c r="B286" s="12">
        <v>0.37615867287139115</v>
      </c>
      <c r="C286" s="12">
        <f t="shared" si="33"/>
        <v>2.9893423335139988E-2</v>
      </c>
      <c r="D286" s="12">
        <f t="shared" si="34"/>
        <v>0.10295034088441667</v>
      </c>
      <c r="E286" s="12">
        <f t="shared" si="35"/>
        <v>8.9404976732283224E-3</v>
      </c>
      <c r="F286" s="12">
        <f t="shared" si="36"/>
        <v>8.940259472546154E-3</v>
      </c>
      <c r="G286" s="12">
        <f t="shared" si="37"/>
        <v>0.37523828237207707</v>
      </c>
      <c r="H286" s="12">
        <f t="shared" si="38"/>
        <v>0.13283964992721264</v>
      </c>
      <c r="I286" s="12">
        <f t="shared" si="39"/>
        <v>0.37707906337070524</v>
      </c>
      <c r="J286" s="12">
        <f t="shared" si="40"/>
        <v>-7.3052803256932669E-2</v>
      </c>
      <c r="M286" s="123">
        <f>IF($Q$1,  C286, -0.2)</f>
        <v>-0.2</v>
      </c>
    </row>
    <row r="287" spans="2:13" x14ac:dyDescent="0.3">
      <c r="B287" s="12">
        <v>0.37862199510750394</v>
      </c>
      <c r="C287" s="12">
        <f t="shared" si="33"/>
        <v>2.9914308920028075E-2</v>
      </c>
      <c r="D287" s="12">
        <f t="shared" si="34"/>
        <v>0.10282080777773654</v>
      </c>
      <c r="E287" s="12">
        <f t="shared" si="35"/>
        <v>8.0167518346860294E-3</v>
      </c>
      <c r="F287" s="12">
        <f t="shared" si="36"/>
        <v>8.0165801002775837E-3</v>
      </c>
      <c r="G287" s="12">
        <f t="shared" si="37"/>
        <v>0.37779773269465844</v>
      </c>
      <c r="H287" s="12">
        <f t="shared" si="38"/>
        <v>0.13273181279724258</v>
      </c>
      <c r="I287" s="12">
        <f t="shared" si="39"/>
        <v>0.37944625752034944</v>
      </c>
      <c r="J287" s="12">
        <f t="shared" si="40"/>
        <v>-7.2903194957186418E-2</v>
      </c>
      <c r="M287" s="123">
        <f>IF($Q$1,  C287, -0.2)</f>
        <v>-0.2</v>
      </c>
    </row>
    <row r="288" spans="2:13" x14ac:dyDescent="0.3">
      <c r="B288" s="12">
        <v>0.38109147469843418</v>
      </c>
      <c r="C288" s="12">
        <f t="shared" si="33"/>
        <v>2.9932962688297506E-2</v>
      </c>
      <c r="D288" s="12">
        <f t="shared" si="34"/>
        <v>0.10268742997230638</v>
      </c>
      <c r="E288" s="12">
        <f t="shared" si="35"/>
        <v>7.0906969880871872E-3</v>
      </c>
      <c r="F288" s="12">
        <f t="shared" si="36"/>
        <v>7.0905781563558937E-3</v>
      </c>
      <c r="G288" s="12">
        <f t="shared" si="37"/>
        <v>0.38036336755166472</v>
      </c>
      <c r="H288" s="12">
        <f t="shared" si="38"/>
        <v>0.13261781129947359</v>
      </c>
      <c r="I288" s="12">
        <f t="shared" si="39"/>
        <v>0.38181958184520365</v>
      </c>
      <c r="J288" s="12">
        <f t="shared" si="40"/>
        <v>-7.2751885922878581E-2</v>
      </c>
      <c r="M288" s="123">
        <f>IF($Q$1,  C288, -0.2)</f>
        <v>-0.2</v>
      </c>
    </row>
    <row r="289" spans="2:13" x14ac:dyDescent="0.3">
      <c r="B289" s="12">
        <v>0.38356708717363108</v>
      </c>
      <c r="C289" s="12">
        <f t="shared" si="33"/>
        <v>2.9949367383007675E-2</v>
      </c>
      <c r="D289" s="12">
        <f t="shared" si="34"/>
        <v>0.10255021473078042</v>
      </c>
      <c r="E289" s="12">
        <f t="shared" si="35"/>
        <v>6.1623423098883506E-3</v>
      </c>
      <c r="F289" s="12">
        <f t="shared" si="36"/>
        <v>6.162264307786108E-3</v>
      </c>
      <c r="G289" s="12">
        <f t="shared" si="37"/>
        <v>0.38293514964513764</v>
      </c>
      <c r="H289" s="12">
        <f t="shared" si="38"/>
        <v>0.13249763502458831</v>
      </c>
      <c r="I289" s="12">
        <f t="shared" si="39"/>
        <v>0.38419902470212453</v>
      </c>
      <c r="J289" s="12">
        <f t="shared" si="40"/>
        <v>-7.2598900258572963E-2</v>
      </c>
      <c r="M289" s="123">
        <f>IF($Q$1,  C289, -0.2)</f>
        <v>-0.2</v>
      </c>
    </row>
    <row r="290" spans="2:13" x14ac:dyDescent="0.3">
      <c r="B290" s="12">
        <v>0.38604880800177188</v>
      </c>
      <c r="C290" s="12">
        <f t="shared" si="33"/>
        <v>2.9963505795342852E-2</v>
      </c>
      <c r="D290" s="12">
        <f t="shared" si="34"/>
        <v>0.10240916945497858</v>
      </c>
      <c r="E290" s="12">
        <f t="shared" si="35"/>
        <v>5.231696999335551E-3</v>
      </c>
      <c r="F290" s="12">
        <f t="shared" si="36"/>
        <v>5.2316492684641542E-3</v>
      </c>
      <c r="G290" s="12">
        <f t="shared" si="37"/>
        <v>0.3855130415893181</v>
      </c>
      <c r="H290" s="12">
        <f t="shared" si="38"/>
        <v>0.13237127377614499</v>
      </c>
      <c r="I290" s="12">
        <f t="shared" si="39"/>
        <v>0.38658457441422567</v>
      </c>
      <c r="J290" s="12">
        <f t="shared" si="40"/>
        <v>-7.2444262185459296E-2</v>
      </c>
      <c r="M290" s="123">
        <f>IF($Q$1,  C290, -0.2)</f>
        <v>-0.2</v>
      </c>
    </row>
    <row r="291" spans="2:13" x14ac:dyDescent="0.3">
      <c r="B291" s="12">
        <v>0.3885366125910048</v>
      </c>
      <c r="C291" s="12">
        <f t="shared" si="33"/>
        <v>2.9975360765458359E-2</v>
      </c>
      <c r="D291" s="12">
        <f t="shared" si="34"/>
        <v>0.10226430168389029</v>
      </c>
      <c r="E291" s="12">
        <f t="shared" si="35"/>
        <v>4.2987702783732059E-3</v>
      </c>
      <c r="F291" s="12">
        <f t="shared" si="36"/>
        <v>4.2987437990645166E-3</v>
      </c>
      <c r="G291" s="12">
        <f t="shared" si="37"/>
        <v>0.38809700591220825</v>
      </c>
      <c r="H291" s="12">
        <f t="shared" si="38"/>
        <v>0.13223871756965136</v>
      </c>
      <c r="I291" s="12">
        <f t="shared" si="39"/>
        <v>0.38897621926980136</v>
      </c>
      <c r="J291" s="12">
        <f t="shared" si="40"/>
        <v>-7.2287996038734634E-2</v>
      </c>
      <c r="M291" s="123">
        <f>IF($Q$1,  C291, -0.2)</f>
        <v>-0.2</v>
      </c>
    </row>
    <row r="292" spans="2:13" x14ac:dyDescent="0.3">
      <c r="B292" s="12">
        <v>0.39103047628919319</v>
      </c>
      <c r="C292" s="12">
        <f t="shared" si="33"/>
        <v>2.9984915183325234E-2</v>
      </c>
      <c r="D292" s="12">
        <f t="shared" si="34"/>
        <v>0.10211561909165075</v>
      </c>
      <c r="E292" s="12">
        <f t="shared" si="35"/>
        <v>3.363571391552563E-3</v>
      </c>
      <c r="F292" s="12">
        <f t="shared" si="36"/>
        <v>3.3635587069242149E-3</v>
      </c>
      <c r="G292" s="12">
        <f t="shared" si="37"/>
        <v>0.39068700505713055</v>
      </c>
      <c r="H292" s="12">
        <f t="shared" si="38"/>
        <v>0.13209995663160479</v>
      </c>
      <c r="I292" s="12">
        <f t="shared" si="39"/>
        <v>0.39137394752125582</v>
      </c>
      <c r="J292" s="12">
        <f t="shared" si="40"/>
        <v>-7.2130126264954325E-2</v>
      </c>
      <c r="M292" s="123">
        <f>IF($Q$1,  C292, -0.2)</f>
        <v>-0.2</v>
      </c>
    </row>
    <row r="293" spans="2:13" x14ac:dyDescent="0.3">
      <c r="B293" s="12">
        <v>0.39353037438415939</v>
      </c>
      <c r="C293" s="12">
        <f t="shared" si="33"/>
        <v>2.9992151989573283E-2</v>
      </c>
      <c r="D293" s="12">
        <f t="shared" si="34"/>
        <v>0.10196312948548902</v>
      </c>
      <c r="E293" s="12">
        <f t="shared" si="35"/>
        <v>2.4261096059402373E-3</v>
      </c>
      <c r="F293" s="12">
        <f t="shared" si="36"/>
        <v>2.4261048459236767E-3</v>
      </c>
      <c r="G293" s="12">
        <f t="shared" si="37"/>
        <v>0.39328300138428157</v>
      </c>
      <c r="H293" s="12">
        <f t="shared" si="38"/>
        <v>0.13195498139849823</v>
      </c>
      <c r="I293" s="12">
        <f t="shared" si="39"/>
        <v>0.3937777473840372</v>
      </c>
      <c r="J293" s="12">
        <f t="shared" si="40"/>
        <v>-7.1970677419351675E-2</v>
      </c>
      <c r="M293" s="123">
        <f>IF($Q$1,  C293, -0.2)</f>
        <v>-0.2</v>
      </c>
    </row>
    <row r="294" spans="2:13" x14ac:dyDescent="0.3">
      <c r="B294" s="12">
        <v>0.3960362821039296</v>
      </c>
      <c r="C294" s="12">
        <f t="shared" si="33"/>
        <v>2.9997054176332565E-2</v>
      </c>
      <c r="D294" s="12">
        <f t="shared" si="34"/>
        <v>0.10180684080364874</v>
      </c>
      <c r="E294" s="12">
        <f t="shared" si="35"/>
        <v>1.4863942110264062E-3</v>
      </c>
      <c r="F294" s="12">
        <f t="shared" si="36"/>
        <v>1.4863931163640459E-3</v>
      </c>
      <c r="G294" s="12">
        <f t="shared" si="37"/>
        <v>0.39588495717228228</v>
      </c>
      <c r="H294" s="12">
        <f t="shared" si="38"/>
        <v>0.13180378251579222</v>
      </c>
      <c r="I294" s="12">
        <f t="shared" si="39"/>
        <v>0.39618760703557693</v>
      </c>
      <c r="J294" s="12">
        <f t="shared" si="40"/>
        <v>-7.1809674163127099E-2</v>
      </c>
      <c r="M294" s="123">
        <f>IF($Q$1,  C294, -0.2)</f>
        <v>-0.2</v>
      </c>
    </row>
    <row r="295" spans="2:13" x14ac:dyDescent="0.3">
      <c r="B295" s="12">
        <v>0.39854817461698</v>
      </c>
      <c r="C295" s="12">
        <f t="shared" si="33"/>
        <v>2.9999604788073217E-2</v>
      </c>
      <c r="D295" s="12">
        <f t="shared" si="34"/>
        <v>0.10164676111328116</v>
      </c>
      <c r="E295" s="12">
        <f t="shared" si="35"/>
        <v>5.4443451863250825E-4</v>
      </c>
      <c r="F295" s="12">
        <f t="shared" si="36"/>
        <v>5.4443446484076408E-4</v>
      </c>
      <c r="G295" s="12">
        <f t="shared" si="37"/>
        <v>0.39849283461972435</v>
      </c>
      <c r="H295" s="12">
        <f t="shared" si="38"/>
        <v>0.13164635083685311</v>
      </c>
      <c r="I295" s="12">
        <f t="shared" si="39"/>
        <v>0.39860351461423565</v>
      </c>
      <c r="J295" s="12">
        <f t="shared" si="40"/>
        <v>-7.1647141260706676E-2</v>
      </c>
      <c r="M295" s="123">
        <f>IF($Q$1,  C295, -0.2)</f>
        <v>-0.2</v>
      </c>
    </row>
    <row r="296" spans="2:13" x14ac:dyDescent="0.3">
      <c r="B296" s="12">
        <v>0.4010660270324814</v>
      </c>
      <c r="C296" s="12">
        <f t="shared" si="33"/>
        <v>2.9999905298863833E-2</v>
      </c>
      <c r="D296" s="12">
        <f t="shared" si="34"/>
        <v>0.10148289860831247</v>
      </c>
      <c r="E296" s="12">
        <f t="shared" si="35"/>
        <v>-1.7767117208022931E-4</v>
      </c>
      <c r="F296" s="12">
        <f t="shared" si="36"/>
        <v>-1.7767117021071137E-4</v>
      </c>
      <c r="G296" s="12">
        <f t="shared" si="37"/>
        <v>0.40108405761773863</v>
      </c>
      <c r="H296" s="12">
        <f t="shared" si="38"/>
        <v>0.13148280230541873</v>
      </c>
      <c r="I296" s="12">
        <f t="shared" si="39"/>
        <v>0.40104799644722416</v>
      </c>
      <c r="J296" s="12">
        <f t="shared" si="40"/>
        <v>-7.1482991707691054E-2</v>
      </c>
      <c r="M296" s="123">
        <f>IF($Q$1,  C296, -0.2)</f>
        <v>-0.2</v>
      </c>
    </row>
    <row r="297" spans="2:13" x14ac:dyDescent="0.3">
      <c r="B297" s="12">
        <v>0.40358981440054742</v>
      </c>
      <c r="C297" s="12">
        <f t="shared" si="33"/>
        <v>2.9998926102714131E-2</v>
      </c>
      <c r="D297" s="12">
        <f t="shared" si="34"/>
        <v>0.10131526160728374</v>
      </c>
      <c r="E297" s="12">
        <f t="shared" si="35"/>
        <v>-5.9830240009123292E-4</v>
      </c>
      <c r="F297" s="12">
        <f t="shared" si="36"/>
        <v>-5.9830232870065675E-4</v>
      </c>
      <c r="G297" s="12">
        <f t="shared" si="37"/>
        <v>0.40365043155388347</v>
      </c>
      <c r="H297" s="12">
        <f t="shared" si="38"/>
        <v>0.13131416957630535</v>
      </c>
      <c r="I297" s="12">
        <f t="shared" si="39"/>
        <v>0.40352919724721137</v>
      </c>
      <c r="J297" s="12">
        <f t="shared" si="40"/>
        <v>-7.1316317370877069E-2</v>
      </c>
      <c r="M297" s="123">
        <f>IF($Q$1,  C297, -0.2)</f>
        <v>-0.2</v>
      </c>
    </row>
    <row r="298" spans="2:13" x14ac:dyDescent="0.3">
      <c r="B298" s="12">
        <v>0.40611951171248117</v>
      </c>
      <c r="C298" s="12">
        <f t="shared" si="33"/>
        <v>2.9996879298033397E-2</v>
      </c>
      <c r="D298" s="12">
        <f t="shared" si="34"/>
        <v>0.10114385855116524</v>
      </c>
      <c r="E298" s="12">
        <f t="shared" si="35"/>
        <v>-1.0199186187468585E-3</v>
      </c>
      <c r="F298" s="12">
        <f t="shared" si="36"/>
        <v>-1.0199182650957414E-3</v>
      </c>
      <c r="G298" s="12">
        <f t="shared" si="37"/>
        <v>0.40622267016333496</v>
      </c>
      <c r="H298" s="12">
        <f t="shared" si="38"/>
        <v>0.13114068524259997</v>
      </c>
      <c r="I298" s="12">
        <f t="shared" si="39"/>
        <v>0.40601635326162738</v>
      </c>
      <c r="J298" s="12">
        <f t="shared" si="40"/>
        <v>-7.1146926646533173E-2</v>
      </c>
      <c r="M298" s="123">
        <f>IF($Q$1,  C298, -0.2)</f>
        <v>-0.2</v>
      </c>
    </row>
    <row r="299" spans="2:13" x14ac:dyDescent="0.3">
      <c r="B299" s="12">
        <v>0.4086550939010225</v>
      </c>
      <c r="C299" s="12">
        <f t="shared" si="33"/>
        <v>2.9993757445797038E-2</v>
      </c>
      <c r="D299" s="12">
        <f t="shared" si="34"/>
        <v>0.1009686980011454</v>
      </c>
      <c r="E299" s="12">
        <f t="shared" si="35"/>
        <v>-1.4425156501704135E-3</v>
      </c>
      <c r="F299" s="12">
        <f t="shared" si="36"/>
        <v>-1.4425146496180922E-3</v>
      </c>
      <c r="G299" s="12">
        <f t="shared" si="37"/>
        <v>0.40880074267652983</v>
      </c>
      <c r="H299" s="12">
        <f t="shared" si="38"/>
        <v>0.13096235039667803</v>
      </c>
      <c r="I299" s="12">
        <f t="shared" si="39"/>
        <v>0.40850944512551518</v>
      </c>
      <c r="J299" s="12">
        <f t="shared" si="40"/>
        <v>-7.0974835505083961E-2</v>
      </c>
      <c r="M299" s="123">
        <f>IF($Q$1,  C299, -0.2)</f>
        <v>-0.2</v>
      </c>
    </row>
    <row r="300" spans="2:13" x14ac:dyDescent="0.3">
      <c r="B300" s="12">
        <v>0.41119653584059757</v>
      </c>
      <c r="C300" s="12">
        <f t="shared" si="33"/>
        <v>2.9989553132097509E-2</v>
      </c>
      <c r="D300" s="12">
        <f t="shared" si="34"/>
        <v>0.10078978863639419</v>
      </c>
      <c r="E300" s="12">
        <f t="shared" si="35"/>
        <v>-1.8660893067662572E-3</v>
      </c>
      <c r="F300" s="12">
        <f t="shared" si="36"/>
        <v>-1.8660871406831739E-3</v>
      </c>
      <c r="G300" s="12">
        <f t="shared" si="37"/>
        <v>0.41138461825992478</v>
      </c>
      <c r="H300" s="12">
        <f t="shared" si="38"/>
        <v>0.13077916627934871</v>
      </c>
      <c r="I300" s="12">
        <f t="shared" si="39"/>
        <v>0.41100845342127035</v>
      </c>
      <c r="J300" s="12">
        <f t="shared" si="40"/>
        <v>-7.080006001515371E-2</v>
      </c>
      <c r="M300" s="123">
        <f>IF($Q$1,  C300, -0.2)</f>
        <v>-0.2</v>
      </c>
    </row>
    <row r="301" spans="2:13" x14ac:dyDescent="0.3">
      <c r="B301" s="12">
        <v>0.41374381234756619</v>
      </c>
      <c r="C301" s="12">
        <f t="shared" si="33"/>
        <v>2.9984258968512902E-2</v>
      </c>
      <c r="D301" s="12">
        <f t="shared" si="34"/>
        <v>0.10060713925180187</v>
      </c>
      <c r="E301" s="12">
        <f t="shared" si="35"/>
        <v>-2.2906353912610271E-3</v>
      </c>
      <c r="F301" s="12">
        <f t="shared" si="36"/>
        <v>-2.2906313849443264E-3</v>
      </c>
      <c r="G301" s="12">
        <f t="shared" si="37"/>
        <v>0.4139742660167543</v>
      </c>
      <c r="H301" s="12">
        <f t="shared" si="38"/>
        <v>0.13059113427799565</v>
      </c>
      <c r="I301" s="12">
        <f t="shared" si="39"/>
        <v>0.41351335867837807</v>
      </c>
      <c r="J301" s="12">
        <f t="shared" si="40"/>
        <v>-7.0622616340969835E-2</v>
      </c>
      <c r="M301" s="123">
        <f>IF($Q$1,  C301, -0.2)</f>
        <v>-0.2</v>
      </c>
    </row>
    <row r="302" spans="2:13" x14ac:dyDescent="0.3">
      <c r="B302" s="12">
        <v>0.41629689818047322</v>
      </c>
      <c r="C302" s="12">
        <f t="shared" si="33"/>
        <v>2.9977867592474606E-2</v>
      </c>
      <c r="D302" s="12">
        <f t="shared" si="34"/>
        <v>0.1004207587556933</v>
      </c>
      <c r="E302" s="12">
        <f t="shared" si="35"/>
        <v>-2.7161496967455325E-3</v>
      </c>
      <c r="F302" s="12">
        <f t="shared" si="36"/>
        <v>-2.716143017338211E-3</v>
      </c>
      <c r="G302" s="12">
        <f t="shared" si="37"/>
        <v>0.41656965498778886</v>
      </c>
      <c r="H302" s="12">
        <f t="shared" si="38"/>
        <v>0.13039825592469137</v>
      </c>
      <c r="I302" s="12">
        <f t="shared" si="39"/>
        <v>0.41602414137315757</v>
      </c>
      <c r="J302" s="12">
        <f t="shared" si="40"/>
        <v>-7.0442520739742151E-2</v>
      </c>
      <c r="M302" s="123">
        <f>IF($Q$1,  C302, -0.2)</f>
        <v>-0.2</v>
      </c>
    </row>
    <row r="303" spans="2:13" x14ac:dyDescent="0.3">
      <c r="B303" s="12">
        <v>0.41885576804029723</v>
      </c>
      <c r="C303" s="12">
        <f t="shared" si="33"/>
        <v>2.9970371667634207E-2</v>
      </c>
      <c r="D303" s="12">
        <f t="shared" si="34"/>
        <v>0.10023065616751854</v>
      </c>
      <c r="E303" s="12">
        <f t="shared" si="35"/>
        <v>-3.1426280067162007E-3</v>
      </c>
      <c r="F303" s="12">
        <f t="shared" si="36"/>
        <v>-3.1426176611300512E-3</v>
      </c>
      <c r="G303" s="12">
        <f t="shared" si="37"/>
        <v>0.41917075415208577</v>
      </c>
      <c r="H303" s="12">
        <f t="shared" si="38"/>
        <v>0.13020053289428646</v>
      </c>
      <c r="I303" s="12">
        <f t="shared" si="39"/>
        <v>0.41854078192850869</v>
      </c>
      <c r="J303" s="12">
        <f t="shared" si="40"/>
        <v>-7.0259789559018029E-2</v>
      </c>
      <c r="M303" s="123">
        <f>IF($Q$1,  C303, -0.2)</f>
        <v>-0.2</v>
      </c>
    </row>
    <row r="304" spans="2:13" x14ac:dyDescent="0.3">
      <c r="B304" s="12">
        <v>0.42142039657070196</v>
      </c>
      <c r="C304" s="12">
        <f t="shared" si="33"/>
        <v>2.9961763884229484E-2</v>
      </c>
      <c r="D304" s="12">
        <f t="shared" si="34"/>
        <v>0.10003684061551961</v>
      </c>
      <c r="E304" s="12">
        <f t="shared" si="35"/>
        <v>-3.5700660951169896E-3</v>
      </c>
      <c r="F304" s="12">
        <f t="shared" si="36"/>
        <v>-3.570050927959585E-3</v>
      </c>
      <c r="G304" s="12">
        <f t="shared" si="37"/>
        <v>0.42177753242773863</v>
      </c>
      <c r="H304" s="12">
        <f t="shared" si="38"/>
        <v>0.1299979670024731</v>
      </c>
      <c r="I304" s="12">
        <f t="shared" si="39"/>
        <v>0.42106326071366529</v>
      </c>
      <c r="J304" s="12">
        <f t="shared" si="40"/>
        <v>-7.007443923401413E-2</v>
      </c>
      <c r="M304" s="123">
        <f>IF($Q$1,  C304, -0.2)</f>
        <v>-0.2</v>
      </c>
    </row>
    <row r="305" spans="2:13" x14ac:dyDescent="0.3">
      <c r="B305" s="12">
        <v>0.42399075835828748</v>
      </c>
      <c r="C305" s="12">
        <f t="shared" si="33"/>
        <v>2.9952036959449514E-2</v>
      </c>
      <c r="D305" s="12">
        <f t="shared" si="34"/>
        <v>9.9839321334373912E-2</v>
      </c>
      <c r="E305" s="12">
        <f t="shared" si="35"/>
        <v>-3.9984597263812427E-3</v>
      </c>
      <c r="F305" s="12">
        <f t="shared" si="36"/>
        <v>-3.9984384178872023E-3</v>
      </c>
      <c r="G305" s="12">
        <f t="shared" si="37"/>
        <v>0.42438995867262147</v>
      </c>
      <c r="H305" s="12">
        <f t="shared" si="38"/>
        <v>0.12979056020382351</v>
      </c>
      <c r="I305" s="12">
        <f t="shared" si="39"/>
        <v>0.42359155804395349</v>
      </c>
      <c r="J305" s="12">
        <f t="shared" si="40"/>
        <v>-6.9886486284924471E-2</v>
      </c>
      <c r="M305" s="123">
        <f>IF($Q$1,  C305, -0.2)</f>
        <v>-0.2</v>
      </c>
    </row>
    <row r="306" spans="2:13" x14ac:dyDescent="0.3">
      <c r="B306" s="12">
        <v>0.42656682793284162</v>
      </c>
      <c r="C306" s="12">
        <f t="shared" si="33"/>
        <v>2.9941183637798897E-2</v>
      </c>
      <c r="D306" s="12">
        <f t="shared" si="34"/>
        <v>9.9638107662815681E-2</v>
      </c>
      <c r="E306" s="12">
        <f t="shared" si="35"/>
        <v>-4.4278046554735995E-3</v>
      </c>
      <c r="F306" s="12">
        <f t="shared" si="36"/>
        <v>-4.4277757194403841E-3</v>
      </c>
      <c r="G306" s="12">
        <f t="shared" si="37"/>
        <v>0.42700800168512892</v>
      </c>
      <c r="H306" s="12">
        <f t="shared" si="38"/>
        <v>0.12957831458980465</v>
      </c>
      <c r="I306" s="12">
        <f t="shared" si="39"/>
        <v>0.42612565418055431</v>
      </c>
      <c r="J306" s="12">
        <f t="shared" si="40"/>
        <v>-6.9695947314206849E-2</v>
      </c>
      <c r="M306" s="123">
        <f>IF($Q$1,  C306, -0.2)</f>
        <v>-0.2</v>
      </c>
    </row>
    <row r="307" spans="2:13" x14ac:dyDescent="0.3">
      <c r="B307" s="12">
        <v>0.42914857976759269</v>
      </c>
      <c r="C307" s="12">
        <f t="shared" si="33"/>
        <v>2.9929196691461019E-2</v>
      </c>
      <c r="D307" s="12">
        <f t="shared" si="34"/>
        <v>9.943320904123451E-2</v>
      </c>
      <c r="E307" s="12">
        <f t="shared" si="35"/>
        <v>-4.8580966279321101E-3</v>
      </c>
      <c r="F307" s="12">
        <f t="shared" si="36"/>
        <v>-4.8580584096605869E-3</v>
      </c>
      <c r="G307" s="12">
        <f t="shared" si="37"/>
        <v>0.42963163020491246</v>
      </c>
      <c r="H307" s="12">
        <f t="shared" si="38"/>
        <v>0.12936123238676822</v>
      </c>
      <c r="I307" s="12">
        <f t="shared" si="39"/>
        <v>0.42866552933027291</v>
      </c>
      <c r="J307" s="12">
        <f t="shared" si="40"/>
        <v>-6.9502839003846184E-2</v>
      </c>
      <c r="M307" s="123">
        <f>IF($Q$1,  C307, -0.2)</f>
        <v>-0.2</v>
      </c>
    </row>
    <row r="308" spans="2:13" x14ac:dyDescent="0.3">
      <c r="B308" s="12">
        <v>0.43173598827946269</v>
      </c>
      <c r="C308" s="12">
        <f t="shared" si="33"/>
        <v>2.9916068920660482E-2</v>
      </c>
      <c r="D308" s="12">
        <f t="shared" si="34"/>
        <v>9.9224635009252354E-2</v>
      </c>
      <c r="E308" s="12">
        <f t="shared" si="35"/>
        <v>-5.2893313799104447E-3</v>
      </c>
      <c r="F308" s="12">
        <f t="shared" si="36"/>
        <v>-5.2892820541504681E-3</v>
      </c>
      <c r="G308" s="12">
        <f t="shared" si="37"/>
        <v>0.43226081291361229</v>
      </c>
      <c r="H308" s="12">
        <f t="shared" si="38"/>
        <v>0.12913931595391745</v>
      </c>
      <c r="I308" s="12">
        <f t="shared" si="39"/>
        <v>0.43121116364531309</v>
      </c>
      <c r="J308" s="12">
        <f t="shared" si="40"/>
        <v>-6.9307178112596485E-2</v>
      </c>
      <c r="M308" s="123">
        <f>IF($Q$1,  C308, -0.2)</f>
        <v>-0.2</v>
      </c>
    </row>
    <row r="309" spans="2:13" x14ac:dyDescent="0.3">
      <c r="B309" s="12">
        <v>0.43432902782932004</v>
      </c>
      <c r="C309" s="12">
        <f t="shared" si="33"/>
        <v>2.9901793154024477E-2</v>
      </c>
      <c r="D309" s="12">
        <f t="shared" si="34"/>
        <v>9.9012395203278994E-2</v>
      </c>
      <c r="E309" s="12">
        <f t="shared" si="35"/>
        <v>-5.7215046382200017E-3</v>
      </c>
      <c r="F309" s="12">
        <f t="shared" si="36"/>
        <v>-5.721442207121257E-3</v>
      </c>
      <c r="G309" s="12">
        <f t="shared" si="37"/>
        <v>0.43489551843558344</v>
      </c>
      <c r="H309" s="12">
        <f t="shared" si="38"/>
        <v>0.12891256778125038</v>
      </c>
      <c r="I309" s="12">
        <f t="shared" si="39"/>
        <v>0.43376253722305663</v>
      </c>
      <c r="J309" s="12">
        <f t="shared" si="40"/>
        <v>-6.9108981473201408E-2</v>
      </c>
      <c r="M309" s="123">
        <f>IF($Q$1,  C309, -0.2)</f>
        <v>-0.2</v>
      </c>
    </row>
    <row r="310" spans="2:13" x14ac:dyDescent="0.3">
      <c r="B310" s="12">
        <v>0.43692767272223476</v>
      </c>
      <c r="C310" s="12">
        <f t="shared" si="33"/>
        <v>2.9886362248943296E-2</v>
      </c>
      <c r="D310" s="12">
        <f t="shared" si="34"/>
        <v>9.8796499354046746E-2</v>
      </c>
      <c r="E310" s="12">
        <f t="shared" si="35"/>
        <v>-6.1546121203724562E-3</v>
      </c>
      <c r="F310" s="12">
        <f t="shared" si="36"/>
        <v>-6.1545344114408065E-3</v>
      </c>
      <c r="G310" s="12">
        <f t="shared" si="37"/>
        <v>0.43753571533861935</v>
      </c>
      <c r="H310" s="12">
        <f t="shared" si="38"/>
        <v>0.12868099048748072</v>
      </c>
      <c r="I310" s="12">
        <f t="shared" si="39"/>
        <v>0.43631963010585018</v>
      </c>
      <c r="J310" s="12">
        <f t="shared" si="40"/>
        <v>-6.8908265989594139E-2</v>
      </c>
      <c r="M310" s="123">
        <f>IF($Q$1,  C310, -0.2)</f>
        <v>-0.2</v>
      </c>
    </row>
    <row r="311" spans="2:13" x14ac:dyDescent="0.3">
      <c r="B311" s="12">
        <v>0.43953189720773167</v>
      </c>
      <c r="C311" s="12">
        <f t="shared" si="33"/>
        <v>2.9869769091929774E-2</v>
      </c>
      <c r="D311" s="12">
        <f t="shared" si="34"/>
        <v>9.8576957284124772E-2</v>
      </c>
      <c r="E311" s="12">
        <f t="shared" si="35"/>
        <v>-6.5886495346219407E-3</v>
      </c>
      <c r="F311" s="12">
        <f t="shared" si="36"/>
        <v>-6.5885541986815269E-3</v>
      </c>
      <c r="G311" s="12">
        <f t="shared" si="37"/>
        <v>0.44018137213466757</v>
      </c>
      <c r="H311" s="12">
        <f t="shared" si="38"/>
        <v>0.12844458681793647</v>
      </c>
      <c r="I311" s="12">
        <f t="shared" si="39"/>
        <v>0.43888242228079577</v>
      </c>
      <c r="J311" s="12">
        <f t="shared" si="40"/>
        <v>-6.8705048634076907E-2</v>
      </c>
      <c r="M311" s="123">
        <f>IF($Q$1,  C311, -0.2)</f>
        <v>-0.2</v>
      </c>
    </row>
    <row r="312" spans="2:13" x14ac:dyDescent="0.3">
      <c r="B312" s="12">
        <v>0.4421416754800469</v>
      </c>
      <c r="C312" s="12">
        <f t="shared" si="33"/>
        <v>2.9852006598977868E-2</v>
      </c>
      <c r="D312" s="12">
        <f t="shared" si="34"/>
        <v>9.8353778905412817E-2</v>
      </c>
      <c r="E312" s="12">
        <f t="shared" si="35"/>
        <v>-7.0236125800078129E-3</v>
      </c>
      <c r="F312" s="12">
        <f t="shared" si="36"/>
        <v>-7.0234970891691504E-3</v>
      </c>
      <c r="G312" s="12">
        <f t="shared" si="37"/>
        <v>0.44283245728054371</v>
      </c>
      <c r="H312" s="12">
        <f t="shared" si="38"/>
        <v>0.12820335964243595</v>
      </c>
      <c r="I312" s="12">
        <f t="shared" si="39"/>
        <v>0.44145089367955009</v>
      </c>
      <c r="J312" s="12">
        <f t="shared" si="40"/>
        <v>-6.8499346444480205E-2</v>
      </c>
      <c r="M312" s="123">
        <f>IF($Q$1,  C312, -0.2)</f>
        <v>-0.2</v>
      </c>
    </row>
    <row r="313" spans="2:13" x14ac:dyDescent="0.3">
      <c r="B313" s="12">
        <v>0.44475698167838285</v>
      </c>
      <c r="C313" s="12">
        <f t="shared" si="33"/>
        <v>2.9833067715920068E-2</v>
      </c>
      <c r="D313" s="12">
        <f t="shared" si="34"/>
        <v>9.8126974216616203E-2</v>
      </c>
      <c r="E313" s="12">
        <f t="shared" si="35"/>
        <v>-7.4594969463971372E-3</v>
      </c>
      <c r="F313" s="12">
        <f t="shared" si="36"/>
        <v>-7.4593585920314535E-3</v>
      </c>
      <c r="G313" s="12">
        <f t="shared" si="37"/>
        <v>0.44548893917863797</v>
      </c>
      <c r="H313" s="12">
        <f t="shared" si="38"/>
        <v>0.12795731195314353</v>
      </c>
      <c r="I313" s="12">
        <f t="shared" si="39"/>
        <v>0.44402502417812773</v>
      </c>
      <c r="J313" s="12">
        <f t="shared" si="40"/>
        <v>-6.8291176521303398E-2</v>
      </c>
      <c r="M313" s="123">
        <f>IF($Q$1,  C313, -0.2)</f>
        <v>-0.2</v>
      </c>
    </row>
    <row r="314" spans="2:13" x14ac:dyDescent="0.3">
      <c r="B314" s="12">
        <v>0.44737778988716459</v>
      </c>
      <c r="C314" s="12">
        <f t="shared" si="33"/>
        <v>2.9812945418783966E-2</v>
      </c>
      <c r="D314" s="12">
        <f t="shared" si="34"/>
        <v>9.7896553300701045E-2</v>
      </c>
      <c r="E314" s="12">
        <f t="shared" si="35"/>
        <v>-7.8962983145274279E-3</v>
      </c>
      <c r="F314" s="12">
        <f t="shared" si="36"/>
        <v>-7.8961342052474865E-3</v>
      </c>
      <c r="G314" s="12">
        <f t="shared" si="37"/>
        <v>0.44815078617761706</v>
      </c>
      <c r="H314" s="12">
        <f t="shared" si="38"/>
        <v>0.12770644686240354</v>
      </c>
      <c r="I314" s="12">
        <f t="shared" si="39"/>
        <v>0.44660479359671212</v>
      </c>
      <c r="J314" s="12">
        <f t="shared" si="40"/>
        <v>-6.8080556024835592E-2</v>
      </c>
      <c r="M314" s="123">
        <f>IF($Q$1,  C314, -0.2)</f>
        <v>-0.2</v>
      </c>
    </row>
    <row r="315" spans="2:13" x14ac:dyDescent="0.3">
      <c r="B315" s="12">
        <v>0.45000407413629695</v>
      </c>
      <c r="C315" s="12">
        <f t="shared" si="33"/>
        <v>2.9791632714147646E-2</v>
      </c>
      <c r="D315" s="12">
        <f t="shared" si="34"/>
        <v>9.7662526322331258E-2</v>
      </c>
      <c r="E315" s="12">
        <f t="shared" si="35"/>
        <v>-8.3340123560494868E-3</v>
      </c>
      <c r="F315" s="12">
        <f t="shared" si="36"/>
        <v>-8.3338194156971496E-3</v>
      </c>
      <c r="G315" s="12">
        <f t="shared" si="37"/>
        <v>0.45081796657312134</v>
      </c>
      <c r="H315" s="12">
        <f t="shared" si="38"/>
        <v>0.1274507676005541</v>
      </c>
      <c r="I315" s="12">
        <f t="shared" si="39"/>
        <v>0.44919018169947256</v>
      </c>
      <c r="J315" s="12">
        <f t="shared" si="40"/>
        <v>-6.7867502172258801E-2</v>
      </c>
      <c r="M315" s="123">
        <f>IF($Q$1,  C315, -0.2)</f>
        <v>-0.2</v>
      </c>
    </row>
    <row r="316" spans="2:13" x14ac:dyDescent="0.3">
      <c r="B316" s="12">
        <v>0.45263580840142115</v>
      </c>
      <c r="C316" s="12">
        <f t="shared" si="33"/>
        <v>2.9769122639494071E-2</v>
      </c>
      <c r="D316" s="12">
        <f t="shared" si="34"/>
        <v>9.7424903525287113E-2</v>
      </c>
      <c r="E316" s="12">
        <f t="shared" si="35"/>
        <v>-8.7726347335701869E-3</v>
      </c>
      <c r="F316" s="12">
        <f t="shared" si="36"/>
        <v>-8.7724096992109445E-3</v>
      </c>
      <c r="G316" s="12">
        <f t="shared" si="37"/>
        <v>0.45349044860845533</v>
      </c>
      <c r="H316" s="12">
        <f t="shared" si="38"/>
        <v>0.12719027751372056</v>
      </c>
      <c r="I316" s="12">
        <f t="shared" si="39"/>
        <v>0.45178116819438696</v>
      </c>
      <c r="J316" s="12">
        <f t="shared" si="40"/>
        <v>-6.7652032234732401E-2</v>
      </c>
      <c r="M316" s="123">
        <f>IF($Q$1,  C316, -0.2)</f>
        <v>-0.2</v>
      </c>
    </row>
    <row r="317" spans="2:13" x14ac:dyDescent="0.3">
      <c r="B317" s="12">
        <v>0.45527296660417349</v>
      </c>
      <c r="C317" s="12">
        <f t="shared" si="33"/>
        <v>2.9745408263564494E-2</v>
      </c>
      <c r="D317" s="12">
        <f t="shared" si="34"/>
        <v>9.718369522986664E-2</v>
      </c>
      <c r="E317" s="12">
        <f t="shared" si="35"/>
        <v>-9.2121611006955768E-3</v>
      </c>
      <c r="F317" s="12">
        <f t="shared" si="36"/>
        <v>-9.2119005206203163E-3</v>
      </c>
      <c r="G317" s="12">
        <f t="shared" si="37"/>
        <v>0.45616820047527351</v>
      </c>
      <c r="H317" s="12">
        <f t="shared" si="38"/>
        <v>0.12692498006159023</v>
      </c>
      <c r="I317" s="12">
        <f t="shared" si="39"/>
        <v>0.45437773273307347</v>
      </c>
      <c r="J317" s="12">
        <f t="shared" si="40"/>
        <v>-6.7434163534461244E-2</v>
      </c>
      <c r="M317" s="123">
        <f>IF($Q$1,  C317, -0.2)</f>
        <v>-0.2</v>
      </c>
    </row>
    <row r="318" spans="2:13" x14ac:dyDescent="0.3">
      <c r="B318" s="12">
        <v>0.45791552261244328</v>
      </c>
      <c r="C318" s="12">
        <f t="shared" si="33"/>
        <v>2.9720482686710629E-2</v>
      </c>
      <c r="D318" s="12">
        <f t="shared" si="34"/>
        <v>9.6938911830268967E-2</v>
      </c>
      <c r="E318" s="12">
        <f t="shared" si="35"/>
        <v>-9.6525871020738761E-3</v>
      </c>
      <c r="F318" s="12">
        <f t="shared" si="36"/>
        <v>-9.6522873338081086E-3</v>
      </c>
      <c r="G318" s="12">
        <f t="shared" si="37"/>
        <v>0.45885119031426014</v>
      </c>
      <c r="H318" s="12">
        <f t="shared" si="38"/>
        <v>0.12665487881516668</v>
      </c>
      <c r="I318" s="12">
        <f t="shared" si="39"/>
        <v>0.45697985491062643</v>
      </c>
      <c r="J318" s="12">
        <f t="shared" si="40"/>
        <v>-6.7213913441745432E-2</v>
      </c>
      <c r="M318" s="123">
        <f>IF($Q$1,  C318, -0.2)</f>
        <v>-0.2</v>
      </c>
    </row>
    <row r="319" spans="2:13" x14ac:dyDescent="0.3">
      <c r="B319" s="12">
        <v>0.46056345024063217</v>
      </c>
      <c r="C319" s="12">
        <f t="shared" si="33"/>
        <v>2.9694339041245871E-2</v>
      </c>
      <c r="D319" s="12">
        <f t="shared" si="34"/>
        <v>9.6690563791962017E-2</v>
      </c>
      <c r="E319" s="12">
        <f t="shared" si="35"/>
        <v>-1.009390837343869E-2</v>
      </c>
      <c r="F319" s="12">
        <f t="shared" si="36"/>
        <v>-1.0093565581759497E-2</v>
      </c>
      <c r="G319" s="12">
        <f t="shared" si="37"/>
        <v>0.46153938621580304</v>
      </c>
      <c r="H319" s="12">
        <f t="shared" si="38"/>
        <v>0.12637997745450683</v>
      </c>
      <c r="I319" s="12">
        <f t="shared" si="39"/>
        <v>0.45958751426546129</v>
      </c>
      <c r="J319" s="12">
        <f t="shared" si="40"/>
        <v>-6.699129937201509E-2</v>
      </c>
      <c r="M319" s="123">
        <f>IF($Q$1,  C319, -0.2)</f>
        <v>-0.2</v>
      </c>
    </row>
    <row r="320" spans="2:13" x14ac:dyDescent="0.3">
      <c r="B320" s="12">
        <v>0.46321672324991292</v>
      </c>
      <c r="C320" s="12">
        <f t="shared" si="33"/>
        <v>2.9666970491795321E-2</v>
      </c>
      <c r="D320" s="12">
        <f t="shared" si="34"/>
        <v>9.6438661649032975E-2</v>
      </c>
      <c r="E320" s="12">
        <f t="shared" si="35"/>
        <v>-1.053612054165215E-2</v>
      </c>
      <c r="F320" s="12">
        <f t="shared" si="36"/>
        <v>-1.0535730696613092E-2</v>
      </c>
      <c r="G320" s="12">
        <f t="shared" si="37"/>
        <v>0.46423275622066096</v>
      </c>
      <c r="H320" s="12">
        <f t="shared" si="38"/>
        <v>0.12610027976643867</v>
      </c>
      <c r="I320" s="12">
        <f t="shared" si="39"/>
        <v>0.46220069027916488</v>
      </c>
      <c r="J320" s="12">
        <f t="shared" si="40"/>
        <v>-6.6766338782848045E-2</v>
      </c>
      <c r="M320" s="123">
        <f>IF($Q$1,  C320, -0.2)</f>
        <v>-0.2</v>
      </c>
    </row>
    <row r="321" spans="2:13" x14ac:dyDescent="0.3">
      <c r="B321" s="12">
        <v>0.46587531534849058</v>
      </c>
      <c r="C321" s="12">
        <f t="shared" si="33"/>
        <v>2.9638370235644744E-2</v>
      </c>
      <c r="D321" s="12">
        <f t="shared" si="34"/>
        <v>9.6183216001523977E-2</v>
      </c>
      <c r="E321" s="12">
        <f t="shared" si="35"/>
        <v>-1.0979219224748427E-2</v>
      </c>
      <c r="F321" s="12">
        <f t="shared" si="36"/>
        <v>-1.0978778099712658E-2</v>
      </c>
      <c r="G321" s="12">
        <f t="shared" si="37"/>
        <v>0.46693126832062642</v>
      </c>
      <c r="H321" s="12">
        <f t="shared" si="38"/>
        <v>0.1258157896422625</v>
      </c>
      <c r="I321" s="12">
        <f t="shared" si="39"/>
        <v>0.46481936237635474</v>
      </c>
      <c r="J321" s="12">
        <f t="shared" si="40"/>
        <v>-6.653904917097303E-2</v>
      </c>
      <c r="M321" s="123">
        <f>IF($Q$1,  C321, -0.2)</f>
        <v>-0.2</v>
      </c>
    </row>
    <row r="322" spans="2:13" x14ac:dyDescent="0.3">
      <c r="B322" s="12">
        <v>0.46853920019186157</v>
      </c>
      <c r="C322" s="12">
        <f t="shared" ref="C322:C385" si="41">IF($A$1=0, 0, IF(B322&lt;=$A$2, ($A$1/$A$2^2)*(2*$A$2*B322-B322^2), ($A$1/(1-$A$2)^2)*((1-2*$A$2)+2*$A$2*B322-B322^2)))</f>
        <v>2.9608531503088321E-2</v>
      </c>
      <c r="D322" s="12">
        <f t="shared" ref="D322:D385" si="42">5*$A$3*(0.2969*SQRT(B322)-0.126*B322-0.3516*B322^2+0.2843*B322^3-0.1015*B322^4)</f>
        <v>9.592423751275185E-2</v>
      </c>
      <c r="E322" s="12">
        <f t="shared" ref="E322:E385" si="43">IF($A$1=0, 0, IF(B322&lt;=$A$2, ($A$1/$A$2^2) *(2*$A$2-2*B322), ($A$1/(1-$A$2)^2)*(2*$A$2-2*B322)))</f>
        <v>-1.1423200031976924E-2</v>
      </c>
      <c r="F322" s="12">
        <f t="shared" ref="F322:F385" si="44">IF($A$1=0, 0,  ATAN(E322))</f>
        <v>-1.1422703201658757E-2</v>
      </c>
      <c r="G322" s="12">
        <f t="shared" ref="G322:G385" si="45">B322-D322*SIN(F322)</f>
        <v>0.46963489045917955</v>
      </c>
      <c r="H322" s="12">
        <f t="shared" ref="H322:H385" si="46">C322+D322*COS(F322)</f>
        <v>0.12552651107543406</v>
      </c>
      <c r="I322" s="12">
        <f t="shared" ref="I322:I385" si="47">B322+D322*SIN(F322)</f>
        <v>0.46744350992454359</v>
      </c>
      <c r="J322" s="12">
        <f t="shared" ref="J322:J385" si="48">C322-D322*COS(F322)</f>
        <v>-6.6309448069257426E-2</v>
      </c>
      <c r="M322" s="123">
        <f>IF($Q$1,  C322, -0.2)</f>
        <v>-0.2</v>
      </c>
    </row>
    <row r="323" spans="2:13" x14ac:dyDescent="0.3">
      <c r="B323" s="12">
        <v>0.47120835138307604</v>
      </c>
      <c r="C323" s="12">
        <f t="shared" si="41"/>
        <v>2.9577447557775367E-2</v>
      </c>
      <c r="D323" s="12">
        <f t="shared" si="42"/>
        <v>9.5661736906613407E-2</v>
      </c>
      <c r="E323" s="12">
        <f t="shared" si="43"/>
        <v>-1.1868058563846002E-2</v>
      </c>
      <c r="F323" s="12">
        <f t="shared" si="44"/>
        <v>-1.1867501402361164E-2</v>
      </c>
      <c r="G323" s="12">
        <f t="shared" si="45"/>
        <v>0.47234359053213887</v>
      </c>
      <c r="H323" s="12">
        <f t="shared" si="46"/>
        <v>0.1252324481592314</v>
      </c>
      <c r="I323" s="12">
        <f t="shared" si="47"/>
        <v>0.47007311223401321</v>
      </c>
      <c r="J323" s="12">
        <f t="shared" si="48"/>
        <v>-6.6077553043680681E-2</v>
      </c>
      <c r="M323" s="123">
        <f>IF($Q$1,  C323, -0.2)</f>
        <v>-0.2</v>
      </c>
    </row>
    <row r="324" spans="2:13" x14ac:dyDescent="0.3">
      <c r="B324" s="12">
        <v>0.47388274247299855</v>
      </c>
      <c r="C324" s="12">
        <f t="shared" si="41"/>
        <v>2.9545111697055711E-2</v>
      </c>
      <c r="D324" s="12">
        <f t="shared" si="42"/>
        <v>9.5395724964876721E-2</v>
      </c>
      <c r="E324" s="12">
        <f t="shared" si="43"/>
        <v>-1.2313790412166421E-2</v>
      </c>
      <c r="F324" s="12">
        <f t="shared" si="44"/>
        <v>-1.2313168091091266E-2</v>
      </c>
      <c r="G324" s="12">
        <f t="shared" si="45"/>
        <v>0.47505733638830272</v>
      </c>
      <c r="H324" s="12">
        <f t="shared" si="46"/>
        <v>0.12493360508440582</v>
      </c>
      <c r="I324" s="12">
        <f t="shared" si="47"/>
        <v>0.47270814855769439</v>
      </c>
      <c r="J324" s="12">
        <f t="shared" si="48"/>
        <v>-6.5843381690294384E-2</v>
      </c>
      <c r="M324" s="123">
        <f>IF($Q$1,  C324, -0.2)</f>
        <v>-0.2</v>
      </c>
    </row>
    <row r="325" spans="2:13" x14ac:dyDescent="0.3">
      <c r="B325" s="12">
        <v>0.47656234696057043</v>
      </c>
      <c r="C325" s="12">
        <f t="shared" si="41"/>
        <v>2.9511517252324093E-2</v>
      </c>
      <c r="D325" s="12">
        <f t="shared" si="42"/>
        <v>9.5126212524458506E-2</v>
      </c>
      <c r="E325" s="12">
        <f t="shared" si="43"/>
        <v>-1.2760391160095067E-2</v>
      </c>
      <c r="F325" s="12">
        <f t="shared" si="44"/>
        <v>-1.2759698646534959E-2</v>
      </c>
      <c r="G325" s="12">
        <f t="shared" si="45"/>
        <v>0.4777760958300859</v>
      </c>
      <c r="H325" s="12">
        <f t="shared" si="46"/>
        <v>0.12462998613681674</v>
      </c>
      <c r="I325" s="12">
        <f t="shared" si="47"/>
        <v>0.47534859809105495</v>
      </c>
      <c r="J325" s="12">
        <f t="shared" si="48"/>
        <v>-6.560695163216855E-2</v>
      </c>
      <c r="M325" s="123">
        <f>IF($Q$1,  C325, -0.2)</f>
        <v>-0.2</v>
      </c>
    </row>
    <row r="326" spans="2:13" x14ac:dyDescent="0.3">
      <c r="B326" s="12">
        <v>0.47924713829307297</v>
      </c>
      <c r="C326" s="12">
        <f t="shared" si="41"/>
        <v>2.9476657589363207E-2</v>
      </c>
      <c r="D326" s="12">
        <f t="shared" si="42"/>
        <v>9.4853210474688046E-2</v>
      </c>
      <c r="E326" s="12">
        <f t="shared" si="43"/>
        <v>-1.3207856382178824E-2</v>
      </c>
      <c r="F326" s="12">
        <f t="shared" si="44"/>
        <v>-1.3207088436845961E-2</v>
      </c>
      <c r="G326" s="12">
        <f t="shared" si="45"/>
        <v>0.48049983661414952</v>
      </c>
      <c r="H326" s="12">
        <f t="shared" si="46"/>
        <v>0.1243215956950515</v>
      </c>
      <c r="I326" s="12">
        <f t="shared" si="47"/>
        <v>0.47799443997199642</v>
      </c>
      <c r="J326" s="12">
        <f t="shared" si="48"/>
        <v>-6.5368280516325067E-2</v>
      </c>
      <c r="M326" s="123">
        <f>IF($Q$1,  C326, -0.2)</f>
        <v>-0.2</v>
      </c>
    </row>
    <row r="327" spans="2:13" x14ac:dyDescent="0.3">
      <c r="B327" s="12">
        <v>0.48193708986638928</v>
      </c>
      <c r="C327" s="12">
        <f t="shared" si="41"/>
        <v>2.9440526108685611E-2</v>
      </c>
      <c r="D327" s="12">
        <f t="shared" si="42"/>
        <v>9.4576729754558983E-2</v>
      </c>
      <c r="E327" s="12">
        <f t="shared" si="43"/>
        <v>-1.3656181644398208E-2</v>
      </c>
      <c r="F327" s="12">
        <f t="shared" si="44"/>
        <v>-1.3655332819699115E-2</v>
      </c>
      <c r="G327" s="12">
        <f t="shared" si="45"/>
        <v>0.48322852645202252</v>
      </c>
      <c r="H327" s="12">
        <f t="shared" si="46"/>
        <v>0.12400843822803066</v>
      </c>
      <c r="I327" s="12">
        <f t="shared" si="47"/>
        <v>0.48064565328075604</v>
      </c>
      <c r="J327" s="12">
        <f t="shared" si="48"/>
        <v>-6.5127386010659441E-2</v>
      </c>
      <c r="M327" s="123">
        <f>IF($Q$1,  C327, -0.2)</f>
        <v>-0.2</v>
      </c>
    </row>
    <row r="328" spans="2:13" x14ac:dyDescent="0.3">
      <c r="B328" s="12">
        <v>0.48463217502526945</v>
      </c>
      <c r="C328" s="12">
        <f t="shared" si="41"/>
        <v>2.9403116245874335E-2</v>
      </c>
      <c r="D328" s="12">
        <f t="shared" si="42"/>
        <v>9.4296781349968578E-2</v>
      </c>
      <c r="E328" s="12">
        <f t="shared" si="43"/>
        <v>-1.4105362504211572E-2</v>
      </c>
      <c r="F328" s="12">
        <f t="shared" si="44"/>
        <v>-1.4104427142344514E-2</v>
      </c>
      <c r="G328" s="12">
        <f t="shared" si="45"/>
        <v>0.48596213301071883</v>
      </c>
      <c r="H328" s="12">
        <f t="shared" si="46"/>
        <v>0.12369051829259911</v>
      </c>
      <c r="I328" s="12">
        <f t="shared" si="47"/>
        <v>0.48330221703982007</v>
      </c>
      <c r="J328" s="12">
        <f t="shared" si="48"/>
        <v>-6.4884285800850455E-2</v>
      </c>
      <c r="M328" s="123">
        <f>IF($Q$1,  C328, -0.2)</f>
        <v>-0.2</v>
      </c>
    </row>
    <row r="329" spans="2:13" x14ac:dyDescent="0.3">
      <c r="B329" s="12">
        <v>0.48733236706359295</v>
      </c>
      <c r="C329" s="12">
        <f t="shared" si="41"/>
        <v>2.9364421471922482E-2</v>
      </c>
      <c r="D329" s="12">
        <f t="shared" si="42"/>
        <v>9.40133762909455E-2</v>
      </c>
      <c r="E329" s="12">
        <f t="shared" si="43"/>
        <v>-1.4555394510598821E-2</v>
      </c>
      <c r="F329" s="12">
        <f t="shared" si="44"/>
        <v>-1.4554366741661384E-2</v>
      </c>
      <c r="G329" s="12">
        <f t="shared" si="45"/>
        <v>0.48870062391334446</v>
      </c>
      <c r="H329" s="12">
        <f t="shared" si="46"/>
        <v>0.12336784053110364</v>
      </c>
      <c r="I329" s="12">
        <f t="shared" si="47"/>
        <v>0.48596411021384145</v>
      </c>
      <c r="J329" s="12">
        <f t="shared" si="48"/>
        <v>-6.4638997587258662E-2</v>
      </c>
      <c r="M329" s="123">
        <f>IF($Q$1,  C329, -0.2)</f>
        <v>-0.2</v>
      </c>
    </row>
    <row r="330" spans="2:13" x14ac:dyDescent="0.3">
      <c r="B330" s="12">
        <v>0.49003763922463506</v>
      </c>
      <c r="C330" s="12">
        <f t="shared" si="41"/>
        <v>2.9324435293571195E-2</v>
      </c>
      <c r="D330" s="12">
        <f t="shared" si="42"/>
        <v>9.3726525648866368E-2</v>
      </c>
      <c r="E330" s="12">
        <f t="shared" si="43"/>
        <v>-1.5006273204105839E-2</v>
      </c>
      <c r="F330" s="12">
        <f t="shared" si="44"/>
        <v>-1.5005146944212908E-2</v>
      </c>
      <c r="G330" s="12">
        <f t="shared" si="45"/>
        <v>0.49144396673970109</v>
      </c>
      <c r="H330" s="12">
        <f t="shared" si="46"/>
        <v>0.12304040966895702</v>
      </c>
      <c r="I330" s="12">
        <f t="shared" si="47"/>
        <v>0.48863131170956903</v>
      </c>
      <c r="J330" s="12">
        <f t="shared" si="48"/>
        <v>-6.4391539081814636E-2</v>
      </c>
      <c r="M330" s="123">
        <f>IF($Q$1,  C330, -0.2)</f>
        <v>-0.2</v>
      </c>
    </row>
    <row r="331" spans="2:13" x14ac:dyDescent="0.3">
      <c r="B331" s="12">
        <v>0.49274796470133042</v>
      </c>
      <c r="C331" s="12">
        <f t="shared" si="41"/>
        <v>2.9283151253646729E-2</v>
      </c>
      <c r="D331" s="12">
        <f t="shared" si="42"/>
        <v>9.3436240533661785E-2</v>
      </c>
      <c r="E331" s="12">
        <f t="shared" si="43"/>
        <v>-1.5457994116888399E-2</v>
      </c>
      <c r="F331" s="12">
        <f t="shared" si="44"/>
        <v>-1.5456763066300791E-2</v>
      </c>
      <c r="G331" s="12">
        <f t="shared" si="45"/>
        <v>0.49419212902687881</v>
      </c>
      <c r="H331" s="12">
        <f t="shared" si="46"/>
        <v>0.12270823051219013</v>
      </c>
      <c r="I331" s="12">
        <f t="shared" si="47"/>
        <v>0.49130380037578203</v>
      </c>
      <c r="J331" s="12">
        <f t="shared" si="48"/>
        <v>-6.4141928004896653E-2</v>
      </c>
      <c r="M331" s="123">
        <f>IF($Q$1,  C331, -0.2)</f>
        <v>-0.2</v>
      </c>
    </row>
    <row r="332" spans="2:13" x14ac:dyDescent="0.3">
      <c r="B332" s="12">
        <v>0.4954633166365402</v>
      </c>
      <c r="C332" s="12">
        <f t="shared" si="41"/>
        <v>2.9240562931395965E-2</v>
      </c>
      <c r="D332" s="12">
        <f t="shared" si="42"/>
        <v>9.3142532091012212E-2</v>
      </c>
      <c r="E332" s="12">
        <f t="shared" si="43"/>
        <v>-1.5910552772756693E-2</v>
      </c>
      <c r="F332" s="12">
        <f t="shared" si="44"/>
        <v>-1.5909210414020679E-2</v>
      </c>
      <c r="G332" s="12">
        <f t="shared" si="45"/>
        <v>0.49694507826984513</v>
      </c>
      <c r="H332" s="12">
        <f t="shared" si="46"/>
        <v>0.12237130794499126</v>
      </c>
      <c r="I332" s="12">
        <f t="shared" si="47"/>
        <v>0.49398155500323526</v>
      </c>
      <c r="J332" s="12">
        <f t="shared" si="48"/>
        <v>-6.389018208219932E-2</v>
      </c>
      <c r="M332" s="123">
        <f>IF($Q$1,  C332, -0.2)</f>
        <v>-0.2</v>
      </c>
    </row>
    <row r="333" spans="2:13" x14ac:dyDescent="0.3">
      <c r="B333" s="12">
        <v>0.4981836681233166</v>
      </c>
      <c r="C333" s="12">
        <f t="shared" si="41"/>
        <v>2.9196663942820868E-2</v>
      </c>
      <c r="D333" s="12">
        <f t="shared" si="42"/>
        <v>9.2845411499534611E-2</v>
      </c>
      <c r="E333" s="12">
        <f t="shared" si="43"/>
        <v>-1.6363944687219429E-2</v>
      </c>
      <c r="F333" s="12">
        <f t="shared" si="44"/>
        <v>-1.636248428331739E-2</v>
      </c>
      <c r="G333" s="12">
        <f t="shared" si="45"/>
        <v>0.49970278192202311</v>
      </c>
      <c r="H333" s="12">
        <f t="shared" si="46"/>
        <v>0.12202964692723484</v>
      </c>
      <c r="I333" s="12">
        <f t="shared" si="47"/>
        <v>0.4966645543246101</v>
      </c>
      <c r="J333" s="12">
        <f t="shared" si="48"/>
        <v>-6.3636319041593087E-2</v>
      </c>
      <c r="M333" s="123">
        <f>IF($Q$1,  C333, -0.2)</f>
        <v>-0.2</v>
      </c>
    </row>
    <row r="334" spans="2:13" x14ac:dyDescent="0.3">
      <c r="B334" s="12">
        <v>0.50090899220517071</v>
      </c>
      <c r="C334" s="12">
        <f t="shared" si="41"/>
        <v>2.9151447941011394E-2</v>
      </c>
      <c r="D334" s="12">
        <f t="shared" si="42"/>
        <v>9.2544889967959773E-2</v>
      </c>
      <c r="E334" s="12">
        <f t="shared" si="43"/>
        <v>-1.6818165367528448E-2</v>
      </c>
      <c r="F334" s="12">
        <f t="shared" si="44"/>
        <v>-1.6816579960040906E-2</v>
      </c>
      <c r="G334" s="12">
        <f t="shared" si="45"/>
        <v>0.50246520739586498</v>
      </c>
      <c r="H334" s="12">
        <f t="shared" si="46"/>
        <v>0.12168325249199825</v>
      </c>
      <c r="I334" s="12">
        <f t="shared" si="47"/>
        <v>0.49935277701447639</v>
      </c>
      <c r="J334" s="12">
        <f t="shared" si="48"/>
        <v>-6.3380356609975472E-2</v>
      </c>
      <c r="M334" s="123">
        <f>IF($Q$1,  C334, -0.2)</f>
        <v>-0.2</v>
      </c>
    </row>
    <row r="335" spans="2:13" x14ac:dyDescent="0.3">
      <c r="B335" s="12">
        <v>0.50363926187633923</v>
      </c>
      <c r="C335" s="12">
        <f t="shared" si="41"/>
        <v>2.9104908616477299E-2</v>
      </c>
      <c r="D335" s="12">
        <f t="shared" si="42"/>
        <v>9.224097873230136E-2</v>
      </c>
      <c r="E335" s="12">
        <f t="shared" si="43"/>
        <v>-1.7273210312723199E-2</v>
      </c>
      <c r="F335" s="12">
        <f t="shared" si="44"/>
        <v>-1.727149272000246E-2</v>
      </c>
      <c r="G335" s="12">
        <f t="shared" si="45"/>
        <v>0.50523232206341684</v>
      </c>
      <c r="H335" s="12">
        <f t="shared" si="46"/>
        <v>0.12133212974306888</v>
      </c>
      <c r="I335" s="12">
        <f t="shared" si="47"/>
        <v>0.50204620168926162</v>
      </c>
      <c r="J335" s="12">
        <f t="shared" si="48"/>
        <v>-6.3122312510114284E-2</v>
      </c>
      <c r="M335" s="123">
        <f>IF($Q$1,  C335, -0.2)</f>
        <v>-0.2</v>
      </c>
    </row>
    <row r="336" spans="2:13" x14ac:dyDescent="0.3">
      <c r="B336" s="12">
        <v>0.50637445008205195</v>
      </c>
      <c r="C336" s="12">
        <f t="shared" si="41"/>
        <v>2.9057039697478408E-2</v>
      </c>
      <c r="D336" s="12">
        <f t="shared" si="42"/>
        <v>9.1933689053016646E-2</v>
      </c>
      <c r="E336" s="12">
        <f t="shared" si="43"/>
        <v>-1.7729075013675322E-2</v>
      </c>
      <c r="F336" s="12">
        <f t="shared" si="44"/>
        <v>-1.7727217829030986E-2</v>
      </c>
      <c r="G336" s="12">
        <f t="shared" si="45"/>
        <v>0.50800409325687557</v>
      </c>
      <c r="H336" s="12">
        <f t="shared" si="46"/>
        <v>0.12097628385244033</v>
      </c>
      <c r="I336" s="12">
        <f t="shared" si="47"/>
        <v>0.50474480690722834</v>
      </c>
      <c r="J336" s="12">
        <f t="shared" si="48"/>
        <v>-6.2862204457483528E-2</v>
      </c>
      <c r="M336" s="123">
        <f>IF($Q$1,  C336, -0.2)</f>
        <v>-0.2</v>
      </c>
    </row>
    <row r="337" spans="2:13" x14ac:dyDescent="0.3">
      <c r="B337" s="12">
        <v>0.50911452971880011</v>
      </c>
      <c r="C337" s="12">
        <f t="shared" si="41"/>
        <v>2.9007834950353757E-2</v>
      </c>
      <c r="D337" s="12">
        <f t="shared" si="42"/>
        <v>9.1623032212160962E-2</v>
      </c>
      <c r="E337" s="12">
        <f t="shared" si="43"/>
        <v>-1.8185754953133348E-2</v>
      </c>
      <c r="F337" s="12">
        <f t="shared" si="44"/>
        <v>-1.8183750543029901E-2</v>
      </c>
      <c r="G337" s="12">
        <f t="shared" si="45"/>
        <v>0.51078048826913891</v>
      </c>
      <c r="H337" s="12">
        <f t="shared" si="46"/>
        <v>0.12061572005780091</v>
      </c>
      <c r="I337" s="12">
        <f t="shared" si="47"/>
        <v>0.50744857116846132</v>
      </c>
      <c r="J337" s="12">
        <f t="shared" si="48"/>
        <v>-6.2600050157093384E-2</v>
      </c>
      <c r="M337" s="123">
        <f>IF($Q$1,  C337, -0.2)</f>
        <v>-0.2</v>
      </c>
    </row>
    <row r="338" spans="2:13" x14ac:dyDescent="0.3">
      <c r="B338" s="12">
        <v>0.51185947363460449</v>
      </c>
      <c r="C338" s="12">
        <f t="shared" si="41"/>
        <v>2.8957288179849099E-2</v>
      </c>
      <c r="D338" s="12">
        <f t="shared" si="42"/>
        <v>9.1309019510533856E-2</v>
      </c>
      <c r="E338" s="12">
        <f t="shared" si="43"/>
        <v>-1.8643245605767411E-2</v>
      </c>
      <c r="F338" s="12">
        <f t="shared" si="44"/>
        <v>-1.8641086108034166E-2</v>
      </c>
      <c r="G338" s="12">
        <f t="shared" si="45"/>
        <v>0.51356147435434663</v>
      </c>
      <c r="H338" s="12">
        <f t="shared" si="46"/>
        <v>0.1202504436600112</v>
      </c>
      <c r="I338" s="12">
        <f t="shared" si="47"/>
        <v>0.51015747291486235</v>
      </c>
      <c r="J338" s="12">
        <f t="shared" si="48"/>
        <v>-6.2335867300312993E-2</v>
      </c>
      <c r="M338" s="123">
        <f>IF($Q$1,  C338, -0.2)</f>
        <v>-0.2</v>
      </c>
    </row>
    <row r="339" spans="2:13" x14ac:dyDescent="0.3">
      <c r="B339" s="12">
        <v>0.51460925462928531</v>
      </c>
      <c r="C339" s="12">
        <f t="shared" si="41"/>
        <v>2.8905393229443303E-2</v>
      </c>
      <c r="D339" s="12">
        <f t="shared" si="42"/>
        <v>9.0991662264820056E-2</v>
      </c>
      <c r="E339" s="12">
        <f t="shared" si="43"/>
        <v>-1.9101542438214214E-2</v>
      </c>
      <c r="F339" s="12">
        <f t="shared" si="44"/>
        <v>-1.9099219760267822E-2</v>
      </c>
      <c r="G339" s="12">
        <f t="shared" si="45"/>
        <v>0.51634701872841549</v>
      </c>
      <c r="H339" s="12">
        <f t="shared" si="46"/>
        <v>0.11988046002057488</v>
      </c>
      <c r="I339" s="12">
        <f t="shared" si="47"/>
        <v>0.51287149053015513</v>
      </c>
      <c r="J339" s="12">
        <f t="shared" si="48"/>
        <v>-6.2069673561688285E-2</v>
      </c>
      <c r="M339" s="123">
        <f>IF($Q$1,  C339, -0.2)</f>
        <v>-0.2</v>
      </c>
    </row>
    <row r="340" spans="2:13" x14ac:dyDescent="0.3">
      <c r="B340" s="12">
        <v>0.51736384545473046</v>
      </c>
      <c r="C340" s="12">
        <f t="shared" si="41"/>
        <v>2.8852143981673177E-2</v>
      </c>
      <c r="D340" s="12">
        <f t="shared" si="42"/>
        <v>9.0670971804724387E-2</v>
      </c>
      <c r="E340" s="12">
        <f t="shared" si="43"/>
        <v>-1.956064090912174E-2</v>
      </c>
      <c r="F340" s="12">
        <f t="shared" si="44"/>
        <v>-1.9558146726201521E-2</v>
      </c>
      <c r="G340" s="12">
        <f t="shared" si="45"/>
        <v>0.51913708856956375</v>
      </c>
      <c r="H340" s="12">
        <f t="shared" si="46"/>
        <v>0.11950577455910136</v>
      </c>
      <c r="I340" s="12">
        <f t="shared" si="47"/>
        <v>0.51559060233989717</v>
      </c>
      <c r="J340" s="12">
        <f t="shared" si="48"/>
        <v>-6.1801486595754997E-2</v>
      </c>
      <c r="M340" s="123">
        <f>IF($Q$1,  C340, -0.2)</f>
        <v>-0.2</v>
      </c>
    </row>
    <row r="341" spans="2:13" x14ac:dyDescent="0.3">
      <c r="B341" s="12">
        <v>0.52012321881516699</v>
      </c>
      <c r="C341" s="12">
        <f t="shared" si="41"/>
        <v>2.8797534358456951E-2</v>
      </c>
      <c r="D341" s="12">
        <f t="shared" si="42"/>
        <v>9.034695947010124E-2</v>
      </c>
      <c r="E341" s="12">
        <f t="shared" si="43"/>
        <v>-2.0020536469194494E-2</v>
      </c>
      <c r="F341" s="12">
        <f t="shared" si="44"/>
        <v>-2.0017862222610802E-2</v>
      </c>
      <c r="G341" s="12">
        <f t="shared" si="45"/>
        <v>0.52193165101883077</v>
      </c>
      <c r="H341" s="12">
        <f t="shared" si="46"/>
        <v>0.11912639275076073</v>
      </c>
      <c r="I341" s="12">
        <f t="shared" si="47"/>
        <v>0.51831478661150321</v>
      </c>
      <c r="J341" s="12">
        <f t="shared" si="48"/>
        <v>-6.153132403384682E-2</v>
      </c>
      <c r="M341" s="123">
        <f>IF($Q$1,  C341, -0.2)</f>
        <v>-0.2</v>
      </c>
    </row>
    <row r="342" spans="2:13" x14ac:dyDescent="0.3">
      <c r="B342" s="12">
        <v>0.52288734736743059</v>
      </c>
      <c r="C342" s="12">
        <f t="shared" si="41"/>
        <v>2.8741558321416366E-2</v>
      </c>
      <c r="D342" s="12">
        <f t="shared" si="42"/>
        <v>9.0019636608079878E-2</v>
      </c>
      <c r="E342" s="12">
        <f t="shared" si="43"/>
        <v>-2.0481224561238427E-2</v>
      </c>
      <c r="F342" s="12">
        <f t="shared" si="44"/>
        <v>-2.0478361456634332E-2</v>
      </c>
      <c r="G342" s="12">
        <f t="shared" si="45"/>
        <v>0.52473067318058642</v>
      </c>
      <c r="H342" s="12">
        <f t="shared" si="46"/>
        <v>0.11874232012373284</v>
      </c>
      <c r="I342" s="12">
        <f t="shared" si="47"/>
        <v>0.52104402155427476</v>
      </c>
      <c r="J342" s="12">
        <f t="shared" si="48"/>
        <v>-6.125920348090011E-2</v>
      </c>
      <c r="M342" s="123">
        <f>IF($Q$1,  C342, -0.2)</f>
        <v>-0.2</v>
      </c>
    </row>
    <row r="343" spans="2:13" x14ac:dyDescent="0.3">
      <c r="B343" s="12">
        <v>0.52565620372123711</v>
      </c>
      <c r="C343" s="12">
        <f t="shared" si="41"/>
        <v>2.868420987219724E-2</v>
      </c>
      <c r="D343" s="12">
        <f t="shared" si="42"/>
        <v>8.9689014570185202E-2</v>
      </c>
      <c r="E343" s="12">
        <f t="shared" si="43"/>
        <v>-2.094270062020618E-2</v>
      </c>
      <c r="F343" s="12">
        <f t="shared" si="44"/>
        <v>-2.0939639625832649E-2</v>
      </c>
      <c r="G343" s="12">
        <f t="shared" si="45"/>
        <v>0.52753412212303252</v>
      </c>
      <c r="H343" s="12">
        <f t="shared" si="46"/>
        <v>0.11835356225664961</v>
      </c>
      <c r="I343" s="12">
        <f t="shared" si="47"/>
        <v>0.52377828531944171</v>
      </c>
      <c r="J343" s="12">
        <f t="shared" si="48"/>
        <v>-6.0985142512255126E-2</v>
      </c>
      <c r="M343" s="123">
        <f>IF($Q$1,  C343, -0.2)</f>
        <v>-0.2</v>
      </c>
    </row>
    <row r="344" spans="2:13" x14ac:dyDescent="0.3">
      <c r="B344" s="12">
        <v>0.52842976043945322</v>
      </c>
      <c r="C344" s="12">
        <f t="shared" si="41"/>
        <v>2.8625483052788725E-2</v>
      </c>
      <c r="D344" s="12">
        <f t="shared" si="42"/>
        <v>8.9355104709455652E-2</v>
      </c>
      <c r="E344" s="12">
        <f t="shared" si="43"/>
        <v>-2.1404960073242198E-2</v>
      </c>
      <c r="F344" s="12">
        <f t="shared" si="44"/>
        <v>-2.1401691918247045E-2</v>
      </c>
      <c r="G344" s="12">
        <f t="shared" si="45"/>
        <v>0.53034196487869667</v>
      </c>
      <c r="H344" s="12">
        <f t="shared" si="46"/>
        <v>0.11796012477603246</v>
      </c>
      <c r="I344" s="12">
        <f t="shared" si="47"/>
        <v>0.52651755600020977</v>
      </c>
      <c r="J344" s="12">
        <f t="shared" si="48"/>
        <v>-6.070915867045501E-2</v>
      </c>
      <c r="M344" s="123">
        <f>IF($Q$1,  C344, -0.2)</f>
        <v>-0.2</v>
      </c>
    </row>
    <row r="345" spans="2:13" x14ac:dyDescent="0.3">
      <c r="B345" s="12">
        <v>0.53120799003836905</v>
      </c>
      <c r="C345" s="12">
        <f t="shared" si="41"/>
        <v>2.8565371945840929E-2</v>
      </c>
      <c r="D345" s="12">
        <f t="shared" si="42"/>
        <v>8.901791837755732E-2</v>
      </c>
      <c r="E345" s="12">
        <f t="shared" si="43"/>
        <v>-2.1867998339728169E-2</v>
      </c>
      <c r="F345" s="12">
        <f t="shared" si="44"/>
        <v>-2.1864513512459008E-2</v>
      </c>
      <c r="G345" s="12">
        <f t="shared" si="45"/>
        <v>0.53315416844491803</v>
      </c>
      <c r="H345" s="12">
        <f t="shared" si="46"/>
        <v>0.11756201335372407</v>
      </c>
      <c r="I345" s="12">
        <f t="shared" si="47"/>
        <v>0.52926181163182007</v>
      </c>
      <c r="J345" s="12">
        <f t="shared" si="48"/>
        <v>-6.043126946204222E-2</v>
      </c>
      <c r="M345" s="123">
        <f>IF($Q$1,  C345, -0.2)</f>
        <v>-0.2</v>
      </c>
    </row>
    <row r="346" spans="2:13" x14ac:dyDescent="0.3">
      <c r="B346" s="12">
        <v>0.53399086498797033</v>
      </c>
      <c r="C346" s="12">
        <f t="shared" si="41"/>
        <v>2.8503870674981297E-2</v>
      </c>
      <c r="D346" s="12">
        <f t="shared" si="42"/>
        <v>8.8677466921896278E-2</v>
      </c>
      <c r="E346" s="12">
        <f t="shared" si="43"/>
        <v>-2.2331810831328382E-2</v>
      </c>
      <c r="F346" s="12">
        <f t="shared" si="44"/>
        <v>-2.2328099577649804E-2</v>
      </c>
      <c r="G346" s="12">
        <f t="shared" si="45"/>
        <v>0.53597069978432421</v>
      </c>
      <c r="H346" s="12">
        <f t="shared" si="46"/>
        <v>0.11715923370431615</v>
      </c>
      <c r="I346" s="12">
        <f t="shared" si="47"/>
        <v>0.53201103019161644</v>
      </c>
      <c r="J346" s="12">
        <f t="shared" si="48"/>
        <v>-6.0151492354353561E-2</v>
      </c>
      <c r="M346" s="123">
        <f>IF($Q$1,  C346, -0.2)</f>
        <v>-0.2</v>
      </c>
    </row>
    <row r="347" spans="2:13" x14ac:dyDescent="0.3">
      <c r="B347" s="12">
        <v>0.53677835771221083</v>
      </c>
      <c r="C347" s="12">
        <f t="shared" si="41"/>
        <v>2.8440973405129209E-2</v>
      </c>
      <c r="D347" s="12">
        <f t="shared" si="42"/>
        <v>8.8333761682728884E-2</v>
      </c>
      <c r="E347" s="12">
        <f t="shared" si="43"/>
        <v>-2.2796392952035133E-2</v>
      </c>
      <c r="F347" s="12">
        <f t="shared" si="44"/>
        <v>-2.2792445273660346E-2</v>
      </c>
      <c r="G347" s="12">
        <f t="shared" si="45"/>
        <v>0.53879152582529954</v>
      </c>
      <c r="H347" s="12">
        <f t="shared" si="46"/>
        <v>0.11675179158257326</v>
      </c>
      <c r="I347" s="12">
        <f t="shared" si="47"/>
        <v>0.53476518959912211</v>
      </c>
      <c r="J347" s="12">
        <f t="shared" si="48"/>
        <v>-5.9869844772314849E-2</v>
      </c>
      <c r="M347" s="123">
        <f>IF($Q$1,  C347, -0.2)</f>
        <v>-0.2</v>
      </c>
    </row>
    <row r="348" spans="2:13" x14ac:dyDescent="0.3">
      <c r="B348" s="12">
        <v>0.53957044058928638</v>
      </c>
      <c r="C348" s="12">
        <f t="shared" si="41"/>
        <v>2.8376674342809376E-2</v>
      </c>
      <c r="D348" s="12">
        <f t="shared" si="42"/>
        <v>8.7986813990270932E-2</v>
      </c>
      <c r="E348" s="12">
        <f t="shared" si="43"/>
        <v>-2.3261740098214391E-2</v>
      </c>
      <c r="F348" s="12">
        <f t="shared" si="44"/>
        <v>-2.3257545751051548E-2</v>
      </c>
      <c r="G348" s="12">
        <f t="shared" si="45"/>
        <v>0.54161661346244661</v>
      </c>
      <c r="H348" s="12">
        <f t="shared" si="46"/>
        <v>0.11633969278085343</v>
      </c>
      <c r="I348" s="12">
        <f t="shared" si="47"/>
        <v>0.53752426771612616</v>
      </c>
      <c r="J348" s="12">
        <f t="shared" si="48"/>
        <v>-5.9586344095234688E-2</v>
      </c>
      <c r="M348" s="123">
        <f>IF($Q$1,  C348, -0.2)</f>
        <v>-0.2</v>
      </c>
    </row>
    <row r="349" spans="2:13" x14ac:dyDescent="0.3">
      <c r="B349" s="12">
        <v>0.54236708595190763</v>
      </c>
      <c r="C349" s="12">
        <f t="shared" si="41"/>
        <v>2.8310967736463511E-2</v>
      </c>
      <c r="D349" s="12">
        <f t="shared" si="42"/>
        <v>8.7636635161805823E-2</v>
      </c>
      <c r="E349" s="12">
        <f t="shared" si="43"/>
        <v>-2.3727847658651269E-2</v>
      </c>
      <c r="F349" s="12">
        <f t="shared" si="44"/>
        <v>-2.3723396151164745E-2</v>
      </c>
      <c r="G349" s="12">
        <f t="shared" si="45"/>
        <v>0.54444592955703652</v>
      </c>
      <c r="H349" s="12">
        <f t="shared" si="46"/>
        <v>0.11592294312652578</v>
      </c>
      <c r="I349" s="12">
        <f t="shared" si="47"/>
        <v>0.54028824234677875</v>
      </c>
      <c r="J349" s="12">
        <f t="shared" si="48"/>
        <v>-5.9301007653598761E-2</v>
      </c>
      <c r="M349" s="123">
        <f>IF($Q$1,  C349, -0.2)</f>
        <v>-0.2</v>
      </c>
    </row>
    <row r="350" spans="2:13" x14ac:dyDescent="0.3">
      <c r="B350" s="12">
        <v>0.54516826608757496</v>
      </c>
      <c r="C350" s="12">
        <f t="shared" si="41"/>
        <v>2.8243847876760587E-2</v>
      </c>
      <c r="D350" s="12">
        <f t="shared" si="42"/>
        <v>8.7283236498792743E-2</v>
      </c>
      <c r="E350" s="12">
        <f t="shared" si="43"/>
        <v>-2.4194711014595822E-2</v>
      </c>
      <c r="F350" s="12">
        <f t="shared" si="44"/>
        <v>-2.4189991606182619E-2</v>
      </c>
      <c r="G350" s="12">
        <f t="shared" si="45"/>
        <v>0.54727944093745362</v>
      </c>
      <c r="H350" s="12">
        <f t="shared" si="46"/>
        <v>0.11550154847938605</v>
      </c>
      <c r="I350" s="12">
        <f t="shared" si="47"/>
        <v>0.5430570912376963</v>
      </c>
      <c r="J350" s="12">
        <f t="shared" si="48"/>
        <v>-5.9013852725864888E-2</v>
      </c>
      <c r="M350" s="123">
        <f>IF($Q$1,  C350, -0.2)</f>
        <v>-0.2</v>
      </c>
    </row>
    <row r="351" spans="2:13" x14ac:dyDescent="0.3">
      <c r="B351" s="12">
        <v>0.54797395323885223</v>
      </c>
      <c r="C351" s="12">
        <f t="shared" si="41"/>
        <v>2.8175309096905493E-2</v>
      </c>
      <c r="D351" s="12">
        <f t="shared" si="42"/>
        <v>8.6926629283975584E-2</v>
      </c>
      <c r="E351" s="12">
        <f t="shared" si="43"/>
        <v>-2.46623255398087E-2</v>
      </c>
      <c r="F351" s="12">
        <f t="shared" si="44"/>
        <v>-2.4657327239190275E-2</v>
      </c>
      <c r="G351" s="12">
        <f t="shared" si="45"/>
        <v>0.55011711439962896</v>
      </c>
      <c r="H351" s="12">
        <f t="shared" si="46"/>
        <v>0.11507551472907106</v>
      </c>
      <c r="I351" s="12">
        <f t="shared" si="47"/>
        <v>0.5458307920780755</v>
      </c>
      <c r="J351" s="12">
        <f t="shared" si="48"/>
        <v>-5.8724896535260071E-2</v>
      </c>
      <c r="M351" s="123">
        <f>IF($Q$1,  C351, -0.2)</f>
        <v>-0.2</v>
      </c>
    </row>
    <row r="352" spans="2:13" x14ac:dyDescent="0.3">
      <c r="B352" s="12">
        <v>0.55078411960364337</v>
      </c>
      <c r="C352" s="12">
        <f t="shared" si="41"/>
        <v>2.8105345772946176E-2</v>
      </c>
      <c r="D352" s="12">
        <f t="shared" si="42"/>
        <v>8.6566824778492146E-2</v>
      </c>
      <c r="E352" s="12">
        <f t="shared" si="43"/>
        <v>-2.5130686600607223E-2</v>
      </c>
      <c r="F352" s="12">
        <f t="shared" si="44"/>
        <v>-2.5125398164236895E-2</v>
      </c>
      <c r="G352" s="12">
        <f t="shared" si="45"/>
        <v>0.55295891670746866</v>
      </c>
      <c r="H352" s="12">
        <f t="shared" si="46"/>
        <v>0.11464484779247108</v>
      </c>
      <c r="I352" s="12">
        <f t="shared" si="47"/>
        <v>0.54860932249981809</v>
      </c>
      <c r="J352" s="12">
        <f t="shared" si="48"/>
        <v>-5.8434156246578724E-2</v>
      </c>
      <c r="M352" s="123">
        <f>IF($Q$1,  C352, -0.2)</f>
        <v>-0.2</v>
      </c>
    </row>
    <row r="353" spans="2:13" x14ac:dyDescent="0.3">
      <c r="B353" s="12">
        <v>0.55359873733546627</v>
      </c>
      <c r="C353" s="12">
        <f t="shared" si="41"/>
        <v>2.8033952324079198E-2</v>
      </c>
      <c r="D353" s="12">
        <f t="shared" si="42"/>
        <v>8.6203834218985489E-2</v>
      </c>
      <c r="E353" s="12">
        <f t="shared" si="43"/>
        <v>-2.5599789555911041E-2</v>
      </c>
      <c r="F353" s="12">
        <f t="shared" si="44"/>
        <v>-2.5594199486397275E-2</v>
      </c>
      <c r="G353" s="12">
        <f t="shared" si="45"/>
        <v>0.55580481459326925</v>
      </c>
      <c r="H353" s="12">
        <f t="shared" si="46"/>
        <v>0.11420955361114268</v>
      </c>
      <c r="I353" s="12">
        <f t="shared" si="47"/>
        <v>0.5513926600776633</v>
      </c>
      <c r="J353" s="12">
        <f t="shared" si="48"/>
        <v>-5.8141648962984294E-2</v>
      </c>
      <c r="M353" s="123">
        <f>IF($Q$1,  C353, -0.2)</f>
        <v>-0.2</v>
      </c>
    </row>
    <row r="354" spans="2:13" x14ac:dyDescent="0.3">
      <c r="B354" s="12">
        <v>0.55641777854372954</v>
      </c>
      <c r="C354" s="12">
        <f t="shared" si="41"/>
        <v>2.7961123212953735E-2</v>
      </c>
      <c r="D354" s="12">
        <f t="shared" si="42"/>
        <v>8.5837668814717549E-2</v>
      </c>
      <c r="E354" s="12">
        <f t="shared" si="43"/>
        <v>-2.606962975728825E-2</v>
      </c>
      <c r="F354" s="12">
        <f t="shared" si="44"/>
        <v>-2.6063726301833994E-2</v>
      </c>
      <c r="G354" s="12">
        <f t="shared" si="45"/>
        <v>0.55865477475812775</v>
      </c>
      <c r="H354" s="12">
        <f t="shared" si="46"/>
        <v>0.11376963814872162</v>
      </c>
      <c r="I354" s="12">
        <f t="shared" si="47"/>
        <v>0.55418078232933132</v>
      </c>
      <c r="J354" s="12">
        <f t="shared" si="48"/>
        <v>-5.7847391722814161E-2</v>
      </c>
      <c r="M354" s="123">
        <f>IF($Q$1,  C354, -0.2)</f>
        <v>-0.2</v>
      </c>
    </row>
    <row r="355" spans="2:13" x14ac:dyDescent="0.3">
      <c r="B355" s="12">
        <v>0.55924121529400872</v>
      </c>
      <c r="C355" s="12">
        <f t="shared" si="41"/>
        <v>2.7886852945973931E-2</v>
      </c>
      <c r="D355" s="12">
        <f t="shared" si="42"/>
        <v>8.5468339744684485E-2</v>
      </c>
      <c r="E355" s="12">
        <f t="shared" si="43"/>
        <v>-2.6540202549001447E-2</v>
      </c>
      <c r="F355" s="12">
        <f t="shared" si="44"/>
        <v>-2.6533973697859772E-2</v>
      </c>
      <c r="G355" s="12">
        <f t="shared" si="45"/>
        <v>0.56150876387234216</v>
      </c>
      <c r="H355" s="12">
        <f t="shared" si="46"/>
        <v>0.11332510738833547</v>
      </c>
      <c r="I355" s="12">
        <f t="shared" si="47"/>
        <v>0.55697366671567528</v>
      </c>
      <c r="J355" s="12">
        <f t="shared" si="48"/>
        <v>-5.7551401496387614E-2</v>
      </c>
      <c r="M355" s="123">
        <f>IF($Q$1,  C355, -0.2)</f>
        <v>-0.2</v>
      </c>
    </row>
    <row r="356" spans="2:13" x14ac:dyDescent="0.3">
      <c r="B356" s="12">
        <v>0.56206901960832267</v>
      </c>
      <c r="C356" s="12">
        <f t="shared" si="41"/>
        <v>2.7811136073599765E-2</v>
      </c>
      <c r="D356" s="12">
        <f t="shared" si="42"/>
        <v>8.5095858154736595E-2</v>
      </c>
      <c r="E356" s="12">
        <f t="shared" si="43"/>
        <v>-2.7011503268053773E-2</v>
      </c>
      <c r="F356" s="12">
        <f t="shared" si="44"/>
        <v>-2.7004936753000044E-2</v>
      </c>
      <c r="G356" s="12">
        <f t="shared" si="45"/>
        <v>0.56436674857580194</v>
      </c>
      <c r="H356" s="12">
        <f t="shared" si="46"/>
        <v>0.11287596733001888</v>
      </c>
      <c r="I356" s="12">
        <f t="shared" si="47"/>
        <v>0.55977129064084341</v>
      </c>
      <c r="J356" s="12">
        <f t="shared" si="48"/>
        <v>-5.725369518281935E-2</v>
      </c>
      <c r="M356" s="123">
        <f>IF($Q$1,  C356, -0.2)</f>
        <v>-0.2</v>
      </c>
    </row>
    <row r="357" spans="2:13" x14ac:dyDescent="0.3">
      <c r="B357" s="12">
        <v>0.56490116346541219</v>
      </c>
      <c r="C357" s="12">
        <f t="shared" si="41"/>
        <v>2.7733967190646112E-2</v>
      </c>
      <c r="D357" s="12">
        <f t="shared" si="42"/>
        <v>8.4720235154701104E-2</v>
      </c>
      <c r="E357" s="12">
        <f t="shared" si="43"/>
        <v>-2.7483527244235362E-2</v>
      </c>
      <c r="F357" s="12">
        <f t="shared" si="44"/>
        <v>-2.7476610537056141E-2</v>
      </c>
      <c r="G357" s="12">
        <f t="shared" si="45"/>
        <v>0.56722869547837262</v>
      </c>
      <c r="H357" s="12">
        <f t="shared" si="46"/>
        <v>0.11242222398812952</v>
      </c>
      <c r="I357" s="12">
        <f t="shared" si="47"/>
        <v>0.56257363145245176</v>
      </c>
      <c r="J357" s="12">
        <f t="shared" si="48"/>
        <v>-5.6954289606837308E-2</v>
      </c>
      <c r="M357" s="123">
        <f>IF($Q$1,  C357, -0.2)</f>
        <v>-0.2</v>
      </c>
    </row>
    <row r="358" spans="2:13" x14ac:dyDescent="0.3">
      <c r="B358" s="12">
        <v>0.56773761880101548</v>
      </c>
      <c r="C358" s="12">
        <f t="shared" si="41"/>
        <v>2.7655340936580432E-2</v>
      </c>
      <c r="D358" s="12">
        <f t="shared" si="42"/>
        <v>8.4341481815509531E-2</v>
      </c>
      <c r="E358" s="12">
        <f t="shared" si="43"/>
        <v>-2.7956269800169242E-2</v>
      </c>
      <c r="F358" s="12">
        <f t="shared" si="44"/>
        <v>-2.7948990111168172E-2</v>
      </c>
      <c r="G358" s="12">
        <f t="shared" si="45"/>
        <v>0.57009457116026785</v>
      </c>
      <c r="H358" s="12">
        <f t="shared" si="46"/>
        <v>0.11196388338876698</v>
      </c>
      <c r="I358" s="12">
        <f t="shared" si="47"/>
        <v>0.5653806664417631</v>
      </c>
      <c r="J358" s="12">
        <f t="shared" si="48"/>
        <v>-5.6653201515606107E-2</v>
      </c>
      <c r="M358" s="123">
        <f>IF($Q$1,  C358, -0.2)</f>
        <v>-0.2</v>
      </c>
    </row>
    <row r="359" spans="2:13" x14ac:dyDescent="0.3">
      <c r="B359" s="12">
        <v>0.57057835750814878</v>
      </c>
      <c r="C359" s="12">
        <f t="shared" si="41"/>
        <v>2.7575251995818513E-2</v>
      </c>
      <c r="D359" s="12">
        <f t="shared" si="42"/>
        <v>8.3959609166330745E-2</v>
      </c>
      <c r="E359" s="12">
        <f t="shared" si="43"/>
        <v>-2.8429726251358124E-2</v>
      </c>
      <c r="F359" s="12">
        <f t="shared" si="44"/>
        <v>-2.8422070527878991E-2</v>
      </c>
      <c r="G359" s="12">
        <f t="shared" si="45"/>
        <v>0.57296434217241676</v>
      </c>
      <c r="H359" s="12">
        <f t="shared" si="46"/>
        <v>0.11150095156719467</v>
      </c>
      <c r="I359" s="12">
        <f t="shared" si="47"/>
        <v>0.5681923728438808</v>
      </c>
      <c r="J359" s="12">
        <f t="shared" si="48"/>
        <v>-5.6350447575557648E-2</v>
      </c>
      <c r="M359" s="123">
        <f>IF($Q$1,  C359, -0.2)</f>
        <v>-0.2</v>
      </c>
    </row>
    <row r="360" spans="2:13" x14ac:dyDescent="0.3">
      <c r="B360" s="12">
        <v>0.5734233514373821</v>
      </c>
      <c r="C360" s="12">
        <f t="shared" si="41"/>
        <v>2.7493695098018849E-2</v>
      </c>
      <c r="D360" s="12">
        <f t="shared" si="42"/>
        <v>8.3574628191708536E-2</v>
      </c>
      <c r="E360" s="12">
        <f t="shared" si="43"/>
        <v>-2.8903891906230345E-2</v>
      </c>
      <c r="F360" s="12">
        <f t="shared" si="44"/>
        <v>-2.8895846831197572E-2</v>
      </c>
      <c r="G360" s="12">
        <f t="shared" si="45"/>
        <v>0.575837975036818</v>
      </c>
      <c r="H360" s="12">
        <f t="shared" si="46"/>
        <v>0.11103343456526504</v>
      </c>
      <c r="I360" s="12">
        <f t="shared" si="47"/>
        <v>0.57100872783794621</v>
      </c>
      <c r="J360" s="12">
        <f t="shared" si="48"/>
        <v>-5.6046044369227339E-2</v>
      </c>
      <c r="M360" s="123">
        <f>IF($Q$1,  C360, -0.2)</f>
        <v>-0.2</v>
      </c>
    </row>
    <row r="361" spans="2:13" x14ac:dyDescent="0.3">
      <c r="B361" s="12">
        <v>0.57627257239712093</v>
      </c>
      <c r="C361" s="12">
        <f t="shared" si="41"/>
        <v>2.7410665018375142E-2</v>
      </c>
      <c r="D361" s="12">
        <f t="shared" si="42"/>
        <v>8.3186549828705908E-2</v>
      </c>
      <c r="E361" s="12">
        <f t="shared" si="43"/>
        <v>-2.9378762066186816E-2</v>
      </c>
      <c r="F361" s="12">
        <f t="shared" si="44"/>
        <v>-2.9370314056663571E-2</v>
      </c>
      <c r="G361" s="12">
        <f t="shared" si="45"/>
        <v>0.57871543624689048</v>
      </c>
      <c r="H361" s="12">
        <f t="shared" si="46"/>
        <v>0.11056133842884885</v>
      </c>
      <c r="I361" s="12">
        <f t="shared" si="47"/>
        <v>0.57382970854735138</v>
      </c>
      <c r="J361" s="12">
        <f t="shared" si="48"/>
        <v>-5.5740008392098563E-2</v>
      </c>
      <c r="M361" s="123">
        <f>IF($Q$1,  C361, -0.2)</f>
        <v>-0.2</v>
      </c>
    </row>
    <row r="362" spans="2:13" x14ac:dyDescent="0.3">
      <c r="B362" s="12">
        <v>0.5791259921538835</v>
      </c>
      <c r="C362" s="12">
        <f t="shared" si="41"/>
        <v>2.732615657790724E-2</v>
      </c>
      <c r="D362" s="12">
        <f t="shared" si="42"/>
        <v>8.2795384964056154E-2</v>
      </c>
      <c r="E362" s="12">
        <f t="shared" si="43"/>
        <v>-2.9854332025647246E-2</v>
      </c>
      <c r="F362" s="12">
        <f t="shared" si="44"/>
        <v>-2.9845467231411408E-2</v>
      </c>
      <c r="G362" s="12">
        <f t="shared" si="45"/>
        <v>0.58159669226780952</v>
      </c>
      <c r="H362" s="12">
        <f t="shared" si="46"/>
        <v>0.11008466920526964</v>
      </c>
      <c r="I362" s="12">
        <f t="shared" si="47"/>
        <v>0.57665529203995747</v>
      </c>
      <c r="J362" s="12">
        <f t="shared" si="48"/>
        <v>-5.5432356049455164E-2</v>
      </c>
      <c r="M362" s="123">
        <f>IF($Q$1,  C362, -0.2)</f>
        <v>-0.2</v>
      </c>
    </row>
    <row r="363" spans="2:13" x14ac:dyDescent="0.3">
      <c r="B363" s="12">
        <v>0.58198358243258186</v>
      </c>
      <c r="C363" s="12">
        <f t="shared" si="41"/>
        <v>2.7240164643750307E-2</v>
      </c>
      <c r="D363" s="12">
        <f t="shared" si="42"/>
        <v>8.2401144431320864E-2</v>
      </c>
      <c r="E363" s="12">
        <f t="shared" si="43"/>
        <v>-3.0330597072096972E-2</v>
      </c>
      <c r="F363" s="12">
        <f t="shared" si="44"/>
        <v>-3.0321301374235152E-2</v>
      </c>
      <c r="G363" s="12">
        <f t="shared" si="45"/>
        <v>0.58448170953683898</v>
      </c>
      <c r="H363" s="12">
        <f t="shared" si="46"/>
        <v>0.10960343294074285</v>
      </c>
      <c r="I363" s="12">
        <f t="shared" si="47"/>
        <v>0.57948545532832474</v>
      </c>
      <c r="J363" s="12">
        <f t="shared" si="48"/>
        <v>-5.5123103653242238E-2</v>
      </c>
      <c r="M363" s="123">
        <f>IF($Q$1,  C363, -0.2)</f>
        <v>-0.2</v>
      </c>
    </row>
    <row r="364" spans="2:13" x14ac:dyDescent="0.3">
      <c r="B364" s="12">
        <v>0.58484531491680136</v>
      </c>
      <c r="C364" s="12">
        <f t="shared" si="41"/>
        <v>2.7152684129442377E-2</v>
      </c>
      <c r="D364" s="12">
        <f t="shared" si="42"/>
        <v>8.2003839008055787E-2</v>
      </c>
      <c r="E364" s="12">
        <f t="shared" si="43"/>
        <v>-3.0807552486133555E-2</v>
      </c>
      <c r="F364" s="12">
        <f t="shared" si="44"/>
        <v>-3.0797811495653422E-2</v>
      </c>
      <c r="G364" s="12">
        <f t="shared" si="45"/>
        <v>0.58737045446365144</v>
      </c>
      <c r="H364" s="12">
        <f t="shared" si="46"/>
        <v>0.10911763567782107</v>
      </c>
      <c r="I364" s="12">
        <f t="shared" si="47"/>
        <v>0.58232017536995129</v>
      </c>
      <c r="J364" s="12">
        <f t="shared" si="48"/>
        <v>-5.4812267418936307E-2</v>
      </c>
      <c r="M364" s="123">
        <f>IF($Q$1,  C364, -0.2)</f>
        <v>-0.2</v>
      </c>
    </row>
    <row r="365" spans="2:13" x14ac:dyDescent="0.3">
      <c r="B365" s="12">
        <v>0.58771116124908085</v>
      </c>
      <c r="C365" s="12">
        <f t="shared" si="41"/>
        <v>2.7063709995210131E-2</v>
      </c>
      <c r="D365" s="12">
        <f t="shared" si="42"/>
        <v>8.1603479412985763E-2</v>
      </c>
      <c r="E365" s="12">
        <f t="shared" si="43"/>
        <v>-3.1285193541513469E-2</v>
      </c>
      <c r="F365" s="12">
        <f t="shared" si="44"/>
        <v>-3.1274992597974539E-2</v>
      </c>
      <c r="G365" s="12">
        <f t="shared" si="45"/>
        <v>0.59026289343064042</v>
      </c>
      <c r="H365" s="12">
        <f t="shared" si="46"/>
        <v>0.10862728345284613</v>
      </c>
      <c r="I365" s="12">
        <f t="shared" si="47"/>
        <v>0.58515942906752128</v>
      </c>
      <c r="J365" s="12">
        <f t="shared" si="48"/>
        <v>-5.4499863462425871E-2</v>
      </c>
      <c r="M365" s="123">
        <f>IF($Q$1,  C365, -0.2)</f>
        <v>-0.2</v>
      </c>
    </row>
    <row r="366" spans="2:13" x14ac:dyDescent="0.3">
      <c r="B366" s="12">
        <v>0.59058109303119544</v>
      </c>
      <c r="C366" s="12">
        <f t="shared" si="41"/>
        <v>2.6973237248252905E-2</v>
      </c>
      <c r="D366" s="12">
        <f t="shared" si="42"/>
        <v>8.1200076303187416E-2</v>
      </c>
      <c r="E366" s="12">
        <f t="shared" si="43"/>
        <v>-3.1763515505199236E-2</v>
      </c>
      <c r="F366" s="12">
        <f t="shared" si="44"/>
        <v>-3.175283967536241E-2</v>
      </c>
      <c r="G366" s="12">
        <f t="shared" si="45"/>
        <v>0.59315899279322593</v>
      </c>
      <c r="H366" s="12">
        <f t="shared" si="46"/>
        <v>0.10813238229340713</v>
      </c>
      <c r="I366" s="12">
        <f t="shared" si="47"/>
        <v>0.58800319326916495</v>
      </c>
      <c r="J366" s="12">
        <f t="shared" si="48"/>
        <v>-5.4185907796901328E-2</v>
      </c>
      <c r="M366" s="123">
        <f>IF($Q$1,  C366, -0.2)</f>
        <v>-0.2</v>
      </c>
    </row>
    <row r="367" spans="2:13" x14ac:dyDescent="0.3">
      <c r="B367" s="12">
        <v>0.59345508182443574</v>
      </c>
      <c r="C367" s="12">
        <f t="shared" si="41"/>
        <v>2.6881260943025072E-2</v>
      </c>
      <c r="D367" s="12">
        <f t="shared" si="42"/>
        <v>8.0793640271282677E-2</v>
      </c>
      <c r="E367" s="12">
        <f t="shared" si="43"/>
        <v>-3.2242513637405948E-2</v>
      </c>
      <c r="F367" s="12">
        <f t="shared" si="44"/>
        <v>-3.2231347713901924E-2</v>
      </c>
      <c r="G367" s="12">
        <f t="shared" si="45"/>
        <v>0.59605871888014683</v>
      </c>
      <c r="H367" s="12">
        <f t="shared" si="46"/>
        <v>0.10763293821580719</v>
      </c>
      <c r="I367" s="12">
        <f t="shared" si="47"/>
        <v>0.59085144476872464</v>
      </c>
      <c r="J367" s="12">
        <f t="shared" si="48"/>
        <v>-5.3870416329757052E-2</v>
      </c>
      <c r="M367" s="123">
        <f>IF($Q$1,  C367, -0.2)</f>
        <v>-0.2</v>
      </c>
    </row>
    <row r="368" spans="2:13" x14ac:dyDescent="0.3">
      <c r="B368" s="12">
        <v>0.59633309914989119</v>
      </c>
      <c r="C368" s="12">
        <f t="shared" si="41"/>
        <v>2.6787776181516582E-2</v>
      </c>
      <c r="D368" s="12">
        <f t="shared" si="42"/>
        <v>8.0384181842641608E-2</v>
      </c>
      <c r="E368" s="12">
        <f t="shared" si="43"/>
        <v>-3.2722183191648525E-2</v>
      </c>
      <c r="F368" s="12">
        <f t="shared" si="44"/>
        <v>-3.2710511691665396E-2</v>
      </c>
      <c r="G368" s="12">
        <f t="shared" si="45"/>
        <v>0.59896203799374892</v>
      </c>
      <c r="H368" s="12">
        <f t="shared" si="46"/>
        <v>0.10712895722253768</v>
      </c>
      <c r="I368" s="12">
        <f t="shared" si="47"/>
        <v>0.59370416030603346</v>
      </c>
      <c r="J368" s="12">
        <f t="shared" si="48"/>
        <v>-5.3553404859504522E-2</v>
      </c>
      <c r="M368" s="123">
        <f>IF($Q$1,  C368, -0.2)</f>
        <v>-0.2</v>
      </c>
    </row>
    <row r="369" spans="2:13" x14ac:dyDescent="0.3">
      <c r="B369" s="12">
        <v>0.59921511648873138</v>
      </c>
      <c r="C369" s="12">
        <f t="shared" si="41"/>
        <v>2.6692778113531757E-2</v>
      </c>
      <c r="D369" s="12">
        <f t="shared" si="42"/>
        <v>7.9971711472596116E-2</v>
      </c>
      <c r="E369" s="12">
        <f t="shared" si="43"/>
        <v>-3.3202519414788557E-2</v>
      </c>
      <c r="F369" s="12">
        <f t="shared" si="44"/>
        <v>-3.3190326578778698E-2</v>
      </c>
      <c r="G369" s="12">
        <f t="shared" si="45"/>
        <v>0.60186891641026097</v>
      </c>
      <c r="H369" s="12">
        <f t="shared" si="46"/>
        <v>0.10662044529976115</v>
      </c>
      <c r="I369" s="12">
        <f t="shared" si="47"/>
        <v>0.59656131656720179</v>
      </c>
      <c r="J369" s="12">
        <f t="shared" si="48"/>
        <v>-5.3234889072697647E-2</v>
      </c>
      <c r="M369" s="123">
        <f>IF($Q$1,  C369, -0.2)</f>
        <v>-0.2</v>
      </c>
    </row>
    <row r="370" spans="2:13" x14ac:dyDescent="0.3">
      <c r="B370" s="12">
        <v>0.6021011052824895</v>
      </c>
      <c r="C370" s="12">
        <f t="shared" si="41"/>
        <v>2.6596261936966341E-2</v>
      </c>
      <c r="D370" s="12">
        <f t="shared" si="42"/>
        <v>7.95562395436651E-2</v>
      </c>
      <c r="E370" s="12">
        <f t="shared" si="43"/>
        <v>-3.3683517547081578E-2</v>
      </c>
      <c r="F370" s="12">
        <f t="shared" si="44"/>
        <v>-3.3670787337488114E-2</v>
      </c>
      <c r="G370" s="12">
        <f t="shared" si="45"/>
        <v>0.60477932038006432</v>
      </c>
      <c r="H370" s="12">
        <f t="shared" si="46"/>
        <v>0.10610740841480393</v>
      </c>
      <c r="I370" s="12">
        <f t="shared" si="47"/>
        <v>0.59942289018491468</v>
      </c>
      <c r="J370" s="12">
        <f t="shared" si="48"/>
        <v>-5.2914884540871239E-2</v>
      </c>
      <c r="M370" s="123">
        <f>IF($Q$1,  C370, -0.2)</f>
        <v>-0.2</v>
      </c>
    </row>
    <row r="371" spans="2:13" x14ac:dyDescent="0.3">
      <c r="B371" s="12">
        <v>0.60499103693334377</v>
      </c>
      <c r="C371" s="12">
        <f t="shared" si="41"/>
        <v>2.6498222898082711E-2</v>
      </c>
      <c r="D371" s="12">
        <f t="shared" si="42"/>
        <v>7.9137776362791609E-2</v>
      </c>
      <c r="E371" s="12">
        <f t="shared" si="43"/>
        <v>-3.4165172822223956E-2</v>
      </c>
      <c r="F371" s="12">
        <f t="shared" si="44"/>
        <v>-3.4151888922226981E-2</v>
      </c>
      <c r="G371" s="12">
        <f t="shared" si="45"/>
        <v>0.60769321612795124</v>
      </c>
      <c r="H371" s="12">
        <f t="shared" si="46"/>
        <v>0.10558985251365864</v>
      </c>
      <c r="I371" s="12">
        <f t="shared" si="47"/>
        <v>0.60228885773873631</v>
      </c>
      <c r="J371" s="12">
        <f t="shared" si="48"/>
        <v>-5.2593406717493227E-2</v>
      </c>
      <c r="M371" s="123">
        <f>IF($Q$1,  C371, -0.2)</f>
        <v>-0.2</v>
      </c>
    </row>
    <row r="372" spans="2:13" x14ac:dyDescent="0.3">
      <c r="B372" s="12">
        <v>0.60788488280440323</v>
      </c>
      <c r="C372" s="12">
        <f t="shared" si="41"/>
        <v>2.6398656291783291E-2</v>
      </c>
      <c r="D372" s="12">
        <f t="shared" si="42"/>
        <v>7.8716332158591334E-2</v>
      </c>
      <c r="E372" s="12">
        <f t="shared" si="43"/>
        <v>-3.4647480467400529E-2</v>
      </c>
      <c r="F372" s="12">
        <f t="shared" si="44"/>
        <v>-3.463362627968327E-2</v>
      </c>
      <c r="G372" s="12">
        <f t="shared" si="45"/>
        <v>0.61061056985337825</v>
      </c>
      <c r="H372" s="12">
        <f t="shared" si="46"/>
        <v>0.10506778351849613</v>
      </c>
      <c r="I372" s="12">
        <f t="shared" si="47"/>
        <v>0.6051591957554282</v>
      </c>
      <c r="J372" s="12">
        <f t="shared" si="48"/>
        <v>-5.2270470934929543E-2</v>
      </c>
      <c r="M372" s="123">
        <f>IF($Q$1,  C372, -0.2)</f>
        <v>-0.2</v>
      </c>
    </row>
    <row r="373" spans="2:13" x14ac:dyDescent="0.3">
      <c r="B373" s="12">
        <v>0.61078261421998925</v>
      </c>
      <c r="C373" s="12">
        <f t="shared" si="41"/>
        <v>2.6297557461882268E-2</v>
      </c>
      <c r="D373" s="12">
        <f t="shared" si="42"/>
        <v>7.8291917078615478E-2</v>
      </c>
      <c r="E373" s="12">
        <f t="shared" si="43"/>
        <v>-3.5130435703331533E-2</v>
      </c>
      <c r="F373" s="12">
        <f t="shared" si="44"/>
        <v>-3.5115994348866697E-2</v>
      </c>
      <c r="G373" s="12">
        <f t="shared" si="45"/>
        <v>0.61353134773070617</v>
      </c>
      <c r="H373" s="12">
        <f t="shared" si="46"/>
        <v>0.10454120732518979</v>
      </c>
      <c r="I373" s="12">
        <f t="shared" si="47"/>
        <v>0.60803388070927233</v>
      </c>
      <c r="J373" s="12">
        <f t="shared" si="48"/>
        <v>-5.1946092401425253E-2</v>
      </c>
      <c r="M373" s="123">
        <f>IF($Q$1,  C373, -0.2)</f>
        <v>-0.2</v>
      </c>
    </row>
    <row r="374" spans="2:13" x14ac:dyDescent="0.3">
      <c r="B374" s="12">
        <v>0.61368420246592092</v>
      </c>
      <c r="C374" s="12">
        <f t="shared" si="41"/>
        <v>2.6194921801375268E-2</v>
      </c>
      <c r="D374" s="12">
        <f t="shared" si="42"/>
        <v>7.7864541186626487E-2</v>
      </c>
      <c r="E374" s="12">
        <f t="shared" si="43"/>
        <v>-3.561403374432015E-2</v>
      </c>
      <c r="F374" s="12">
        <f t="shared" si="44"/>
        <v>-3.5598988061176604E-2</v>
      </c>
      <c r="G374" s="12">
        <f t="shared" si="45"/>
        <v>0.61645551590943559</v>
      </c>
      <c r="H374" s="12">
        <f t="shared" si="46"/>
        <v>0.10401012980085085</v>
      </c>
      <c r="I374" s="12">
        <f t="shared" si="47"/>
        <v>0.61091288902240626</v>
      </c>
      <c r="J374" s="12">
        <f t="shared" si="48"/>
        <v>-5.1620286198100315E-2</v>
      </c>
      <c r="M374" s="123">
        <f>IF($Q$1,  C374, -0.2)</f>
        <v>-0.2</v>
      </c>
    </row>
    <row r="375" spans="2:13" x14ac:dyDescent="0.3">
      <c r="B375" s="12">
        <v>0.61658961878979923</v>
      </c>
      <c r="C375" s="12">
        <f t="shared" si="41"/>
        <v>2.6090744752707454E-2</v>
      </c>
      <c r="D375" s="12">
        <f t="shared" si="42"/>
        <v>7.7434214459887449E-2</v>
      </c>
      <c r="E375" s="12">
        <f t="shared" si="43"/>
        <v>-3.6098269798299866E-2</v>
      </c>
      <c r="F375" s="12">
        <f t="shared" si="44"/>
        <v>-3.6082602340469921E-2</v>
      </c>
      <c r="G375" s="12">
        <f t="shared" si="45"/>
        <v>0.61938304051443105</v>
      </c>
      <c r="H375" s="12">
        <f t="shared" si="46"/>
        <v>0.10347455678137529</v>
      </c>
      <c r="I375" s="12">
        <f t="shared" si="47"/>
        <v>0.61379619706516741</v>
      </c>
      <c r="J375" s="12">
        <f t="shared" si="48"/>
        <v>-5.1293067275960391E-2</v>
      </c>
      <c r="M375" s="123">
        <f>IF($Q$1,  C375, -0.2)</f>
        <v>-0.2</v>
      </c>
    </row>
    <row r="376" spans="2:13" x14ac:dyDescent="0.3">
      <c r="B376" s="12">
        <v>0.61949883440129161</v>
      </c>
      <c r="C376" s="12">
        <f t="shared" si="41"/>
        <v>2.5985021808039528E-2</v>
      </c>
      <c r="D376" s="12">
        <f t="shared" si="42"/>
        <v>7.7000946786467003E-2</v>
      </c>
      <c r="E376" s="12">
        <f t="shared" si="43"/>
        <v>-3.6583139066881931E-2</v>
      </c>
      <c r="F376" s="12">
        <f t="shared" si="44"/>
        <v>-3.6566832103129367E-2</v>
      </c>
      <c r="G376" s="12">
        <f t="shared" si="45"/>
        <v>0.62231388764613771</v>
      </c>
      <c r="H376" s="12">
        <f t="shared" si="46"/>
        <v>0.1029344940690044</v>
      </c>
      <c r="I376" s="12">
        <f t="shared" si="47"/>
        <v>0.61668378115644551</v>
      </c>
      <c r="J376" s="12">
        <f t="shared" si="48"/>
        <v>-5.0964450452925351E-2</v>
      </c>
      <c r="M376" s="123">
        <f>IF($Q$1,  C376, -0.2)</f>
        <v>-0.2</v>
      </c>
    </row>
    <row r="377" spans="2:13" x14ac:dyDescent="0.3">
      <c r="B377" s="12">
        <v>0.6224118204724185</v>
      </c>
      <c r="C377" s="12">
        <f t="shared" si="41"/>
        <v>2.5877748509512057E-2</v>
      </c>
      <c r="D377" s="12">
        <f t="shared" si="42"/>
        <v>7.6564747962558813E-2</v>
      </c>
      <c r="E377" s="12">
        <f t="shared" si="43"/>
        <v>-3.7068636745403075E-2</v>
      </c>
      <c r="F377" s="12">
        <f t="shared" si="44"/>
        <v>-3.7051672258132134E-2</v>
      </c>
      <c r="G377" s="12">
        <f t="shared" si="45"/>
        <v>0.62524802338079033</v>
      </c>
      <c r="H377" s="12">
        <f t="shared" si="46"/>
        <v>0.10238994742989793</v>
      </c>
      <c r="I377" s="12">
        <f t="shared" si="47"/>
        <v>0.61957561756404667</v>
      </c>
      <c r="J377" s="12">
        <f t="shared" si="48"/>
        <v>-5.0634450410873812E-2</v>
      </c>
      <c r="M377" s="123">
        <f>IF($Q$1,  C377, -0.2)</f>
        <v>-0.2</v>
      </c>
    </row>
    <row r="378" spans="2:13" x14ac:dyDescent="0.3">
      <c r="B378" s="12">
        <v>0.625328548137837</v>
      </c>
      <c r="C378" s="12">
        <f t="shared" si="41"/>
        <v>2.5768920449507869E-2</v>
      </c>
      <c r="D378" s="12">
        <f t="shared" si="42"/>
        <v>7.612562768981708E-2</v>
      </c>
      <c r="E378" s="12">
        <f t="shared" si="43"/>
        <v>-3.7554758022972826E-2</v>
      </c>
      <c r="F378" s="12">
        <f t="shared" si="44"/>
        <v>-3.7537117707118345E-2</v>
      </c>
      <c r="G378" s="12">
        <f t="shared" si="45"/>
        <v>0.62818541377061088</v>
      </c>
      <c r="H378" s="12">
        <f t="shared" si="46"/>
        <v>0.10184092259172126</v>
      </c>
      <c r="I378" s="12">
        <f t="shared" si="47"/>
        <v>0.62247168250506313</v>
      </c>
      <c r="J378" s="12">
        <f t="shared" si="48"/>
        <v>-5.0303081692705524E-2</v>
      </c>
      <c r="M378" s="123">
        <f>IF($Q$1,  C378, -0.2)</f>
        <v>-0.2</v>
      </c>
    </row>
    <row r="379" spans="2:13" x14ac:dyDescent="0.3">
      <c r="B379" s="12">
        <v>0.62824898849512922</v>
      </c>
      <c r="C379" s="12">
        <f t="shared" si="41"/>
        <v>2.5658533270912526E-2</v>
      </c>
      <c r="D379" s="12">
        <f t="shared" si="42"/>
        <v>7.5683595572708554E-2</v>
      </c>
      <c r="E379" s="12">
        <f t="shared" si="43"/>
        <v>-3.8041498082521531E-2</v>
      </c>
      <c r="F379" s="12">
        <f t="shared" si="44"/>
        <v>-3.8023163344460445E-2</v>
      </c>
      <c r="G379" s="12">
        <f t="shared" si="45"/>
        <v>0.63112602484400193</v>
      </c>
      <c r="H379" s="12">
        <f t="shared" si="46"/>
        <v>0.10128742524124734</v>
      </c>
      <c r="I379" s="12">
        <f t="shared" si="47"/>
        <v>0.62537195214625652</v>
      </c>
      <c r="J379" s="12">
        <f t="shared" si="48"/>
        <v>-4.997035869942229E-2</v>
      </c>
      <c r="M379" s="123">
        <f>IF($Q$1,  C379, -0.2)</f>
        <v>-0.2</v>
      </c>
    </row>
    <row r="380" spans="2:13" x14ac:dyDescent="0.3">
      <c r="B380" s="12">
        <v>0.63117311260508657</v>
      </c>
      <c r="C380" s="12">
        <f t="shared" si="41"/>
        <v>2.5546582667372995E-2</v>
      </c>
      <c r="D380" s="12">
        <f t="shared" si="42"/>
        <v>7.5238661115880762E-2</v>
      </c>
      <c r="E380" s="12">
        <f t="shared" si="43"/>
        <v>-3.8528852100847756E-2</v>
      </c>
      <c r="F380" s="12">
        <f t="shared" si="44"/>
        <v>-3.8509804057332148E-2</v>
      </c>
      <c r="G380" s="12">
        <f t="shared" si="45"/>
        <v>0.63406982260572697</v>
      </c>
      <c r="H380" s="12">
        <f t="shared" si="46"/>
        <v>0.10072946102197272</v>
      </c>
      <c r="I380" s="12">
        <f t="shared" si="47"/>
        <v>0.62827640260444617</v>
      </c>
      <c r="J380" s="12">
        <f t="shared" si="48"/>
        <v>-4.9636295687226724E-2</v>
      </c>
      <c r="M380" s="123">
        <f>IF($Q$1,  C380, -0.2)</f>
        <v>-0.2</v>
      </c>
    </row>
    <row r="381" spans="2:13" x14ac:dyDescent="0.3">
      <c r="B381" s="12">
        <v>0.63410089149199766</v>
      </c>
      <c r="C381" s="12">
        <f t="shared" si="41"/>
        <v>2.5433064383554322E-2</v>
      </c>
      <c r="D381" s="12">
        <f t="shared" si="42"/>
        <v>7.4790833721548558E-2</v>
      </c>
      <c r="E381" s="12">
        <f t="shared" si="43"/>
        <v>-3.9016815248666271E-2</v>
      </c>
      <c r="F381" s="12">
        <f t="shared" si="44"/>
        <v>-3.8997034725778139E-2</v>
      </c>
      <c r="G381" s="12">
        <f t="shared" si="45"/>
        <v>0.63701677303708593</v>
      </c>
      <c r="H381" s="12">
        <f t="shared" si="46"/>
        <v>0.10016703553174995</v>
      </c>
      <c r="I381" s="12">
        <f t="shared" si="47"/>
        <v>0.6311850099469094</v>
      </c>
      <c r="J381" s="12">
        <f t="shared" si="48"/>
        <v>-4.9300906764641314E-2</v>
      </c>
      <c r="M381" s="123">
        <f>IF($Q$1,  C381, -0.2)</f>
        <v>-0.2</v>
      </c>
    </row>
    <row r="382" spans="2:13" x14ac:dyDescent="0.3">
      <c r="B382" s="12">
        <v>0.63703229614393531</v>
      </c>
      <c r="C382" s="12">
        <f t="shared" si="41"/>
        <v>2.5317974215394477E-2</v>
      </c>
      <c r="D382" s="12">
        <f t="shared" si="42"/>
        <v>7.4340122686898172E-2</v>
      </c>
      <c r="E382" s="12">
        <f t="shared" si="43"/>
        <v>-3.9505382690655878E-2</v>
      </c>
      <c r="F382" s="12">
        <f t="shared" si="44"/>
        <v>-3.9484850222783814E-2</v>
      </c>
      <c r="G382" s="12">
        <f t="shared" si="45"/>
        <v>0.63996684209608123</v>
      </c>
      <c r="H382" s="12">
        <f t="shared" si="46"/>
        <v>9.9600154320435924E-2</v>
      </c>
      <c r="I382" s="12">
        <f t="shared" si="47"/>
        <v>0.63409775019178938</v>
      </c>
      <c r="J382" s="12">
        <f t="shared" si="48"/>
        <v>-4.8964205889646978E-2</v>
      </c>
      <c r="M382" s="123">
        <f>IF($Q$1,  C382, -0.2)</f>
        <v>-0.2</v>
      </c>
    </row>
    <row r="383" spans="2:13" x14ac:dyDescent="0.3">
      <c r="B383" s="12">
        <v>0.63996729751304415</v>
      </c>
      <c r="C383" s="12">
        <f t="shared" si="41"/>
        <v>2.5201308010357179E-2</v>
      </c>
      <c r="D383" s="12">
        <f t="shared" si="42"/>
        <v>7.3886537201509422E-2</v>
      </c>
      <c r="E383" s="12">
        <f t="shared" si="43"/>
        <v>-3.9994549585507355E-2</v>
      </c>
      <c r="F383" s="12">
        <f t="shared" si="44"/>
        <v>-3.9973245414345382E-2</v>
      </c>
      <c r="G383" s="12">
        <f t="shared" si="45"/>
        <v>0.64291999571757508</v>
      </c>
      <c r="H383" s="12">
        <f t="shared" si="46"/>
        <v>9.9028822887555878E-2</v>
      </c>
      <c r="I383" s="12">
        <f t="shared" si="47"/>
        <v>0.63701459930851323</v>
      </c>
      <c r="J383" s="12">
        <f t="shared" si="48"/>
        <v>-4.862620686684152E-2</v>
      </c>
      <c r="M383" s="123">
        <f>IF($Q$1,  C383, -0.2)</f>
        <v>-0.2</v>
      </c>
    </row>
    <row r="384" spans="2:13" x14ac:dyDescent="0.3">
      <c r="B384" s="12">
        <v>0.64290586651582782</v>
      </c>
      <c r="C384" s="12">
        <f t="shared" si="41"/>
        <v>2.5083061667682902E-2</v>
      </c>
      <c r="D384" s="12">
        <f t="shared" si="42"/>
        <v>7.3430086344798001E-2</v>
      </c>
      <c r="E384" s="12">
        <f t="shared" si="43"/>
        <v>-4.0484311085971295E-2</v>
      </c>
      <c r="F384" s="12">
        <f t="shared" si="44"/>
        <v>-4.0462215159539926E-2</v>
      </c>
      <c r="G384" s="12">
        <f t="shared" si="45"/>
        <v>0.64587619981343891</v>
      </c>
      <c r="H384" s="12">
        <f t="shared" si="46"/>
        <v>9.845304667998607E-2</v>
      </c>
      <c r="I384" s="12">
        <f t="shared" si="47"/>
        <v>0.63993553321821672</v>
      </c>
      <c r="J384" s="12">
        <f t="shared" si="48"/>
        <v>-4.8286923344620272E-2</v>
      </c>
      <c r="M384" s="123">
        <f>IF($Q$1,  C384, -0.2)</f>
        <v>-0.2</v>
      </c>
    </row>
    <row r="385" spans="2:13" x14ac:dyDescent="0.3">
      <c r="B385" s="12">
        <v>0.64584797403343797</v>
      </c>
      <c r="C385" s="12">
        <f t="shared" si="41"/>
        <v>2.4963231138637833E-2</v>
      </c>
      <c r="D385" s="12">
        <f t="shared" si="42"/>
        <v>7.2970779083476531E-2</v>
      </c>
      <c r="E385" s="12">
        <f t="shared" si="43"/>
        <v>-4.0974662338906322E-2</v>
      </c>
      <c r="F385" s="12">
        <f t="shared" si="44"/>
        <v>-4.0951754310596181E-2</v>
      </c>
      <c r="G385" s="12">
        <f t="shared" si="45"/>
        <v>0.64883542027269558</v>
      </c>
      <c r="H385" s="12">
        <f t="shared" si="46"/>
        <v>9.7872831089653084E-2</v>
      </c>
      <c r="I385" s="12">
        <f t="shared" si="47"/>
        <v>0.64286052779418035</v>
      </c>
      <c r="J385" s="12">
        <f t="shared" si="48"/>
        <v>-4.7946368812377411E-2</v>
      </c>
      <c r="M385" s="123">
        <f>IF($Q$1,  C385, -0.2)</f>
        <v>-0.2</v>
      </c>
    </row>
    <row r="386" spans="2:13" x14ac:dyDescent="0.3">
      <c r="B386" s="12">
        <v>0.64879359091196209</v>
      </c>
      <c r="C386" s="12">
        <f t="shared" ref="C386:C449" si="49">IF($A$1=0, 0, IF(B386&lt;=$A$2, ($A$1/$A$2^2)*(2*$A$2*B386-B386^2), ($A$1/(1-$A$2)^2)*((1-2*$A$2)+2*$A$2*B386-B386^2)))</f>
        <v>2.4841812426760937E-2</v>
      </c>
      <c r="D386" s="12">
        <f t="shared" ref="D386:D449" si="50">5*$A$3*(0.2969*SQRT(B386)-0.126*B386-0.3516*B386^2+0.2843*B386^3-0.1015*B386^4)</f>
        <v>7.2508624269036245E-2</v>
      </c>
      <c r="E386" s="12">
        <f t="shared" ref="E386:E449" si="51">IF($A$1=0, 0, IF(B386&lt;=$A$2, ($A$1/$A$2^2) *(2*$A$2-2*B386), ($A$1/(1-$A$2)^2)*(2*$A$2-2*B386)))</f>
        <v>-4.1465598485327007E-2</v>
      </c>
      <c r="F386" s="12">
        <f t="shared" ref="F386:F449" si="52">IF($A$1=0, 0,  ATAN(E386))</f>
        <v>-4.1441857712965033E-2</v>
      </c>
      <c r="G386" s="12">
        <f t="shared" ref="G386:G449" si="53">B386-D386*SIN(F386)</f>
        <v>0.65179762296165145</v>
      </c>
      <c r="H386" s="12">
        <f t="shared" ref="H386:H449" si="54">C386+D386*COS(F386)</f>
        <v>9.7288181451251815E-2</v>
      </c>
      <c r="I386" s="12">
        <f t="shared" ref="I386:I449" si="55">B386+D386*SIN(F386)</f>
        <v>0.64578955886227274</v>
      </c>
      <c r="J386" s="12">
        <f t="shared" ref="J386:J449" si="56">C386-D386*COS(F386)</f>
        <v>-4.7604556597729941E-2</v>
      </c>
      <c r="M386" s="123">
        <f>IF($Q$1,  C386, -0.2)</f>
        <v>-0.2</v>
      </c>
    </row>
    <row r="387" spans="2:13" x14ac:dyDescent="0.3">
      <c r="B387" s="12">
        <v>0.65174268796271284</v>
      </c>
      <c r="C387" s="12">
        <f t="shared" si="49"/>
        <v>2.4718801588109018E-2</v>
      </c>
      <c r="D387" s="12">
        <f t="shared" si="50"/>
        <v>7.2043630635249059E-2</v>
      </c>
      <c r="E387" s="12">
        <f t="shared" si="51"/>
        <v>-4.1957114660452134E-2</v>
      </c>
      <c r="F387" s="12">
        <f t="shared" si="52"/>
        <v>-4.1932520205390685E-2</v>
      </c>
      <c r="G387" s="12">
        <f t="shared" si="53"/>
        <v>0.65476277372402303</v>
      </c>
      <c r="H387" s="12">
        <f t="shared" si="54"/>
        <v>9.6699103039982137E-2</v>
      </c>
      <c r="I387" s="12">
        <f t="shared" si="55"/>
        <v>0.64872260220140265</v>
      </c>
      <c r="J387" s="12">
        <f t="shared" si="56"/>
        <v>-4.72614998637641E-2</v>
      </c>
      <c r="M387" s="123">
        <f>IF($Q$1,  C387, -0.2)</f>
        <v>-0.2</v>
      </c>
    </row>
    <row r="388" spans="2:13" x14ac:dyDescent="0.3">
      <c r="B388" s="12">
        <v>0.65469523596251733</v>
      </c>
      <c r="C388" s="12">
        <f t="shared" si="49"/>
        <v>2.4594194731499795E-2</v>
      </c>
      <c r="D388" s="12">
        <f t="shared" si="50"/>
        <v>7.1575806795691088E-2</v>
      </c>
      <c r="E388" s="12">
        <f t="shared" si="51"/>
        <v>-4.2449205993752882E-2</v>
      </c>
      <c r="F388" s="12">
        <f t="shared" si="52"/>
        <v>-4.2423736619981819E-2</v>
      </c>
      <c r="G388" s="12">
        <f t="shared" si="53"/>
        <v>0.65773083838105384</v>
      </c>
      <c r="H388" s="12">
        <f t="shared" si="54"/>
        <v>9.6105601069304908E-2</v>
      </c>
      <c r="I388" s="12">
        <f t="shared" si="55"/>
        <v>0.65165963354398082</v>
      </c>
      <c r="J388" s="12">
        <f t="shared" si="56"/>
        <v>-4.6917211606305326E-2</v>
      </c>
      <c r="M388" s="123">
        <f>IF($Q$1,  C388, -0.2)</f>
        <v>-0.2</v>
      </c>
    </row>
    <row r="389" spans="2:13" x14ac:dyDescent="0.3">
      <c r="B389" s="12">
        <v>0.65765120565400648</v>
      </c>
      <c r="C389" s="12">
        <f t="shared" si="49"/>
        <v>2.4467988018753072E-2</v>
      </c>
      <c r="D389" s="12">
        <f t="shared" si="50"/>
        <v>7.1105161241288226E-2</v>
      </c>
      <c r="E389" s="12">
        <f t="shared" si="51"/>
        <v>-4.2941867609001073E-2</v>
      </c>
      <c r="F389" s="12">
        <f t="shared" si="52"/>
        <v>-4.2915501782283066E-2</v>
      </c>
      <c r="G389" s="12">
        <f t="shared" si="53"/>
        <v>0.66070178273162428</v>
      </c>
      <c r="H389" s="12">
        <f t="shared" si="54"/>
        <v>9.5507680688718288E-2</v>
      </c>
      <c r="I389" s="12">
        <f t="shared" si="55"/>
        <v>0.65460062857638868</v>
      </c>
      <c r="J389" s="12">
        <f t="shared" si="56"/>
        <v>-4.6571704651212152E-2</v>
      </c>
      <c r="M389" s="123">
        <f>IF($Q$1,  C389, -0.2)</f>
        <v>-0.2</v>
      </c>
    </row>
    <row r="390" spans="2:13" x14ac:dyDescent="0.3">
      <c r="B390" s="12">
        <v>0.6606105677459051</v>
      </c>
      <c r="C390" s="12">
        <f t="shared" si="49"/>
        <v>2.4340177664929744E-2</v>
      </c>
      <c r="D390" s="12">
        <f t="shared" si="50"/>
        <v>7.0631702337883295E-2</v>
      </c>
      <c r="E390" s="12">
        <f t="shared" si="51"/>
        <v>-4.3435094624317508E-2</v>
      </c>
      <c r="F390" s="12">
        <f t="shared" si="52"/>
        <v>-4.3407810511346699E-2</v>
      </c>
      <c r="G390" s="12">
        <f t="shared" si="53"/>
        <v>0.66367557255235365</v>
      </c>
      <c r="H390" s="12">
        <f t="shared" si="54"/>
        <v>9.4905346981553618E-2</v>
      </c>
      <c r="I390" s="12">
        <f t="shared" si="55"/>
        <v>0.65754556293945654</v>
      </c>
      <c r="J390" s="12">
        <f t="shared" si="56"/>
        <v>-4.6224991651694136E-2</v>
      </c>
      <c r="M390" s="123">
        <f>IF($Q$1,  C390, -0.2)</f>
        <v>-0.2</v>
      </c>
    </row>
    <row r="391" spans="2:13" x14ac:dyDescent="0.3">
      <c r="B391" s="12">
        <v>0.66357329291332134</v>
      </c>
      <c r="C391" s="12">
        <f t="shared" si="49"/>
        <v>2.4210759938569033E-2</v>
      </c>
      <c r="D391" s="12">
        <f t="shared" si="50"/>
        <v>7.0155438323826896E-2</v>
      </c>
      <c r="E391" s="12">
        <f t="shared" si="51"/>
        <v>-4.3928882152220218E-2</v>
      </c>
      <c r="F391" s="12">
        <f t="shared" si="52"/>
        <v>-4.3900657619804419E-2</v>
      </c>
      <c r="G391" s="12">
        <f t="shared" si="53"/>
        <v>0.66665217359769358</v>
      </c>
      <c r="H391" s="12">
        <f t="shared" si="54"/>
        <v>9.4298604962793298E-2</v>
      </c>
      <c r="I391" s="12">
        <f t="shared" si="55"/>
        <v>0.66049441222894911</v>
      </c>
      <c r="J391" s="12">
        <f t="shared" si="56"/>
        <v>-4.5877085085655238E-2</v>
      </c>
      <c r="M391" s="123">
        <f>IF($Q$1,  C391, -0.2)</f>
        <v>-0.2</v>
      </c>
    </row>
    <row r="392" spans="2:13" x14ac:dyDescent="0.3">
      <c r="B392" s="12">
        <v>0.66653935179803925</v>
      </c>
      <c r="C392" s="12">
        <f t="shared" si="49"/>
        <v>2.4079731161923426E-2</v>
      </c>
      <c r="D392" s="12">
        <f t="shared" si="50"/>
        <v>6.9676377307590867E-2</v>
      </c>
      <c r="E392" s="12">
        <f t="shared" si="51"/>
        <v>-4.44232252996732E-2</v>
      </c>
      <c r="F392" s="12">
        <f t="shared" si="52"/>
        <v>-4.4394037913939824E-2</v>
      </c>
      <c r="G392" s="12">
        <f t="shared" si="53"/>
        <v>0.66963155160001664</v>
      </c>
      <c r="H392" s="12">
        <f t="shared" si="54"/>
        <v>9.3687459576909174E-2</v>
      </c>
      <c r="I392" s="12">
        <f t="shared" si="55"/>
        <v>0.66344715199606186</v>
      </c>
      <c r="J392" s="12">
        <f t="shared" si="56"/>
        <v>-4.5527997253062322E-2</v>
      </c>
      <c r="M392" s="123">
        <f>IF($Q$1,  C392, -0.2)</f>
        <v>-0.2</v>
      </c>
    </row>
    <row r="393" spans="2:13" x14ac:dyDescent="0.3">
      <c r="B393" s="12">
        <v>0.66950871500880726</v>
      </c>
      <c r="C393" s="12">
        <f t="shared" si="49"/>
        <v>2.3947087711191792E-2</v>
      </c>
      <c r="D393" s="12">
        <f t="shared" si="50"/>
        <v>6.9194527265406452E-2</v>
      </c>
      <c r="E393" s="12">
        <f t="shared" si="51"/>
        <v>-4.491811916813454E-2</v>
      </c>
      <c r="F393" s="12">
        <f t="shared" si="52"/>
        <v>-4.4887946193760402E-2</v>
      </c>
      <c r="G393" s="12">
        <f t="shared" si="53"/>
        <v>0.67261367226969326</v>
      </c>
      <c r="H393" s="12">
        <f t="shared" si="54"/>
        <v>9.3071915695723859E-2</v>
      </c>
      <c r="I393" s="12">
        <f t="shared" si="55"/>
        <v>0.66640375774792127</v>
      </c>
      <c r="J393" s="12">
        <f t="shared" si="56"/>
        <v>-4.5177740273340275E-2</v>
      </c>
      <c r="M393" s="123">
        <f>IF($Q$1,  C393, -0.2)</f>
        <v>-0.2</v>
      </c>
    </row>
    <row r="394" spans="2:13" x14ac:dyDescent="0.3">
      <c r="B394" s="12">
        <v>0.67248135312163138</v>
      </c>
      <c r="C394" s="12">
        <f t="shared" si="49"/>
        <v>2.3812826016750402E-2</v>
      </c>
      <c r="D394" s="12">
        <f t="shared" si="50"/>
        <v>6.8709896038925994E-2</v>
      </c>
      <c r="E394" s="12">
        <f t="shared" si="51"/>
        <v>-4.5413558853605221E-2</v>
      </c>
      <c r="F394" s="12">
        <f t="shared" si="52"/>
        <v>-4.5382377253070399E-2</v>
      </c>
      <c r="G394" s="12">
        <f t="shared" si="53"/>
        <v>0.67559850129516552</v>
      </c>
      <c r="H394" s="12">
        <f t="shared" si="54"/>
        <v>9.2451978116293784E-2</v>
      </c>
      <c r="I394" s="12">
        <f t="shared" si="55"/>
        <v>0.66936420494809723</v>
      </c>
      <c r="J394" s="12">
        <f t="shared" si="56"/>
        <v>-4.482632608279298E-2</v>
      </c>
      <c r="M394" s="123">
        <f>IF($Q$1,  C394, -0.2)</f>
        <v>-0.2</v>
      </c>
    </row>
    <row r="395" spans="2:13" x14ac:dyDescent="0.3">
      <c r="B395" s="12">
        <v>0.6754572366800653</v>
      </c>
      <c r="C395" s="12">
        <f t="shared" si="49"/>
        <v>2.3676942563381868E-2</v>
      </c>
      <c r="D395" s="12">
        <f t="shared" si="50"/>
        <v>6.8222491332910459E-2</v>
      </c>
      <c r="E395" s="12">
        <f t="shared" si="51"/>
        <v>-4.5909539446677541E-2</v>
      </c>
      <c r="F395" s="12">
        <f t="shared" si="52"/>
        <v>-4.5877325879543435E-2</v>
      </c>
      <c r="G395" s="12">
        <f t="shared" si="53"/>
        <v>0.6785860043430102</v>
      </c>
      <c r="H395" s="12">
        <f t="shared" si="54"/>
        <v>9.1827651558816031E-2</v>
      </c>
      <c r="I395" s="12">
        <f t="shared" si="55"/>
        <v>0.6723284690171204</v>
      </c>
      <c r="J395" s="12">
        <f t="shared" si="56"/>
        <v>-4.4473766432052302E-2</v>
      </c>
      <c r="M395" s="123">
        <f>IF($Q$1,  C395, -0.2)</f>
        <v>-0.2</v>
      </c>
    </row>
    <row r="396" spans="2:13" x14ac:dyDescent="0.3">
      <c r="B396" s="12">
        <v>0.67843633619550392</v>
      </c>
      <c r="C396" s="12">
        <f t="shared" si="49"/>
        <v>2.3539433890502025E-2</v>
      </c>
      <c r="D396" s="12">
        <f t="shared" si="50"/>
        <v>6.7732320712941496E-2</v>
      </c>
      <c r="E396" s="12">
        <f t="shared" si="51"/>
        <v>-4.6406056032583978E-2</v>
      </c>
      <c r="F396" s="12">
        <f t="shared" si="52"/>
        <v>-4.6372786854795754E-2</v>
      </c>
      <c r="G396" s="12">
        <f t="shared" si="53"/>
        <v>0.68157614705799774</v>
      </c>
      <c r="H396" s="12">
        <f t="shared" si="54"/>
        <v>9.1198940664558026E-2</v>
      </c>
      <c r="I396" s="12">
        <f t="shared" si="55"/>
        <v>0.6752965253330101</v>
      </c>
      <c r="J396" s="12">
        <f t="shared" si="56"/>
        <v>-4.4120072883553969E-2</v>
      </c>
      <c r="M396" s="123">
        <f>IF($Q$1,  C396, -0.2)</f>
        <v>-0.2</v>
      </c>
    </row>
    <row r="397" spans="2:13" x14ac:dyDescent="0.3">
      <c r="B397" s="12">
        <v>0.68141862214747362</v>
      </c>
      <c r="C397" s="12">
        <f t="shared" si="49"/>
        <v>2.3400296592384788E-2</v>
      </c>
      <c r="D397" s="12">
        <f t="shared" si="50"/>
        <v>6.7239391603160351E-2</v>
      </c>
      <c r="E397" s="12">
        <f t="shared" si="51"/>
        <v>-4.6903103691245597E-2</v>
      </c>
      <c r="F397" s="12">
        <f t="shared" si="52"/>
        <v>-4.6868754954459184E-2</v>
      </c>
      <c r="G397" s="12">
        <f t="shared" si="53"/>
        <v>0.68456889506314067</v>
      </c>
      <c r="H397" s="12">
        <f t="shared" si="54"/>
        <v>9.0565849993811953E-2</v>
      </c>
      <c r="I397" s="12">
        <f t="shared" si="55"/>
        <v>0.67826834923180657</v>
      </c>
      <c r="J397" s="12">
        <f t="shared" si="56"/>
        <v>-4.3765256809042384E-2</v>
      </c>
      <c r="M397" s="123">
        <f>IF($Q$1,  C397, -0.2)</f>
        <v>-0.2</v>
      </c>
    </row>
    <row r="398" spans="2:13" x14ac:dyDescent="0.3">
      <c r="B398" s="12">
        <v>0.68440406498392603</v>
      </c>
      <c r="C398" s="12">
        <f t="shared" si="49"/>
        <v>2.3259527318384893E-2</v>
      </c>
      <c r="D398" s="12">
        <f t="shared" si="50"/>
        <v>6.6743711284032836E-2</v>
      </c>
      <c r="E398" s="12">
        <f t="shared" si="51"/>
        <v>-4.7400677497320999E-2</v>
      </c>
      <c r="F398" s="12">
        <f t="shared" si="52"/>
        <v>-4.736522494825475E-2</v>
      </c>
      <c r="G398" s="12">
        <f t="shared" si="53"/>
        <v>0.68756421395973799</v>
      </c>
      <c r="H398" s="12">
        <f t="shared" si="54"/>
        <v>8.992838402387375E-2</v>
      </c>
      <c r="I398" s="12">
        <f t="shared" si="55"/>
        <v>0.68124391600811407</v>
      </c>
      <c r="J398" s="12">
        <f t="shared" si="56"/>
        <v>-4.340932938710397E-2</v>
      </c>
      <c r="M398" s="123">
        <f>IF($Q$1,  C398, -0.2)</f>
        <v>-0.2</v>
      </c>
    </row>
    <row r="399" spans="2:13" x14ac:dyDescent="0.3">
      <c r="B399" s="12">
        <v>0.68739263512153115</v>
      </c>
      <c r="C399" s="12">
        <f t="shared" si="49"/>
        <v>2.3117122773158534E-2</v>
      </c>
      <c r="D399" s="12">
        <f t="shared" si="50"/>
        <v>6.6245286890140712E-2</v>
      </c>
      <c r="E399" s="12">
        <f t="shared" si="51"/>
        <v>-4.7898772520255185E-2</v>
      </c>
      <c r="F399" s="12">
        <f t="shared" si="52"/>
        <v>-4.7862191600066419E-2</v>
      </c>
      <c r="G399" s="12">
        <f t="shared" si="53"/>
        <v>0.69056206932741226</v>
      </c>
      <c r="H399" s="12">
        <f t="shared" si="54"/>
        <v>8.9286547147046202E-2</v>
      </c>
      <c r="I399" s="12">
        <f t="shared" si="55"/>
        <v>0.68422320091565003</v>
      </c>
      <c r="J399" s="12">
        <f t="shared" si="56"/>
        <v>-4.3052301600729141E-2</v>
      </c>
      <c r="M399" s="123">
        <f>IF($Q$1,  C399, -0.2)</f>
        <v>-0.2</v>
      </c>
    </row>
    <row r="400" spans="2:13" x14ac:dyDescent="0.3">
      <c r="B400" s="12">
        <v>0.6903843029459692</v>
      </c>
      <c r="C400" s="12">
        <f t="shared" si="49"/>
        <v>2.2973079716881967E-2</v>
      </c>
      <c r="D400" s="12">
        <f t="shared" si="50"/>
        <v>6.5744125408002049E-2</v>
      </c>
      <c r="E400" s="12">
        <f t="shared" si="51"/>
        <v>-4.8397383824328191E-2</v>
      </c>
      <c r="F400" s="12">
        <f t="shared" si="52"/>
        <v>-4.8359649668014738E-2</v>
      </c>
      <c r="G400" s="12">
        <f t="shared" si="53"/>
        <v>0.69356242672413737</v>
      </c>
      <c r="H400" s="12">
        <f t="shared" si="54"/>
        <v>8.8640343668669561E-2</v>
      </c>
      <c r="I400" s="12">
        <f t="shared" si="55"/>
        <v>0.68720617916780102</v>
      </c>
      <c r="J400" s="12">
        <f t="shared" si="56"/>
        <v>-4.2694184234905633E-2</v>
      </c>
      <c r="M400" s="123">
        <f>IF($Q$1,  C400, -0.2)</f>
        <v>-0.2</v>
      </c>
    </row>
    <row r="401" spans="2:13" x14ac:dyDescent="0.3">
      <c r="B401" s="12">
        <v>0.69337903881222562</v>
      </c>
      <c r="C401" s="12">
        <f t="shared" si="49"/>
        <v>2.2827394965467877E-2</v>
      </c>
      <c r="D401" s="12">
        <f t="shared" si="50"/>
        <v>6.5240233673917694E-2</v>
      </c>
      <c r="E401" s="12">
        <f t="shared" si="51"/>
        <v>-4.8896506468704262E-2</v>
      </c>
      <c r="F401" s="12">
        <f t="shared" si="52"/>
        <v>-4.8857593904531163E-2</v>
      </c>
      <c r="G401" s="12">
        <f t="shared" si="53"/>
        <v>0.6965652516862636</v>
      </c>
      <c r="H401" s="12">
        <f t="shared" si="54"/>
        <v>8.7989777805176084E-2</v>
      </c>
      <c r="I401" s="12">
        <f t="shared" si="55"/>
        <v>0.69019282593818765</v>
      </c>
      <c r="J401" s="12">
        <f t="shared" si="56"/>
        <v>-4.2334987874240337E-2</v>
      </c>
      <c r="M401" s="123">
        <f>IF($Q$1,  C401, -0.2)</f>
        <v>-0.2</v>
      </c>
    </row>
    <row r="402" spans="2:13" x14ac:dyDescent="0.3">
      <c r="B402" s="12">
        <v>0.69637681304488286</v>
      </c>
      <c r="C402" s="12">
        <f t="shared" si="49"/>
        <v>2.268006539077988E-2</v>
      </c>
      <c r="D402" s="12">
        <f t="shared" si="50"/>
        <v>6.4733618371847906E-2</v>
      </c>
      <c r="E402" s="12">
        <f t="shared" si="51"/>
        <v>-4.9396135507480468E-2</v>
      </c>
      <c r="F402" s="12">
        <f t="shared" si="52"/>
        <v>-4.9356019056431985E-2</v>
      </c>
      <c r="G402" s="12">
        <f t="shared" si="53"/>
        <v>0.69957050972853196</v>
      </c>
      <c r="H402" s="12">
        <f t="shared" si="54"/>
        <v>8.7334853682173225E-2</v>
      </c>
      <c r="I402" s="12">
        <f t="shared" si="55"/>
        <v>0.69318311636123375</v>
      </c>
      <c r="J402" s="12">
        <f t="shared" si="56"/>
        <v>-4.1974722900613465E-2</v>
      </c>
      <c r="M402" s="123">
        <f>IF($Q$1,  C402, -0.2)</f>
        <v>-0.2</v>
      </c>
    </row>
    <row r="403" spans="2:13" x14ac:dyDescent="0.3">
      <c r="B403" s="12">
        <v>0.69937759593841675</v>
      </c>
      <c r="C403" s="12">
        <f t="shared" si="49"/>
        <v>2.2531087920844496E-2</v>
      </c>
      <c r="D403" s="12">
        <f t="shared" si="50"/>
        <v>6.4224286031316663E-2</v>
      </c>
      <c r="E403" s="12">
        <f t="shared" si="51"/>
        <v>-4.9896265989736122E-2</v>
      </c>
      <c r="F403" s="12">
        <f t="shared" si="52"/>
        <v>-4.9854919864993213E-2</v>
      </c>
      <c r="G403" s="12">
        <f t="shared" si="53"/>
        <v>0.70257816634408665</v>
      </c>
      <c r="H403" s="12">
        <f t="shared" si="54"/>
        <v>8.6675575332552185E-2</v>
      </c>
      <c r="I403" s="12">
        <f t="shared" si="55"/>
        <v>0.69617702553274685</v>
      </c>
      <c r="J403" s="12">
        <f t="shared" si="56"/>
        <v>-4.16133994908632E-2</v>
      </c>
      <c r="M403" s="123">
        <f>IF($Q$1,  C403, -0.2)</f>
        <v>-0.2</v>
      </c>
    </row>
    <row r="404" spans="2:13" x14ac:dyDescent="0.3">
      <c r="B404" s="12">
        <v>0.70238135775748911</v>
      </c>
      <c r="C404" s="12">
        <f t="shared" si="49"/>
        <v>2.2380459540061449E-2</v>
      </c>
      <c r="D404" s="12">
        <f t="shared" si="50"/>
        <v>6.3712243025346046E-2</v>
      </c>
      <c r="E404" s="12">
        <f t="shared" si="51"/>
        <v>-5.039689295958151E-2</v>
      </c>
      <c r="F404" s="12">
        <f t="shared" si="52"/>
        <v>-5.0354291066024903E-2</v>
      </c>
      <c r="G404" s="12">
        <f t="shared" si="53"/>
        <v>0.70558818700447667</v>
      </c>
      <c r="H404" s="12">
        <f t="shared" si="54"/>
        <v>8.601194669462528E-2</v>
      </c>
      <c r="I404" s="12">
        <f t="shared" si="55"/>
        <v>0.69917452851050155</v>
      </c>
      <c r="J404" s="12">
        <f t="shared" si="56"/>
        <v>-4.1251027614502389E-2</v>
      </c>
      <c r="M404" s="123">
        <f>IF($Q$1,  C404, -0.2)</f>
        <v>-0.2</v>
      </c>
    </row>
    <row r="405" spans="2:13" x14ac:dyDescent="0.3">
      <c r="B405" s="12">
        <v>0.70538806873724358</v>
      </c>
      <c r="C405" s="12">
        <f t="shared" si="49"/>
        <v>2.2228177289411385E-2</v>
      </c>
      <c r="D405" s="12">
        <f t="shared" si="50"/>
        <v>6.3197495568420539E-2</v>
      </c>
      <c r="E405" s="12">
        <f t="shared" si="51"/>
        <v>-5.0898011456207259E-2</v>
      </c>
      <c r="F405" s="12">
        <f t="shared" si="52"/>
        <v>-5.0854127389946283E-2</v>
      </c>
      <c r="G405" s="12">
        <f t="shared" si="53"/>
        <v>0.70860053715965532</v>
      </c>
      <c r="H405" s="12">
        <f t="shared" si="54"/>
        <v>8.5343971610290698E-2</v>
      </c>
      <c r="I405" s="12">
        <f t="shared" si="55"/>
        <v>0.70217560031483184</v>
      </c>
      <c r="J405" s="12">
        <f t="shared" si="56"/>
        <v>-4.0887617031467927E-2</v>
      </c>
      <c r="M405" s="123">
        <f>IF($Q$1,  C405, -0.2)</f>
        <v>-0.2</v>
      </c>
    </row>
    <row r="406" spans="2:13" x14ac:dyDescent="0.3">
      <c r="B406" s="12">
        <v>0.70839769908359895</v>
      </c>
      <c r="C406" s="12">
        <f t="shared" si="49"/>
        <v>2.2074238266661828E-2</v>
      </c>
      <c r="D406" s="12">
        <f t="shared" si="50"/>
        <v>6.2680049714481517E-2</v>
      </c>
      <c r="E406" s="12">
        <f t="shared" si="51"/>
        <v>-5.1399616513933155E-2</v>
      </c>
      <c r="F406" s="12">
        <f t="shared" si="52"/>
        <v>-5.1354423561860457E-2</v>
      </c>
      <c r="G406" s="12">
        <f t="shared" si="53"/>
        <v>0.71161518223796971</v>
      </c>
      <c r="H406" s="12">
        <f t="shared" si="54"/>
        <v>8.4671653823226264E-2</v>
      </c>
      <c r="I406" s="12">
        <f t="shared" si="55"/>
        <v>0.70518021592922819</v>
      </c>
      <c r="J406" s="12">
        <f t="shared" si="56"/>
        <v>-4.0523177289902609E-2</v>
      </c>
      <c r="M406" s="123">
        <f>IF($Q$1,  C406, -0.2)</f>
        <v>-0.2</v>
      </c>
    </row>
    <row r="407" spans="2:13" x14ac:dyDescent="0.3">
      <c r="B407" s="12">
        <v>0.71141021897354673</v>
      </c>
      <c r="C407" s="12">
        <f t="shared" si="49"/>
        <v>2.1918639626570636E-2</v>
      </c>
      <c r="D407" s="12">
        <f t="shared" si="50"/>
        <v>6.215991135495276E-2</v>
      </c>
      <c r="E407" s="12">
        <f t="shared" si="51"/>
        <v>-5.1901703162257784E-2</v>
      </c>
      <c r="F407" s="12">
        <f t="shared" si="52"/>
        <v>-5.1855174301630079E-2</v>
      </c>
      <c r="G407" s="12">
        <f t="shared" si="53"/>
        <v>0.71463208764614872</v>
      </c>
      <c r="H407" s="12">
        <f t="shared" si="54"/>
        <v>8.3994996977111838E-2</v>
      </c>
      <c r="I407" s="12">
        <f t="shared" si="55"/>
        <v>0.70818835030094474</v>
      </c>
      <c r="J407" s="12">
        <f t="shared" si="56"/>
        <v>-4.0157717723970573E-2</v>
      </c>
      <c r="M407" s="123">
        <f>IF($Q$1,  C407, -0.2)</f>
        <v>-0.2</v>
      </c>
    </row>
    <row r="408" spans="2:13" x14ac:dyDescent="0.3">
      <c r="B408" s="12">
        <v>0.71442559855544452</v>
      </c>
      <c r="C408" s="12">
        <f t="shared" si="49"/>
        <v>2.1761378581087537E-2</v>
      </c>
      <c r="D408" s="12">
        <f t="shared" si="50"/>
        <v>6.1637086216796956E-2</v>
      </c>
      <c r="E408" s="12">
        <f t="shared" si="51"/>
        <v>-5.2404266425907411E-2</v>
      </c>
      <c r="F408" s="12">
        <f t="shared" si="52"/>
        <v>-5.2356374323952397E-2</v>
      </c>
      <c r="G408" s="12">
        <f t="shared" si="53"/>
        <v>0.71765121876928128</v>
      </c>
      <c r="H408" s="12">
        <f t="shared" si="54"/>
        <v>8.3314004613881207E-2</v>
      </c>
      <c r="I408" s="12">
        <f t="shared" si="55"/>
        <v>0.71119997834160775</v>
      </c>
      <c r="J408" s="12">
        <f t="shared" si="56"/>
        <v>-3.9791247451706133E-2</v>
      </c>
      <c r="M408" s="123">
        <f>IF($Q$1,  C408, -0.2)</f>
        <v>-0.2</v>
      </c>
    </row>
    <row r="409" spans="2:13" x14ac:dyDescent="0.3">
      <c r="B409" s="12">
        <v>0.71744380794931262</v>
      </c>
      <c r="C409" s="12">
        <f t="shared" si="49"/>
        <v>2.1602452399553329E-2</v>
      </c>
      <c r="D409" s="12">
        <f t="shared" si="50"/>
        <v>6.1111579860604927E-2</v>
      </c>
      <c r="E409" s="12">
        <f t="shared" si="51"/>
        <v>-5.2907301324885428E-2</v>
      </c>
      <c r="F409" s="12">
        <f t="shared" si="52"/>
        <v>-5.2858018338435002E-2</v>
      </c>
      <c r="G409" s="12">
        <f t="shared" si="53"/>
        <v>0.72067254097079081</v>
      </c>
      <c r="H409" s="12">
        <f t="shared" si="54"/>
        <v>8.262868017200467E-2</v>
      </c>
      <c r="I409" s="12">
        <f t="shared" si="55"/>
        <v>0.71421507492783443</v>
      </c>
      <c r="J409" s="12">
        <f t="shared" si="56"/>
        <v>-3.9423775372898005E-2</v>
      </c>
      <c r="M409" s="123">
        <f>IF($Q$1,  C409, -0.2)</f>
        <v>-0.2</v>
      </c>
    </row>
    <row r="410" spans="2:13" x14ac:dyDescent="0.3">
      <c r="B410" s="12">
        <v>0.72046481724713085</v>
      </c>
      <c r="C410" s="12">
        <f t="shared" si="49"/>
        <v>2.1441858408896914E-2</v>
      </c>
      <c r="D410" s="12">
        <f t="shared" si="50"/>
        <v>6.0583397678715685E-2</v>
      </c>
      <c r="E410" s="12">
        <f t="shared" si="51"/>
        <v>-5.3410802874521802E-2</v>
      </c>
      <c r="F410" s="12">
        <f t="shared" si="52"/>
        <v>-5.3360101049671718E-2</v>
      </c>
      <c r="G410" s="12">
        <f t="shared" si="53"/>
        <v>0.72369601959240515</v>
      </c>
      <c r="H410" s="12">
        <f t="shared" si="54"/>
        <v>8.1939026984800586E-2</v>
      </c>
      <c r="I410" s="12">
        <f t="shared" si="55"/>
        <v>0.71723361490185655</v>
      </c>
      <c r="J410" s="12">
        <f t="shared" si="56"/>
        <v>-3.9055310167006765E-2</v>
      </c>
      <c r="M410" s="123">
        <f>IF($Q$1,  C410, -0.2)</f>
        <v>-0.2</v>
      </c>
    </row>
    <row r="411" spans="2:13" x14ac:dyDescent="0.3">
      <c r="B411" s="12">
        <v>0.72348859651313369</v>
      </c>
      <c r="C411" s="12">
        <f t="shared" si="49"/>
        <v>2.1279593993830243E-2</v>
      </c>
      <c r="D411" s="12">
        <f t="shared" si="50"/>
        <v>6.005254489337046E-2</v>
      </c>
      <c r="E411" s="12">
        <f t="shared" si="51"/>
        <v>-5.3914766085522273E-2</v>
      </c>
      <c r="F411" s="12">
        <f t="shared" si="52"/>
        <v>-5.3862617157318375E-2</v>
      </c>
      <c r="G411" s="12">
        <f t="shared" si="53"/>
        <v>0.72672161995411877</v>
      </c>
      <c r="H411" s="12">
        <f t="shared" si="54"/>
        <v>8.1245048278779305E-2</v>
      </c>
      <c r="I411" s="12">
        <f t="shared" si="55"/>
        <v>0.7202555730721486</v>
      </c>
      <c r="J411" s="12">
        <f t="shared" si="56"/>
        <v>-3.8685860291118812E-2</v>
      </c>
      <c r="M411" s="123">
        <f>IF($Q$1,  C411, -0.2)</f>
        <v>-0.2</v>
      </c>
    </row>
    <row r="412" spans="2:13" x14ac:dyDescent="0.3">
      <c r="B412" s="12">
        <v>0.72651511578410766</v>
      </c>
      <c r="C412" s="12">
        <f t="shared" si="49"/>
        <v>2.1115656597040889E-2</v>
      </c>
      <c r="D412" s="12">
        <f t="shared" si="50"/>
        <v>5.9519026554899372E-2</v>
      </c>
      <c r="E412" s="12">
        <f t="shared" si="51"/>
        <v>-5.4419185964017937E-2</v>
      </c>
      <c r="F412" s="12">
        <f t="shared" si="52"/>
        <v>-5.4365561356169038E-2</v>
      </c>
      <c r="G412" s="12">
        <f t="shared" si="53"/>
        <v>0.72974930735415167</v>
      </c>
      <c r="H412" s="12">
        <f t="shared" si="54"/>
        <v>8.0546747172017485E-2</v>
      </c>
      <c r="I412" s="12">
        <f t="shared" si="55"/>
        <v>0.72328092421406365</v>
      </c>
      <c r="J412" s="12">
        <f t="shared" si="56"/>
        <v>-3.8315433977935714E-2</v>
      </c>
      <c r="M412" s="123">
        <f>IF($Q$1,  C412, -0.2)</f>
        <v>-0.2</v>
      </c>
    </row>
    <row r="413" spans="2:13" x14ac:dyDescent="0.3">
      <c r="B413" s="12">
        <v>0.72954434506968779</v>
      </c>
      <c r="C413" s="12">
        <f t="shared" si="49"/>
        <v>2.0950043719382545E-2</v>
      </c>
      <c r="D413" s="12">
        <f t="shared" si="50"/>
        <v>5.8982847539941673E-2</v>
      </c>
      <c r="E413" s="12">
        <f t="shared" si="51"/>
        <v>-5.4924057511614624E-2</v>
      </c>
      <c r="F413" s="12">
        <f t="shared" si="52"/>
        <v>-5.4868928336232282E-2</v>
      </c>
      <c r="G413" s="12">
        <f t="shared" si="53"/>
        <v>0.73277904706890218</v>
      </c>
      <c r="H413" s="12">
        <f t="shared" si="54"/>
        <v>7.9844126672564547E-2</v>
      </c>
      <c r="I413" s="12">
        <f t="shared" si="55"/>
        <v>0.72630964307047341</v>
      </c>
      <c r="J413" s="12">
        <f t="shared" si="56"/>
        <v>-3.7944039233799451E-2</v>
      </c>
      <c r="M413" s="123">
        <f>IF($Q$1,  C413, -0.2)</f>
        <v>-0.2</v>
      </c>
    </row>
    <row r="414" spans="2:13" x14ac:dyDescent="0.3">
      <c r="B414" s="12">
        <v>0.73257625435265572</v>
      </c>
      <c r="C414" s="12">
        <f t="shared" si="49"/>
        <v>2.0782752920063142E-2</v>
      </c>
      <c r="D414" s="12">
        <f t="shared" si="50"/>
        <v>5.8444012549700212E-2</v>
      </c>
      <c r="E414" s="12">
        <f t="shared" si="51"/>
        <v>-5.5429375725442612E-2</v>
      </c>
      <c r="F414" s="12">
        <f t="shared" si="52"/>
        <v>-5.5372712782807774E-2</v>
      </c>
      <c r="G414" s="12">
        <f t="shared" si="53"/>
        <v>0.73581080435289592</v>
      </c>
      <c r="H414" s="12">
        <f t="shared" si="54"/>
        <v>7.9137189676881048E-2</v>
      </c>
      <c r="I414" s="12">
        <f t="shared" si="55"/>
        <v>0.72934170435241552</v>
      </c>
      <c r="J414" s="12">
        <f t="shared" si="56"/>
        <v>-3.7571683836754771E-2</v>
      </c>
      <c r="M414" s="123">
        <f>IF($Q$1,  C414, -0.2)</f>
        <v>-0.2</v>
      </c>
    </row>
    <row r="415" spans="2:13" x14ac:dyDescent="0.3">
      <c r="B415" s="12">
        <v>0.73561081358923541</v>
      </c>
      <c r="C415" s="12">
        <f t="shared" si="49"/>
        <v>2.0613781816830951E-2</v>
      </c>
      <c r="D415" s="12">
        <f t="shared" si="50"/>
        <v>5.7902526108230198E-2</v>
      </c>
      <c r="E415" s="12">
        <f t="shared" si="51"/>
        <v>-5.5935135598205898E-2</v>
      </c>
      <c r="F415" s="12">
        <f t="shared" si="52"/>
        <v>-5.5876909376562651E-2</v>
      </c>
      <c r="G415" s="12">
        <f t="shared" si="53"/>
        <v>0.73884454443872816</v>
      </c>
      <c r="H415" s="12">
        <f t="shared" si="54"/>
        <v>7.8425938968310072E-2</v>
      </c>
      <c r="I415" s="12">
        <f t="shared" si="55"/>
        <v>0.73237708273974267</v>
      </c>
      <c r="J415" s="12">
        <f t="shared" si="56"/>
        <v>-3.7198375334648176E-2</v>
      </c>
      <c r="M415" s="123">
        <f>IF($Q$1,  C415, -0.2)</f>
        <v>-0.2</v>
      </c>
    </row>
    <row r="416" spans="2:13" x14ac:dyDescent="0.3">
      <c r="B416" s="12">
        <v>0.7386479927093933</v>
      </c>
      <c r="C416" s="12">
        <f t="shared" si="49"/>
        <v>2.0443128086158224E-2</v>
      </c>
      <c r="D416" s="12">
        <f t="shared" si="50"/>
        <v>5.7358392560762965E-2</v>
      </c>
      <c r="E416" s="12">
        <f t="shared" si="51"/>
        <v>-5.6441332118232213E-2</v>
      </c>
      <c r="F416" s="12">
        <f t="shared" si="52"/>
        <v>-5.6381512793608715E-2</v>
      </c>
      <c r="G416" s="12">
        <f t="shared" si="53"/>
        <v>0.74188023253700464</v>
      </c>
      <c r="H416" s="12">
        <f t="shared" si="54"/>
        <v>7.7710377215581161E-2</v>
      </c>
      <c r="I416" s="12">
        <f t="shared" si="55"/>
        <v>0.73541575288178196</v>
      </c>
      <c r="J416" s="12">
        <f t="shared" si="56"/>
        <v>-3.6824121043264706E-2</v>
      </c>
      <c r="M416" s="123">
        <f>IF($Q$1,  C416, -0.2)</f>
        <v>-0.2</v>
      </c>
    </row>
    <row r="417" spans="2:13" x14ac:dyDescent="0.3">
      <c r="B417" s="12">
        <v>0.74168776161713368</v>
      </c>
      <c r="C417" s="12">
        <f t="shared" si="49"/>
        <v>2.0270789463422735E-2</v>
      </c>
      <c r="D417" s="12">
        <f t="shared" si="50"/>
        <v>5.6811616072065398E-2</v>
      </c>
      <c r="E417" s="12">
        <f t="shared" si="51"/>
        <v>-5.6947960269522271E-2</v>
      </c>
      <c r="F417" s="12">
        <f t="shared" si="52"/>
        <v>-5.6886517705578968E-2</v>
      </c>
      <c r="G417" s="12">
        <f t="shared" si="53"/>
        <v>0.74491783383627352</v>
      </c>
      <c r="H417" s="12">
        <f t="shared" si="54"/>
        <v>7.6990506971348488E-2</v>
      </c>
      <c r="I417" s="12">
        <f t="shared" si="55"/>
        <v>0.73845768939799383</v>
      </c>
      <c r="J417" s="12">
        <f t="shared" si="56"/>
        <v>-3.6448928044503025E-2</v>
      </c>
      <c r="M417" s="123">
        <f>IF($Q$1,  C417, -0.2)</f>
        <v>-0.2</v>
      </c>
    </row>
    <row r="418" spans="2:13" x14ac:dyDescent="0.3">
      <c r="B418" s="12">
        <v>0.7447300901907985</v>
      </c>
      <c r="C418" s="12">
        <f t="shared" si="49"/>
        <v>2.0096763743086998E-2</v>
      </c>
      <c r="D418" s="12">
        <f t="shared" si="50"/>
        <v>5.6262200624834342E-2</v>
      </c>
      <c r="E418" s="12">
        <f t="shared" si="51"/>
        <v>-5.7455015031799742E-2</v>
      </c>
      <c r="F418" s="12">
        <f t="shared" si="52"/>
        <v>-5.7391918779704988E-2</v>
      </c>
      <c r="G418" s="12">
        <f t="shared" si="53"/>
        <v>0.7479573135029578</v>
      </c>
      <c r="H418" s="12">
        <f t="shared" si="54"/>
        <v>7.6266330670762036E-2</v>
      </c>
      <c r="I418" s="12">
        <f t="shared" si="55"/>
        <v>0.7415028668786392</v>
      </c>
      <c r="J418" s="12">
        <f t="shared" si="56"/>
        <v>-3.607280318458804E-2</v>
      </c>
      <c r="M418" s="123">
        <f>IF($Q$1,  C418, -0.2)</f>
        <v>-0.2</v>
      </c>
    </row>
    <row r="419" spans="2:13" x14ac:dyDescent="0.3">
      <c r="B419" s="12">
        <v>0.74777494828336577</v>
      </c>
      <c r="C419" s="12">
        <f t="shared" si="49"/>
        <v>1.9921048778875183E-2</v>
      </c>
      <c r="D419" s="12">
        <f t="shared" si="50"/>
        <v>5.5710150018127937E-2</v>
      </c>
      <c r="E419" s="12">
        <f t="shared" si="51"/>
        <v>-5.7962491380560956E-2</v>
      </c>
      <c r="F419" s="12">
        <f t="shared" si="52"/>
        <v>-5.7897710678894196E-2</v>
      </c>
      <c r="G419" s="12">
        <f t="shared" si="53"/>
        <v>0.7509986366812802</v>
      </c>
      <c r="H419" s="12">
        <f t="shared" si="54"/>
        <v>7.5537850630073636E-2</v>
      </c>
      <c r="I419" s="12">
        <f t="shared" si="55"/>
        <v>0.74455125988545134</v>
      </c>
      <c r="J419" s="12">
        <f t="shared" si="56"/>
        <v>-3.5695753072323269E-2</v>
      </c>
      <c r="M419" s="123">
        <f>IF($Q$1,  C419, -0.2)</f>
        <v>-0.2</v>
      </c>
    </row>
    <row r="420" spans="2:13" x14ac:dyDescent="0.3">
      <c r="B420" s="12">
        <v>0.75082230572274766</v>
      </c>
      <c r="C420" s="12">
        <f t="shared" si="49"/>
        <v>1.9743642483947915E-2</v>
      </c>
      <c r="D420" s="12">
        <f t="shared" si="50"/>
        <v>5.5155467865833453E-2</v>
      </c>
      <c r="E420" s="12">
        <f t="shared" si="51"/>
        <v>-5.8470384287124602E-2</v>
      </c>
      <c r="F420" s="12">
        <f t="shared" si="52"/>
        <v>-5.8403888061807151E-2</v>
      </c>
      <c r="G420" s="12">
        <f t="shared" si="53"/>
        <v>0.75404176849318594</v>
      </c>
      <c r="H420" s="12">
        <f t="shared" si="54"/>
        <v>7.4805069045278019E-2</v>
      </c>
      <c r="I420" s="12">
        <f t="shared" si="55"/>
        <v>0.74760284295230939</v>
      </c>
      <c r="J420" s="12">
        <f t="shared" si="56"/>
        <v>-3.5317784077382189E-2</v>
      </c>
      <c r="M420" s="123">
        <f>IF($Q$1,  C420, -0.2)</f>
        <v>-0.2</v>
      </c>
    </row>
    <row r="421" spans="2:13" x14ac:dyDescent="0.3">
      <c r="B421" s="12">
        <v>0.75387213231209049</v>
      </c>
      <c r="C421" s="12">
        <f t="shared" si="49"/>
        <v>1.9564542831074533E-2</v>
      </c>
      <c r="D421" s="12">
        <f t="shared" si="50"/>
        <v>5.4598157595171275E-2</v>
      </c>
      <c r="E421" s="12">
        <f t="shared" si="51"/>
        <v>-5.897868871868174E-2</v>
      </c>
      <c r="F421" s="12">
        <f t="shared" si="52"/>
        <v>-5.891044558293531E-2</v>
      </c>
      <c r="G421" s="12">
        <f t="shared" si="53"/>
        <v>0.75708667403826091</v>
      </c>
      <c r="H421" s="12">
        <f t="shared" si="54"/>
        <v>7.4067987990787759E-2</v>
      </c>
      <c r="I421" s="12">
        <f t="shared" si="55"/>
        <v>0.75065759058592008</v>
      </c>
      <c r="J421" s="12">
        <f t="shared" si="56"/>
        <v>-3.49389023286387E-2</v>
      </c>
      <c r="M421" s="123">
        <f>IF($Q$1,  C421, -0.2)</f>
        <v>-0.2</v>
      </c>
    </row>
    <row r="422" spans="2:13" x14ac:dyDescent="0.3">
      <c r="B422" s="12">
        <v>0.75692439783007204</v>
      </c>
      <c r="C422" s="12">
        <f t="shared" si="49"/>
        <v>1.9383747852803369E-2</v>
      </c>
      <c r="D422" s="12">
        <f t="shared" si="50"/>
        <v>5.4038222445237656E-2</v>
      </c>
      <c r="E422" s="12">
        <f t="shared" si="51"/>
        <v>-5.9487399638345331E-2</v>
      </c>
      <c r="F422" s="12">
        <f t="shared" si="52"/>
        <v>-5.9417377892678411E-2</v>
      </c>
      <c r="G422" s="12">
        <f t="shared" si="53"/>
        <v>0.76013331839364551</v>
      </c>
      <c r="H422" s="12">
        <f t="shared" si="54"/>
        <v>7.3326609418145478E-2</v>
      </c>
      <c r="I422" s="12">
        <f t="shared" si="55"/>
        <v>0.75371547726649857</v>
      </c>
      <c r="J422" s="12">
        <f t="shared" si="56"/>
        <v>-3.4559113712538732E-2</v>
      </c>
      <c r="M422" s="123">
        <f>IF($Q$1,  C422, -0.2)</f>
        <v>-0.2</v>
      </c>
    </row>
    <row r="423" spans="2:13" x14ac:dyDescent="0.3">
      <c r="B423" s="12">
        <v>0.75997907203120352</v>
      </c>
      <c r="C423" s="12">
        <f t="shared" si="49"/>
        <v>1.9201255641629462E-2</v>
      </c>
      <c r="D423" s="12">
        <f t="shared" si="50"/>
        <v>5.3475665465583952E-2</v>
      </c>
      <c r="E423" s="12">
        <f t="shared" si="51"/>
        <v>-5.9996512005200578E-2</v>
      </c>
      <c r="F423" s="12">
        <f t="shared" si="52"/>
        <v>-5.9924679637422755E-2</v>
      </c>
      <c r="G423" s="12">
        <f t="shared" si="53"/>
        <v>0.76318166661394748</v>
      </c>
      <c r="H423" s="12">
        <f t="shared" si="54"/>
        <v>7.2580935154770293E-2</v>
      </c>
      <c r="I423" s="12">
        <f t="shared" si="55"/>
        <v>0.75677647744845955</v>
      </c>
      <c r="J423" s="12">
        <f t="shared" si="56"/>
        <v>-3.4178423871511376E-2</v>
      </c>
      <c r="M423" s="123">
        <f>IF($Q$1,  C423, -0.2)</f>
        <v>-0.2</v>
      </c>
    </row>
    <row r="424" spans="2:13" x14ac:dyDescent="0.3">
      <c r="B424" s="12">
        <v>0.76303612464612713</v>
      </c>
      <c r="C424" s="12">
        <f t="shared" si="49"/>
        <v>1.901706435016013E-2</v>
      </c>
      <c r="D424" s="12">
        <f t="shared" si="50"/>
        <v>5.2910489514835048E-2</v>
      </c>
      <c r="E424" s="12">
        <f t="shared" si="51"/>
        <v>-6.0506020774354519E-2</v>
      </c>
      <c r="F424" s="12">
        <f t="shared" si="52"/>
        <v>-6.0432345459618834E-2</v>
      </c>
      <c r="G424" s="12">
        <f t="shared" si="53"/>
        <v>0.76623168373114836</v>
      </c>
      <c r="H424" s="12">
        <f t="shared" si="54"/>
        <v>7.1830966902741933E-2</v>
      </c>
      <c r="I424" s="12">
        <f t="shared" si="55"/>
        <v>0.75984056556110591</v>
      </c>
      <c r="J424" s="12">
        <f t="shared" si="56"/>
        <v>-3.3796838202421679E-2</v>
      </c>
      <c r="M424" s="123">
        <f>IF($Q$1,  C424, -0.2)</f>
        <v>-0.2</v>
      </c>
    </row>
    <row r="425" spans="2:13" x14ac:dyDescent="0.3">
      <c r="B425" s="12">
        <v>0.76609552538191783</v>
      </c>
      <c r="C425" s="12">
        <f t="shared" si="49"/>
        <v>1.8831172191278129E-2</v>
      </c>
      <c r="D425" s="12">
        <f t="shared" si="50"/>
        <v>5.2342697259345268E-2</v>
      </c>
      <c r="E425" s="12">
        <f t="shared" si="51"/>
        <v>-6.1015920896986299E-2</v>
      </c>
      <c r="F425" s="12">
        <f t="shared" si="52"/>
        <v>-6.0940369997859761E-2</v>
      </c>
      <c r="G425" s="12">
        <f t="shared" si="53"/>
        <v>0.76928333475451027</v>
      </c>
      <c r="H425" s="12">
        <f t="shared" si="54"/>
        <v>7.1076706237620135E-2</v>
      </c>
      <c r="I425" s="12">
        <f t="shared" si="55"/>
        <v>0.76290771600932539</v>
      </c>
      <c r="J425" s="12">
        <f t="shared" si="56"/>
        <v>-3.3414361855063884E-2</v>
      </c>
      <c r="M425" s="123">
        <f>IF($Q$1,  C425, -0.2)</f>
        <v>-0.2</v>
      </c>
    </row>
    <row r="426" spans="2:13" x14ac:dyDescent="0.3">
      <c r="B426" s="12">
        <v>0.76915724392238149</v>
      </c>
      <c r="C426" s="12">
        <f t="shared" si="49"/>
        <v>1.8643577438302611E-2</v>
      </c>
      <c r="D426" s="12">
        <f t="shared" si="50"/>
        <v>5.1772291171894531E-2</v>
      </c>
      <c r="E426" s="12">
        <f t="shared" si="51"/>
        <v>-6.152620732039691E-2</v>
      </c>
      <c r="F426" s="12">
        <f t="shared" si="52"/>
        <v>-6.1448747886959226E-2</v>
      </c>
      <c r="G426" s="12">
        <f t="shared" si="53"/>
        <v>0.77233658467047528</v>
      </c>
      <c r="H426" s="12">
        <f t="shared" si="54"/>
        <v>7.0318154607302646E-2</v>
      </c>
      <c r="I426" s="12">
        <f t="shared" si="55"/>
        <v>0.76597790317428771</v>
      </c>
      <c r="J426" s="12">
        <f t="shared" si="56"/>
        <v>-3.3030999730697425E-2</v>
      </c>
      <c r="M426" s="123">
        <f>IF($Q$1,  C426, -0.2)</f>
        <v>-0.2</v>
      </c>
    </row>
    <row r="427" spans="2:13" x14ac:dyDescent="0.3">
      <c r="B427" s="12">
        <v>0.77222124992835761</v>
      </c>
      <c r="C427" s="12">
        <f t="shared" si="49"/>
        <v>1.8454278425147592E-2</v>
      </c>
      <c r="D427" s="12">
        <f t="shared" si="50"/>
        <v>5.119927353042239E-2</v>
      </c>
      <c r="E427" s="12">
        <f t="shared" si="51"/>
        <v>-6.2036874988059598E-2</v>
      </c>
      <c r="F427" s="12">
        <f t="shared" si="52"/>
        <v>-6.1957473758030235E-2</v>
      </c>
      <c r="G427" s="12">
        <f t="shared" si="53"/>
        <v>0.77539139844256744</v>
      </c>
      <c r="H427" s="12">
        <f t="shared" si="54"/>
        <v>6.9555313330918966E-2</v>
      </c>
      <c r="I427" s="12">
        <f t="shared" si="55"/>
        <v>0.76905110141414779</v>
      </c>
      <c r="J427" s="12">
        <f t="shared" si="56"/>
        <v>-3.2646756480623776E-2</v>
      </c>
      <c r="M427" s="123">
        <f>IF($Q$1,  C427, -0.2)</f>
        <v>-0.2</v>
      </c>
    </row>
    <row r="428" spans="2:13" x14ac:dyDescent="0.3">
      <c r="B428" s="12">
        <v>0.77528751303801791</v>
      </c>
      <c r="C428" s="12">
        <f t="shared" si="49"/>
        <v>1.8263273546478293E-2</v>
      </c>
      <c r="D428" s="12">
        <f t="shared" si="50"/>
        <v>5.0623646416802948E-2</v>
      </c>
      <c r="E428" s="12">
        <f t="shared" si="51"/>
        <v>-6.2547918839669647E-2</v>
      </c>
      <c r="F428" s="12">
        <f t="shared" si="52"/>
        <v>-6.2466542238563322E-2</v>
      </c>
      <c r="G428" s="12">
        <f t="shared" si="53"/>
        <v>0.77844774101128733</v>
      </c>
      <c r="H428" s="12">
        <f t="shared" si="54"/>
        <v>6.8788183597763411E-2</v>
      </c>
      <c r="I428" s="12">
        <f t="shared" si="55"/>
        <v>0.77212728506474848</v>
      </c>
      <c r="J428" s="12">
        <f t="shared" si="56"/>
        <v>-3.2261636504806818E-2</v>
      </c>
      <c r="M428" s="123">
        <f>IF($Q$1,  C428, -0.2)</f>
        <v>-0.2</v>
      </c>
    </row>
    <row r="429" spans="2:13" x14ac:dyDescent="0.3">
      <c r="B429" s="12">
        <v>0.77835600286716788</v>
      </c>
      <c r="C429" s="12">
        <f t="shared" si="49"/>
        <v>1.8070561257864971E-2</v>
      </c>
      <c r="D429" s="12">
        <f t="shared" si="50"/>
        <v>5.0045411715658988E-2</v>
      </c>
      <c r="E429" s="12">
        <f t="shared" si="51"/>
        <v>-6.3059333811194634E-2</v>
      </c>
      <c r="F429" s="12">
        <f t="shared" si="52"/>
        <v>-6.2975947952505273E-2</v>
      </c>
      <c r="G429" s="12">
        <f t="shared" si="53"/>
        <v>0.78150557729400683</v>
      </c>
      <c r="H429" s="12">
        <f t="shared" si="54"/>
        <v>6.8016766466265144E-2</v>
      </c>
      <c r="I429" s="12">
        <f t="shared" si="55"/>
        <v>0.77520642844032894</v>
      </c>
      <c r="J429" s="12">
        <f t="shared" si="56"/>
        <v>-3.1875643950535194E-2</v>
      </c>
      <c r="M429" s="123">
        <f>IF($Q$1,  C429, -0.2)</f>
        <v>-0.2</v>
      </c>
    </row>
    <row r="430" spans="2:13" x14ac:dyDescent="0.3">
      <c r="B430" s="12">
        <v>0.78142668900954892</v>
      </c>
      <c r="C430" s="12">
        <f t="shared" si="49"/>
        <v>1.78761400759344E-2</v>
      </c>
      <c r="D430" s="12">
        <f t="shared" si="50"/>
        <v>4.9464571113216609E-2</v>
      </c>
      <c r="E430" s="12">
        <f t="shared" si="51"/>
        <v>-6.3571114834924808E-2</v>
      </c>
      <c r="F430" s="12">
        <f t="shared" si="52"/>
        <v>-6.348568552033812E-2</v>
      </c>
      <c r="G430" s="12">
        <f t="shared" si="53"/>
        <v>0.78456487218486248</v>
      </c>
      <c r="H430" s="12">
        <f t="shared" si="54"/>
        <v>6.7241062862996887E-2</v>
      </c>
      <c r="I430" s="12">
        <f t="shared" si="55"/>
        <v>0.77828850583423537</v>
      </c>
      <c r="J430" s="12">
        <f t="shared" si="56"/>
        <v>-3.1488782711128094E-2</v>
      </c>
      <c r="M430" s="123">
        <f>IF($Q$1,  C430, -0.2)</f>
        <v>-0.2</v>
      </c>
    </row>
    <row r="431" spans="2:13" x14ac:dyDescent="0.3">
      <c r="B431" s="12">
        <v>0.78449954103713782</v>
      </c>
      <c r="C431" s="12">
        <f t="shared" si="49"/>
        <v>1.7680008578519202E-2</v>
      </c>
      <c r="D431" s="12">
        <f t="shared" si="50"/>
        <v>4.88811260962011E-2</v>
      </c>
      <c r="E431" s="12">
        <f t="shared" si="51"/>
        <v>-6.4083256839522956E-2</v>
      </c>
      <c r="F431" s="12">
        <f t="shared" si="52"/>
        <v>-6.3995749559157669E-2</v>
      </c>
      <c r="G431" s="12">
        <f t="shared" si="53"/>
        <v>0.78762559055464365</v>
      </c>
      <c r="H431" s="12">
        <f t="shared" si="54"/>
        <v>6.6461073581723207E-2</v>
      </c>
      <c r="I431" s="12">
        <f t="shared" si="55"/>
        <v>0.78137349151963198</v>
      </c>
      <c r="J431" s="12">
        <f t="shared" si="56"/>
        <v>-3.1101056424684796E-2</v>
      </c>
      <c r="M431" s="123">
        <f>IF($Q$1,  C431, -0.2)</f>
        <v>-0.2</v>
      </c>
    </row>
    <row r="432" spans="2:13" x14ac:dyDescent="0.3">
      <c r="B432" s="12">
        <v>0.78757452850045018</v>
      </c>
      <c r="C432" s="12">
        <f t="shared" si="49"/>
        <v>1.7482165404804479E-2</v>
      </c>
      <c r="D432" s="12">
        <f t="shared" si="50"/>
        <v>4.8295077950773098E-2</v>
      </c>
      <c r="E432" s="12">
        <f t="shared" si="51"/>
        <v>-6.4595754750075021E-2</v>
      </c>
      <c r="F432" s="12">
        <f t="shared" si="52"/>
        <v>-6.4506134682752847E-2</v>
      </c>
      <c r="G432" s="12">
        <f t="shared" si="53"/>
        <v>0.79068769725068255</v>
      </c>
      <c r="H432" s="12">
        <f t="shared" si="54"/>
        <v>6.5676799282486611E-2</v>
      </c>
      <c r="I432" s="12">
        <f t="shared" si="55"/>
        <v>0.7844613597502178</v>
      </c>
      <c r="J432" s="12">
        <f t="shared" si="56"/>
        <v>-3.0712468472877657E-2</v>
      </c>
      <c r="M432" s="123">
        <f>IF($Q$1,  C432, -0.2)</f>
        <v>-0.2</v>
      </c>
    </row>
    <row r="433" spans="2:13" x14ac:dyDescent="0.3">
      <c r="B433" s="12">
        <v>0.79065162092883967</v>
      </c>
      <c r="C433" s="12">
        <f t="shared" si="49"/>
        <v>1.7282609255472509E-2</v>
      </c>
      <c r="D433" s="12">
        <f t="shared" si="50"/>
        <v>4.7706427761506812E-2</v>
      </c>
      <c r="E433" s="12">
        <f t="shared" si="51"/>
        <v>-6.5108603488139932E-2</v>
      </c>
      <c r="F433" s="12">
        <f t="shared" si="52"/>
        <v>-6.5016835501684356E-2</v>
      </c>
      <c r="G433" s="12">
        <f t="shared" si="53"/>
        <v>0.79375115709673894</v>
      </c>
      <c r="H433" s="12">
        <f t="shared" si="54"/>
        <v>6.4888240490734495E-2</v>
      </c>
      <c r="I433" s="12">
        <f t="shared" si="55"/>
        <v>0.78755208476094041</v>
      </c>
      <c r="J433" s="12">
        <f t="shared" si="56"/>
        <v>-3.0323021979789477E-2</v>
      </c>
      <c r="M433" s="123">
        <f>IF($Q$1,  C433, -0.2)</f>
        <v>-0.2</v>
      </c>
    </row>
    <row r="434" spans="2:13" x14ac:dyDescent="0.3">
      <c r="B434" s="12">
        <v>0.79373078783080309</v>
      </c>
      <c r="C434" s="12">
        <f t="shared" si="49"/>
        <v>1.7081338892844584E-2</v>
      </c>
      <c r="D434" s="12">
        <f t="shared" si="50"/>
        <v>4.7115176410409292E-2</v>
      </c>
      <c r="E434" s="12">
        <f t="shared" si="51"/>
        <v>-6.5621797971800511E-2</v>
      </c>
      <c r="F434" s="12">
        <f t="shared" si="52"/>
        <v>-6.5527846623364486E-2</v>
      </c>
      <c r="G434" s="12">
        <f t="shared" si="53"/>
        <v>0.79681593489288771</v>
      </c>
      <c r="H434" s="12">
        <f t="shared" si="54"/>
        <v>6.4095397596484485E-2</v>
      </c>
      <c r="I434" s="12">
        <f t="shared" si="55"/>
        <v>0.79064564076871846</v>
      </c>
      <c r="J434" s="12">
        <f t="shared" si="56"/>
        <v>-2.9932719810795316E-2</v>
      </c>
      <c r="M434" s="123">
        <f>IF($Q$1,  C434, -0.2)</f>
        <v>-0.2</v>
      </c>
    </row>
    <row r="435" spans="2:13" x14ac:dyDescent="0.3">
      <c r="B435" s="12">
        <v>0.79681199869427966</v>
      </c>
      <c r="C435" s="12">
        <f t="shared" si="49"/>
        <v>1.6878353141020909E-2</v>
      </c>
      <c r="D435" s="12">
        <f t="shared" si="50"/>
        <v>4.6521324575982625E-2</v>
      </c>
      <c r="E435" s="12">
        <f t="shared" si="51"/>
        <v>-6.6135333115713263E-2</v>
      </c>
      <c r="F435" s="12">
        <f t="shared" si="52"/>
        <v>-6.603916265213583E-2</v>
      </c>
      <c r="G435" s="12">
        <f t="shared" si="53"/>
        <v>0.7998819954154005</v>
      </c>
      <c r="H435" s="12">
        <f t="shared" si="54"/>
        <v>6.3298270853531263E-2</v>
      </c>
      <c r="I435" s="12">
        <f t="shared" si="55"/>
        <v>0.79374200197315881</v>
      </c>
      <c r="J435" s="12">
        <f t="shared" si="56"/>
        <v>-2.9541564571489445E-2</v>
      </c>
      <c r="M435" s="123">
        <f>IF($Q$1,  C435, -0.2)</f>
        <v>-0.2</v>
      </c>
    </row>
    <row r="436" spans="2:13" x14ac:dyDescent="0.3">
      <c r="B436" s="12">
        <v>0.79989522298695537</v>
      </c>
      <c r="C436" s="12">
        <f t="shared" si="49"/>
        <v>1.6673650886017771E-2</v>
      </c>
      <c r="D436" s="12">
        <f t="shared" si="50"/>
        <v>4.5924872732327093E-2</v>
      </c>
      <c r="E436" s="12">
        <f t="shared" si="51"/>
        <v>-6.6649203831159215E-2</v>
      </c>
      <c r="F436" s="12">
        <f t="shared" si="52"/>
        <v>-6.655077818935122E-2</v>
      </c>
      <c r="G436" s="12">
        <f t="shared" si="53"/>
        <v>0.80294930341663051</v>
      </c>
      <c r="H436" s="12">
        <f t="shared" si="54"/>
        <v>6.2496860378692065E-2</v>
      </c>
      <c r="I436" s="12">
        <f t="shared" si="55"/>
        <v>0.79684114255728022</v>
      </c>
      <c r="J436" s="12">
        <f t="shared" si="56"/>
        <v>-2.9149558606656523E-2</v>
      </c>
      <c r="M436" s="123">
        <f>IF($Q$1,  C436, -0.2)</f>
        <v>-0.2</v>
      </c>
    </row>
    <row r="437" spans="2:13" x14ac:dyDescent="0.3">
      <c r="B437" s="12">
        <v>0.80298043015656417</v>
      </c>
      <c r="C437" s="12">
        <f t="shared" si="49"/>
        <v>1.646723107590254E-2</v>
      </c>
      <c r="D437" s="12">
        <f t="shared" si="50"/>
        <v>4.5325821148288911E-2</v>
      </c>
      <c r="E437" s="12">
        <f t="shared" si="51"/>
        <v>-6.7163405026094025E-2</v>
      </c>
      <c r="F437" s="12">
        <f t="shared" si="52"/>
        <v>-6.7062687833452858E-2</v>
      </c>
      <c r="G437" s="12">
        <f t="shared" si="53"/>
        <v>0.80601782362489316</v>
      </c>
      <c r="H437" s="12">
        <f t="shared" si="54"/>
        <v>6.1691166151095045E-2</v>
      </c>
      <c r="I437" s="12">
        <f t="shared" si="55"/>
        <v>0.79994303668823519</v>
      </c>
      <c r="J437" s="12">
        <f t="shared" si="56"/>
        <v>-2.8756703999289965E-2</v>
      </c>
      <c r="M437" s="123">
        <f>IF($Q$1,  C437, -0.2)</f>
        <v>-0.2</v>
      </c>
    </row>
    <row r="438" spans="2:13" x14ac:dyDescent="0.3">
      <c r="B438" s="12">
        <v>0.80606758963119207</v>
      </c>
      <c r="C438" s="12">
        <f t="shared" si="49"/>
        <v>1.6259092720926144E-2</v>
      </c>
      <c r="D438" s="12">
        <f t="shared" si="50"/>
        <v>4.4724169886648839E-2</v>
      </c>
      <c r="E438" s="12">
        <f t="shared" si="51"/>
        <v>-6.7677931605198666E-2</v>
      </c>
      <c r="F438" s="12">
        <f t="shared" si="52"/>
        <v>-6.7574886180052224E-2</v>
      </c>
      <c r="G438" s="12">
        <f t="shared" si="53"/>
        <v>0.80908752074434864</v>
      </c>
      <c r="H438" s="12">
        <f t="shared" si="54"/>
        <v>6.0881188011506299E-2</v>
      </c>
      <c r="I438" s="12">
        <f t="shared" si="55"/>
        <v>0.8030476585180355</v>
      </c>
      <c r="J438" s="12">
        <f t="shared" si="56"/>
        <v>-2.8363002569654013E-2</v>
      </c>
      <c r="M438" s="123">
        <f>IF($Q$1,  C438, -0.2)</f>
        <v>-0.2</v>
      </c>
    </row>
    <row r="439" spans="2:13" x14ac:dyDescent="0.3">
      <c r="B439" s="12">
        <v>0.80915667081957843</v>
      </c>
      <c r="C439" s="12">
        <f t="shared" si="49"/>
        <v>1.6049234893653265E-2</v>
      </c>
      <c r="D439" s="12">
        <f t="shared" si="50"/>
        <v>4.4119918803355807E-2</v>
      </c>
      <c r="E439" s="12">
        <f t="shared" si="51"/>
        <v>-6.819277846992973E-2</v>
      </c>
      <c r="F439" s="12">
        <f t="shared" si="52"/>
        <v>-6.8087367822009554E-2</v>
      </c>
      <c r="G439" s="12">
        <f t="shared" si="53"/>
        <v>0.81215835945488168</v>
      </c>
      <c r="H439" s="12">
        <f t="shared" si="54"/>
        <v>6.0066925661700153E-2</v>
      </c>
      <c r="I439" s="12">
        <f t="shared" si="55"/>
        <v>0.80615498218427517</v>
      </c>
      <c r="J439" s="12">
        <f t="shared" si="56"/>
        <v>-2.7968455874393623E-2</v>
      </c>
      <c r="M439" s="123">
        <f>IF($Q$1,  C439, -0.2)</f>
        <v>-0.2</v>
      </c>
    </row>
    <row r="440" spans="2:13" x14ac:dyDescent="0.3">
      <c r="B440" s="12">
        <v>0.81224764311142017</v>
      </c>
      <c r="C440" s="12">
        <f t="shared" si="49"/>
        <v>1.5837656729089922E-2</v>
      </c>
      <c r="D440" s="12">
        <f t="shared" si="50"/>
        <v>4.3513067546802932E-2</v>
      </c>
      <c r="E440" s="12">
        <f t="shared" si="51"/>
        <v>-6.8707940518570015E-2</v>
      </c>
      <c r="F440" s="12">
        <f t="shared" si="52"/>
        <v>-6.8600127349513734E-2</v>
      </c>
      <c r="G440" s="12">
        <f t="shared" si="53"/>
        <v>0.81523030441198319</v>
      </c>
      <c r="H440" s="12">
        <f t="shared" si="54"/>
        <v>5.9248378663869561E-2</v>
      </c>
      <c r="I440" s="12">
        <f t="shared" si="55"/>
        <v>0.80926498181085715</v>
      </c>
      <c r="J440" s="12">
        <f t="shared" si="56"/>
        <v>-2.7573065205689719E-2</v>
      </c>
      <c r="M440" s="123">
        <f>IF($Q$1,  C440, -0.2)</f>
        <v>-0.2</v>
      </c>
    </row>
    <row r="441" spans="2:13" x14ac:dyDescent="0.3">
      <c r="B441" s="12">
        <v>0.81534047587767555</v>
      </c>
      <c r="C441" s="12">
        <f t="shared" si="49"/>
        <v>1.5624357424808832E-2</v>
      </c>
      <c r="D441" s="12">
        <f t="shared" si="50"/>
        <v>4.2903615557147758E-2</v>
      </c>
      <c r="E441" s="12">
        <f t="shared" si="51"/>
        <v>-6.922341264627925E-2</v>
      </c>
      <c r="F441" s="12">
        <f t="shared" si="52"/>
        <v>-6.9113159350162295E-2</v>
      </c>
      <c r="G441" s="12">
        <f t="shared" si="53"/>
        <v>0.81830332024663099</v>
      </c>
      <c r="H441" s="12">
        <f t="shared" si="54"/>
        <v>5.8425546440078961E-2</v>
      </c>
      <c r="I441" s="12">
        <f t="shared" si="55"/>
        <v>0.81237763150872011</v>
      </c>
      <c r="J441" s="12">
        <f t="shared" si="56"/>
        <v>-2.7176831590461296E-2</v>
      </c>
      <c r="M441" s="123">
        <f>IF($Q$1,  C441, -0.2)</f>
        <v>-0.2</v>
      </c>
    </row>
    <row r="442" spans="2:13" x14ac:dyDescent="0.3">
      <c r="B442" s="12">
        <v>0.81843513847086635</v>
      </c>
      <c r="C442" s="12">
        <f t="shared" si="49"/>
        <v>1.5409336241072241E-2</v>
      </c>
      <c r="D442" s="12">
        <f t="shared" si="50"/>
        <v>4.2291562065676629E-2</v>
      </c>
      <c r="E442" s="12">
        <f t="shared" si="51"/>
        <v>-6.9739189745144384E-2</v>
      </c>
      <c r="F442" s="12">
        <f t="shared" si="52"/>
        <v>-6.9626458409041192E-2</v>
      </c>
      <c r="G442" s="12">
        <f t="shared" si="53"/>
        <v>0.82137737156516977</v>
      </c>
      <c r="H442" s="12">
        <f t="shared" si="54"/>
        <v>5.7598428271759081E-2</v>
      </c>
      <c r="I442" s="12">
        <f t="shared" si="55"/>
        <v>0.81549290537656294</v>
      </c>
      <c r="J442" s="12">
        <f t="shared" si="56"/>
        <v>-2.6779755789614598E-2</v>
      </c>
      <c r="M442" s="123">
        <f>IF($Q$1,  C442, -0.2)</f>
        <v>-0.2</v>
      </c>
    </row>
    <row r="443" spans="2:13" x14ac:dyDescent="0.3">
      <c r="B443" s="12">
        <v>0.82153160022538252</v>
      </c>
      <c r="C443" s="12">
        <f t="shared" si="49"/>
        <v>1.5192592500952357E-2</v>
      </c>
      <c r="D443" s="12">
        <f t="shared" si="50"/>
        <v>4.1676906094213491E-2</v>
      </c>
      <c r="E443" s="12">
        <f t="shared" si="51"/>
        <v>-7.0255266704230407E-2</v>
      </c>
      <c r="F443" s="12">
        <f t="shared" si="52"/>
        <v>-7.0140019108804921E-2</v>
      </c>
      <c r="G443" s="12">
        <f t="shared" si="53"/>
        <v>0.82445242294919308</v>
      </c>
      <c r="H443" s="12">
        <f t="shared" si="54"/>
        <v>5.6767023299244254E-2</v>
      </c>
      <c r="I443" s="12">
        <f t="shared" si="55"/>
        <v>0.81861077750157196</v>
      </c>
      <c r="J443" s="12">
        <f t="shared" si="56"/>
        <v>-2.6381838297339536E-2</v>
      </c>
      <c r="M443" s="123">
        <f>IF($Q$1,  C443, -0.2)</f>
        <v>-0.2</v>
      </c>
    </row>
    <row r="444" spans="2:13" x14ac:dyDescent="0.3">
      <c r="B444" s="12">
        <v>0.82462983045778548</v>
      </c>
      <c r="C444" s="12">
        <f t="shared" si="49"/>
        <v>1.4974125590449361E-2</v>
      </c>
      <c r="D444" s="12">
        <f t="shared" si="50"/>
        <v>4.1059646454572947E-2</v>
      </c>
      <c r="E444" s="12">
        <f t="shared" si="51"/>
        <v>-7.077163840963091E-2</v>
      </c>
      <c r="F444" s="12">
        <f t="shared" si="52"/>
        <v>-7.0653836029756681E-2</v>
      </c>
      <c r="G444" s="12">
        <f t="shared" si="53"/>
        <v>0.82752843895542449</v>
      </c>
      <c r="H444" s="12">
        <f t="shared" si="54"/>
        <v>5.593133052135181E-2</v>
      </c>
      <c r="I444" s="12">
        <f t="shared" si="55"/>
        <v>0.82173122196014647</v>
      </c>
      <c r="J444" s="12">
        <f t="shared" si="56"/>
        <v>-2.5983079340453089E-2</v>
      </c>
      <c r="M444" s="123">
        <f>IF($Q$1,  C444, -0.2)</f>
        <v>-0.2</v>
      </c>
    </row>
    <row r="445" spans="2:13" x14ac:dyDescent="0.3">
      <c r="B445" s="12">
        <v>0.82772979846711325</v>
      </c>
      <c r="C445" s="12">
        <f t="shared" si="49"/>
        <v>1.4753934958606893E-2</v>
      </c>
      <c r="D445" s="12">
        <f t="shared" si="50"/>
        <v>4.0439781748058581E-2</v>
      </c>
      <c r="E445" s="12">
        <f t="shared" si="51"/>
        <v>-7.1288299744518863E-2</v>
      </c>
      <c r="F445" s="12">
        <f t="shared" si="52"/>
        <v>-7.1167903749928568E-2</v>
      </c>
      <c r="G445" s="12">
        <f t="shared" si="53"/>
        <v>0.83060538411560114</v>
      </c>
      <c r="H445" s="12">
        <f t="shared" si="54"/>
        <v>5.5091348795004769E-2</v>
      </c>
      <c r="I445" s="12">
        <f t="shared" si="55"/>
        <v>0.82485421281862537</v>
      </c>
      <c r="J445" s="12">
        <f t="shared" si="56"/>
        <v>-2.5583478877790986E-2</v>
      </c>
      <c r="M445" s="123">
        <f>IF($Q$1,  C445, -0.2)</f>
        <v>-0.2</v>
      </c>
    </row>
    <row r="446" spans="2:13" x14ac:dyDescent="0.3">
      <c r="B446" s="12">
        <v>0.8308314735351825</v>
      </c>
      <c r="C446" s="12">
        <f t="shared" si="49"/>
        <v>1.4532020117625277E-2</v>
      </c>
      <c r="D446" s="12">
        <f t="shared" si="50"/>
        <v>3.9817310365006124E-2</v>
      </c>
      <c r="E446" s="12">
        <f t="shared" si="51"/>
        <v>-7.180524558919707E-2</v>
      </c>
      <c r="F446" s="12">
        <f t="shared" si="52"/>
        <v>-7.1682216845161698E-2</v>
      </c>
      <c r="G446" s="12">
        <f t="shared" si="53"/>
        <v>0.83368322293635511</v>
      </c>
      <c r="H446" s="12">
        <f t="shared" si="54"/>
        <v>5.424707683489733E-2</v>
      </c>
      <c r="I446" s="12">
        <f t="shared" si="55"/>
        <v>0.82797972413400989</v>
      </c>
      <c r="J446" s="12">
        <f t="shared" si="56"/>
        <v>-2.5183036599646776E-2</v>
      </c>
      <c r="M446" s="123">
        <f>IF($Q$1,  C446, -0.2)</f>
        <v>-0.2</v>
      </c>
    </row>
    <row r="447" spans="2:13" x14ac:dyDescent="0.3">
      <c r="B447" s="12">
        <v>0.83393482492689608</v>
      </c>
      <c r="C447" s="12">
        <f t="shared" si="49"/>
        <v>1.4308380642972008E-2</v>
      </c>
      <c r="D447" s="12">
        <f t="shared" si="50"/>
        <v>3.9192230484372141E-2</v>
      </c>
      <c r="E447" s="12">
        <f t="shared" si="51"/>
        <v>-7.2322470821149343E-2</v>
      </c>
      <c r="F447" s="12">
        <f t="shared" si="52"/>
        <v>-7.2196769889186857E-2</v>
      </c>
      <c r="G447" s="12">
        <f t="shared" si="53"/>
        <v>0.83676191989910154</v>
      </c>
      <c r="H447" s="12">
        <f t="shared" si="54"/>
        <v>5.3398513213203588E-2</v>
      </c>
      <c r="I447" s="12">
        <f t="shared" si="55"/>
        <v>0.83110772995469062</v>
      </c>
      <c r="J447" s="12">
        <f t="shared" si="56"/>
        <v>-2.4781751927259576E-2</v>
      </c>
      <c r="M447" s="123">
        <f>IF($Q$1,  C447, -0.2)</f>
        <v>-0.2</v>
      </c>
    </row>
    <row r="448" spans="2:13" x14ac:dyDescent="0.3">
      <c r="B448" s="12">
        <v>0.83703982189054416</v>
      </c>
      <c r="C448" s="12">
        <f t="shared" si="49"/>
        <v>1.4083016173490124E-2</v>
      </c>
      <c r="D448" s="12">
        <f t="shared" si="50"/>
        <v>3.8564540073368438E-2</v>
      </c>
      <c r="E448" s="12">
        <f t="shared" si="51"/>
        <v>-7.283997031509068E-2</v>
      </c>
      <c r="F448" s="12">
        <f t="shared" si="52"/>
        <v>-7.2711557453704417E-2</v>
      </c>
      <c r="G448" s="12">
        <f t="shared" si="53"/>
        <v>0.83984143945992074</v>
      </c>
      <c r="H448" s="12">
        <f t="shared" si="54"/>
        <v>5.2545656359330201E-2</v>
      </c>
      <c r="I448" s="12">
        <f t="shared" si="55"/>
        <v>0.83423820432116758</v>
      </c>
      <c r="J448" s="12">
        <f t="shared" si="56"/>
        <v>-2.4379624012349957E-2</v>
      </c>
      <c r="M448" s="123">
        <f>IF($Q$1,  C448, -0.2)</f>
        <v>-0.2</v>
      </c>
    </row>
    <row r="449" spans="2:13" x14ac:dyDescent="0.3">
      <c r="B449" s="12">
        <v>0.8401464336581117</v>
      </c>
      <c r="C449" s="12">
        <f t="shared" si="49"/>
        <v>1.3855926411503783E-2</v>
      </c>
      <c r="D449" s="12">
        <f t="shared" si="50"/>
        <v>3.7934236887141488E-2</v>
      </c>
      <c r="E449" s="12">
        <f t="shared" si="51"/>
        <v>-7.3357738943018613E-2</v>
      </c>
      <c r="F449" s="12">
        <f t="shared" si="52"/>
        <v>-7.3226574108465281E-2</v>
      </c>
      <c r="G449" s="12">
        <f t="shared" si="53"/>
        <v>0.84292174604944925</v>
      </c>
      <c r="H449" s="12">
        <f t="shared" si="54"/>
        <v>5.1688504559711634E-2</v>
      </c>
      <c r="I449" s="12">
        <f t="shared" si="55"/>
        <v>0.83737112126677415</v>
      </c>
      <c r="J449" s="12">
        <f t="shared" si="56"/>
        <v>-2.3976651736704064E-2</v>
      </c>
      <c r="M449" s="123">
        <f>IF($Q$1,  C449, -0.2)</f>
        <v>-0.2</v>
      </c>
    </row>
    <row r="450" spans="2:13" x14ac:dyDescent="0.3">
      <c r="B450" s="12">
        <v>0.84325462944558205</v>
      </c>
      <c r="C450" s="12">
        <f t="shared" ref="C450:C500" si="57">IF($A$1=0, 0, IF(B450&lt;=$A$2, ($A$1/$A$2^2)*(2*$A$2*B450-B450^2), ($A$1/(1-$A$2)^2)*((1-2*$A$2)+2*$A$2*B450-B450^2)))</f>
        <v>1.3627111122921651E-2</v>
      </c>
      <c r="D450" s="12">
        <f t="shared" ref="D450:D500" si="58">5*$A$3*(0.2969*SQRT(B450)-0.126*B450-0.3516*B450^2+0.2843*B450^3-0.1015*B450^4)</f>
        <v>3.7301318468499441E-2</v>
      </c>
      <c r="E450" s="12">
        <f t="shared" ref="E450:E500" si="59">IF($A$1=0, 0, IF(B450&lt;=$A$2, ($A$1/$A$2^2) *(2*$A$2-2*B450), ($A$1/(1-$A$2)^2)*(2*$A$2-2*B450)))</f>
        <v>-7.3875771574263671E-2</v>
      </c>
      <c r="F450" s="12">
        <f t="shared" ref="F450:F500" si="60">IF($A$1=0, 0,  ATAN(E450))</f>
        <v>-7.3741814421351096E-2</v>
      </c>
      <c r="G450" s="12">
        <f t="shared" ref="G450:G500" si="61">B450-D450*SIN(F450)</f>
        <v>0.84600280407276773</v>
      </c>
      <c r="H450" s="12">
        <f t="shared" ref="H450:H500" si="62">C450+D450*COS(F450)</f>
        <v>5.0827055957651045E-2</v>
      </c>
      <c r="I450" s="12">
        <f t="shared" ref="I450:I500" si="63">B450+D450*SIN(F450)</f>
        <v>0.84050645481839636</v>
      </c>
      <c r="J450" s="12">
        <f t="shared" ref="J450:J500" si="64">C450-D450*COS(F450)</f>
        <v>-2.3572833711807746E-2</v>
      </c>
      <c r="M450" s="123">
        <f>IF($Q$1,  C450, -0.2)</f>
        <v>-0.2</v>
      </c>
    </row>
    <row r="451" spans="2:13" x14ac:dyDescent="0.3">
      <c r="B451" s="12">
        <v>0.84636437845324164</v>
      </c>
      <c r="C451" s="12">
        <f t="shared" si="57"/>
        <v>1.33965701373376E-2</v>
      </c>
      <c r="D451" s="12">
        <f t="shared" si="58"/>
        <v>3.6665782147683547E-2</v>
      </c>
      <c r="E451" s="12">
        <f t="shared" si="59"/>
        <v>-7.4394063075540265E-2</v>
      </c>
      <c r="F451" s="12">
        <f t="shared" si="60"/>
        <v>-7.4257272958454801E-2</v>
      </c>
      <c r="G451" s="12">
        <f t="shared" si="61"/>
        <v>0.84908457790929215</v>
      </c>
      <c r="H451" s="12">
        <f t="shared" si="62"/>
        <v>4.9961308553203396E-2</v>
      </c>
      <c r="I451" s="12">
        <f t="shared" si="63"/>
        <v>0.84364417899719113</v>
      </c>
      <c r="J451" s="12">
        <f t="shared" si="64"/>
        <v>-2.3168168278528193E-2</v>
      </c>
      <c r="M451" s="123">
        <f>IF($Q$1,  C451, -0.2)</f>
        <v>-0.2</v>
      </c>
    </row>
    <row r="452" spans="2:13" x14ac:dyDescent="0.3">
      <c r="B452" s="12">
        <v>0.84947564986598656</v>
      </c>
      <c r="C452" s="12">
        <f t="shared" si="57"/>
        <v>1.3164303348129087E-2</v>
      </c>
      <c r="D452" s="12">
        <f t="shared" si="58"/>
        <v>3.6027625042187268E-2</v>
      </c>
      <c r="E452" s="12">
        <f t="shared" si="59"/>
        <v>-7.4912608310997747E-2</v>
      </c>
      <c r="F452" s="12">
        <f t="shared" si="60"/>
        <v>-7.4772944284161466E-2</v>
      </c>
      <c r="G452" s="12">
        <f t="shared" si="61"/>
        <v>0.8521670319126694</v>
      </c>
      <c r="H452" s="12">
        <f t="shared" si="62"/>
        <v>4.9091260203104045E-2</v>
      </c>
      <c r="I452" s="12">
        <f t="shared" si="63"/>
        <v>0.84678426781930372</v>
      </c>
      <c r="J452" s="12">
        <f t="shared" si="64"/>
        <v>-2.2762653506845875E-2</v>
      </c>
      <c r="M452" s="123">
        <f>IF($Q$1,  C452, -0.2)</f>
        <v>-0.2</v>
      </c>
    </row>
    <row r="453" spans="2:13" x14ac:dyDescent="0.3">
      <c r="B453" s="12">
        <v>0.85258841285362663</v>
      </c>
      <c r="C453" s="12">
        <f t="shared" si="57"/>
        <v>1.2930310712552934E-2</v>
      </c>
      <c r="D453" s="12">
        <f t="shared" si="58"/>
        <v>3.5386844056621569E-2</v>
      </c>
      <c r="E453" s="12">
        <f t="shared" si="59"/>
        <v>-7.5431402142271092E-2</v>
      </c>
      <c r="F453" s="12">
        <f t="shared" si="60"/>
        <v>-7.5288822961228782E-2</v>
      </c>
      <c r="G453" s="12">
        <f t="shared" si="61"/>
        <v>0.85525013041067177</v>
      </c>
      <c r="H453" s="12">
        <f t="shared" si="62"/>
        <v>4.8216908620741399E-2</v>
      </c>
      <c r="I453" s="12">
        <f t="shared" si="63"/>
        <v>0.84992669529658149</v>
      </c>
      <c r="J453" s="12">
        <f t="shared" si="64"/>
        <v>-2.2356287195635531E-2</v>
      </c>
      <c r="M453" s="123">
        <f>IF($Q$1,  C453, -0.2)</f>
        <v>-0.2</v>
      </c>
    </row>
    <row r="454" spans="2:13" x14ac:dyDescent="0.3">
      <c r="B454" s="12">
        <v>0.85570263657119128</v>
      </c>
      <c r="C454" s="12">
        <f t="shared" si="57"/>
        <v>1.269459225183873E-2</v>
      </c>
      <c r="D454" s="12">
        <f t="shared" si="58"/>
        <v>3.4743435882627467E-2</v>
      </c>
      <c r="E454" s="12">
        <f t="shared" si="59"/>
        <v>-7.5950439428531871E-2</v>
      </c>
      <c r="F454" s="12">
        <f t="shared" si="60"/>
        <v>-7.5804903550867705E-2</v>
      </c>
      <c r="G454" s="12">
        <f t="shared" si="61"/>
        <v>0.85833383770509686</v>
      </c>
      <c r="H454" s="12">
        <f t="shared" si="62"/>
        <v>4.7338251376174596E-2</v>
      </c>
      <c r="I454" s="12">
        <f t="shared" si="63"/>
        <v>0.8530714354372857</v>
      </c>
      <c r="J454" s="12">
        <f t="shared" si="64"/>
        <v>-2.194906687249714E-2</v>
      </c>
      <c r="M454" s="123">
        <f>IF($Q$1,  C454, -0.2)</f>
        <v>-0.2</v>
      </c>
    </row>
    <row r="455" spans="2:13" x14ac:dyDescent="0.3">
      <c r="B455" s="12">
        <v>0.85881829015923528</v>
      </c>
      <c r="C455" s="12">
        <f t="shared" si="57"/>
        <v>1.2457148051279648E-2</v>
      </c>
      <c r="D455" s="12">
        <f t="shared" si="58"/>
        <v>3.4097396998834767E-2</v>
      </c>
      <c r="E455" s="12">
        <f t="shared" si="59"/>
        <v>-7.6469715026539209E-2</v>
      </c>
      <c r="F455" s="12">
        <f t="shared" si="60"/>
        <v>-7.632118061282335E-2</v>
      </c>
      <c r="G455" s="12">
        <f t="shared" si="61"/>
        <v>0.86141811807166901</v>
      </c>
      <c r="H455" s="12">
        <f t="shared" si="62"/>
        <v>4.6455285896195166E-2</v>
      </c>
      <c r="I455" s="12">
        <f t="shared" si="63"/>
        <v>0.85621846224680154</v>
      </c>
      <c r="J455" s="12">
        <f t="shared" si="64"/>
        <v>-2.1540989793635869E-2</v>
      </c>
      <c r="M455" s="123">
        <f>IF($Q$1,  C455, -0.2)</f>
        <v>-0.2</v>
      </c>
    </row>
    <row r="456" spans="2:13" x14ac:dyDescent="0.3">
      <c r="B456" s="12">
        <v>0.86193534274414518</v>
      </c>
      <c r="C456" s="12">
        <f t="shared" si="57"/>
        <v>1.2217978260320755E-2</v>
      </c>
      <c r="D456" s="12">
        <f t="shared" si="58"/>
        <v>3.3448723670868444E-2</v>
      </c>
      <c r="E456" s="12">
        <f t="shared" si="59"/>
        <v>-7.6989223790690856E-2</v>
      </c>
      <c r="F456" s="12">
        <f t="shared" si="60"/>
        <v>-7.6837648705455758E-2</v>
      </c>
      <c r="G456" s="12">
        <f t="shared" si="61"/>
        <v>0.86450293575994519</v>
      </c>
      <c r="H456" s="12">
        <f t="shared" si="62"/>
        <v>4.5568009464434046E-2</v>
      </c>
      <c r="I456" s="12">
        <f t="shared" si="63"/>
        <v>0.85936774972834518</v>
      </c>
      <c r="J456" s="12">
        <f t="shared" si="64"/>
        <v>-2.1132052943792536E-2</v>
      </c>
      <c r="M456" s="123">
        <f>IF($Q$1,  C456, -0.2)</f>
        <v>-0.2</v>
      </c>
    </row>
    <row r="457" spans="2:13" x14ac:dyDescent="0.3">
      <c r="B457" s="12">
        <v>0.86505376343844365</v>
      </c>
      <c r="C457" s="12">
        <f t="shared" si="57"/>
        <v>1.1977083092645002E-2</v>
      </c>
      <c r="D457" s="12">
        <f t="shared" si="58"/>
        <v>3.2797411951402594E-2</v>
      </c>
      <c r="E457" s="12">
        <f t="shared" si="59"/>
        <v>-7.7508960573073937E-2</v>
      </c>
      <c r="F457" s="12">
        <f t="shared" si="60"/>
        <v>-7.7354302385820556E-2</v>
      </c>
      <c r="G457" s="12">
        <f t="shared" si="61"/>
        <v>0.8675882549932219</v>
      </c>
      <c r="H457" s="12">
        <f t="shared" si="62"/>
        <v>4.4676419221514094E-2</v>
      </c>
      <c r="I457" s="12">
        <f t="shared" si="63"/>
        <v>0.86251927188366539</v>
      </c>
      <c r="J457" s="12">
        <f t="shared" si="64"/>
        <v>-2.0722253036224089E-2</v>
      </c>
      <c r="M457" s="123">
        <f>IF($Q$1,  C457, -0.2)</f>
        <v>-0.2</v>
      </c>
    </row>
    <row r="458" spans="2:13" x14ac:dyDescent="0.3">
      <c r="B458" s="12">
        <v>0.86817352134109738</v>
      </c>
      <c r="C458" s="12">
        <f t="shared" si="57"/>
        <v>1.1734462826256415E-2</v>
      </c>
      <c r="D458" s="12">
        <f t="shared" si="58"/>
        <v>3.2143457680261604E-2</v>
      </c>
      <c r="E458" s="12">
        <f t="shared" si="59"/>
        <v>-7.8028920223516221E-2</v>
      </c>
      <c r="F458" s="12">
        <f t="shared" si="60"/>
        <v>-7.7871136209750003E-2</v>
      </c>
      <c r="G458" s="12">
        <f t="shared" si="61"/>
        <v>0.87067403996844839</v>
      </c>
      <c r="H458" s="12">
        <f t="shared" si="62"/>
        <v>4.3780512165247323E-2</v>
      </c>
      <c r="I458" s="12">
        <f t="shared" si="63"/>
        <v>0.86567300271374636</v>
      </c>
      <c r="J458" s="12">
        <f t="shared" si="64"/>
        <v>-2.031158651273449E-2</v>
      </c>
      <c r="M458" s="123">
        <f>IF($Q$1,  C458, -0.2)</f>
        <v>-0.2</v>
      </c>
    </row>
    <row r="459" spans="2:13" x14ac:dyDescent="0.3">
      <c r="B459" s="12">
        <v>0.87129458553782158</v>
      </c>
      <c r="C459" s="12">
        <f t="shared" si="57"/>
        <v>1.1490117803561082E-2</v>
      </c>
      <c r="D459" s="12">
        <f t="shared" si="58"/>
        <v>3.1486856484569066E-2</v>
      </c>
      <c r="E459" s="12">
        <f t="shared" si="59"/>
        <v>-7.8549097589636921E-2</v>
      </c>
      <c r="F459" s="12">
        <f t="shared" si="60"/>
        <v>-7.8388144731933646E-2</v>
      </c>
      <c r="G459" s="12">
        <f t="shared" si="61"/>
        <v>0.87376025485614095</v>
      </c>
      <c r="H459" s="12">
        <f t="shared" si="62"/>
        <v>4.288028515087778E-2</v>
      </c>
      <c r="I459" s="12">
        <f t="shared" si="63"/>
        <v>0.8688289162195022</v>
      </c>
      <c r="J459" s="12">
        <f t="shared" si="64"/>
        <v>-1.990004954375562E-2</v>
      </c>
      <c r="M459" s="123">
        <f>IF($Q$1,  C459, -0.2)</f>
        <v>-0.2</v>
      </c>
    </row>
    <row r="460" spans="2:13" x14ac:dyDescent="0.3">
      <c r="B460" s="12">
        <v>0.87441692510138791</v>
      </c>
      <c r="C460" s="12">
        <f t="shared" si="57"/>
        <v>1.1244048431445339E-2</v>
      </c>
      <c r="D460" s="12">
        <f t="shared" si="58"/>
        <v>3.0827603778944106E-2</v>
      </c>
      <c r="E460" s="12">
        <f t="shared" si="59"/>
        <v>-7.9069487516897977E-2</v>
      </c>
      <c r="F460" s="12">
        <f t="shared" si="60"/>
        <v>-7.8905322505999437E-2</v>
      </c>
      <c r="G460" s="12">
        <f t="shared" si="61"/>
        <v>0.87684686380030408</v>
      </c>
      <c r="H460" s="12">
        <f t="shared" si="62"/>
        <v>4.1975734891369375E-2</v>
      </c>
      <c r="I460" s="12">
        <f t="shared" si="63"/>
        <v>0.87198698640247174</v>
      </c>
      <c r="J460" s="12">
        <f t="shared" si="64"/>
        <v>-1.94876380284787E-2</v>
      </c>
      <c r="M460" s="123">
        <f>IF($Q$1,  C460, -0.2)</f>
        <v>-0.2</v>
      </c>
    </row>
    <row r="461" spans="2:13" x14ac:dyDescent="0.3">
      <c r="B461" s="12">
        <v>0.87754050909192971</v>
      </c>
      <c r="C461" s="12">
        <f t="shared" si="57"/>
        <v>1.0996255181351711E-2</v>
      </c>
      <c r="D461" s="12">
        <f t="shared" si="58"/>
        <v>3.0165694765746383E-2</v>
      </c>
      <c r="E461" s="12">
        <f t="shared" si="59"/>
        <v>-7.9590084848654943E-2</v>
      </c>
      <c r="F461" s="12">
        <f t="shared" si="60"/>
        <v>-7.9422664084594446E-2</v>
      </c>
      <c r="G461" s="12">
        <f t="shared" si="61"/>
        <v>0.87993383091835264</v>
      </c>
      <c r="H461" s="12">
        <f t="shared" si="62"/>
        <v>4.1066857957740246E-2</v>
      </c>
      <c r="I461" s="12">
        <f t="shared" si="63"/>
        <v>0.87514718726550678</v>
      </c>
      <c r="J461" s="12">
        <f t="shared" si="64"/>
        <v>-1.9074347595036827E-2</v>
      </c>
      <c r="M461" s="123">
        <f>IF($Q$1,  C461, -0.2)</f>
        <v>-0.2</v>
      </c>
    </row>
    <row r="462" spans="2:13" x14ac:dyDescent="0.3">
      <c r="B462" s="12">
        <v>0.88066530655724884</v>
      </c>
      <c r="C462" s="12">
        <f t="shared" si="57"/>
        <v>1.0746738589352173E-2</v>
      </c>
      <c r="D462" s="12">
        <f t="shared" si="58"/>
        <v>2.9501124435368516E-2</v>
      </c>
      <c r="E462" s="12">
        <f t="shared" si="59"/>
        <v>-8.0110884426208132E-2</v>
      </c>
      <c r="F462" s="12">
        <f t="shared" si="60"/>
        <v>-7.9940164019465826E-2</v>
      </c>
      <c r="G462" s="12">
        <f t="shared" si="61"/>
        <v>0.88302112030104074</v>
      </c>
      <c r="H462" s="12">
        <f t="shared" si="62"/>
        <v>4.0153650779442079E-2</v>
      </c>
      <c r="I462" s="12">
        <f t="shared" si="63"/>
        <v>0.87830949281345694</v>
      </c>
      <c r="J462" s="12">
        <f t="shared" si="64"/>
        <v>-1.8660173600737733E-2</v>
      </c>
      <c r="M462" s="123">
        <f>IF($Q$1,  C462, -0.2)</f>
        <v>-0.2</v>
      </c>
    </row>
    <row r="463" spans="2:13" x14ac:dyDescent="0.3">
      <c r="B463" s="12">
        <v>0.88379128653312367</v>
      </c>
      <c r="C463" s="12">
        <f t="shared" si="57"/>
        <v>1.049549925621876E-2</v>
      </c>
      <c r="D463" s="12">
        <f t="shared" si="58"/>
        <v>2.8833887566576483E-2</v>
      </c>
      <c r="E463" s="12">
        <f t="shared" si="59"/>
        <v>-8.0631881088853941E-2</v>
      </c>
      <c r="F463" s="12">
        <f t="shared" si="60"/>
        <v>-8.045781686154202E-2</v>
      </c>
      <c r="G463" s="12">
        <f t="shared" si="61"/>
        <v>0.88610869601239561</v>
      </c>
      <c r="H463" s="12">
        <f t="shared" si="62"/>
        <v>3.923610964478487E-2</v>
      </c>
      <c r="I463" s="12">
        <f t="shared" si="63"/>
        <v>0.88147387705385172</v>
      </c>
      <c r="J463" s="12">
        <f t="shared" si="64"/>
        <v>-1.8245111132347353E-2</v>
      </c>
      <c r="M463" s="123">
        <f>IF($Q$1,  C463, -0.2)</f>
        <v>-0.2</v>
      </c>
    </row>
    <row r="464" spans="2:13" x14ac:dyDescent="0.3">
      <c r="B464" s="12">
        <v>0.88691841804361304</v>
      </c>
      <c r="C464" s="12">
        <f t="shared" si="57"/>
        <v>1.0242537847492109E-2</v>
      </c>
      <c r="D464" s="12">
        <f t="shared" si="58"/>
        <v>2.8163978726899595E-2</v>
      </c>
      <c r="E464" s="12">
        <f t="shared" si="59"/>
        <v>-8.1153069673935499E-2</v>
      </c>
      <c r="F464" s="12">
        <f t="shared" si="60"/>
        <v>-8.0975617161013119E-2</v>
      </c>
      <c r="G464" s="12">
        <f t="shared" si="61"/>
        <v>0.88919652208965227</v>
      </c>
      <c r="H464" s="12">
        <f t="shared" si="62"/>
        <v>3.8314230701409428E-2</v>
      </c>
      <c r="I464" s="12">
        <f t="shared" si="63"/>
        <v>0.88464031399757381</v>
      </c>
      <c r="J464" s="12">
        <f t="shared" si="64"/>
        <v>-1.7829155006425207E-2</v>
      </c>
      <c r="M464" s="123">
        <f>IF($Q$1,  C464, -0.2)</f>
        <v>-0.2</v>
      </c>
    </row>
    <row r="465" spans="2:13" x14ac:dyDescent="0.3">
      <c r="B465" s="12">
        <v>0.89004667010136695</v>
      </c>
      <c r="C465" s="12">
        <f t="shared" si="57"/>
        <v>9.9878550935468356E-3</v>
      </c>
      <c r="D465" s="12">
        <f t="shared" si="58"/>
        <v>2.7491392273066968E-2</v>
      </c>
      <c r="E465" s="12">
        <f t="shared" si="59"/>
        <v>-8.1674445016894484E-2</v>
      </c>
      <c r="F465" s="12">
        <f t="shared" si="60"/>
        <v>-8.1493559467412574E-2</v>
      </c>
      <c r="G465" s="12">
        <f t="shared" si="61"/>
        <v>0.89228456254320043</v>
      </c>
      <c r="H465" s="12">
        <f t="shared" si="62"/>
        <v>3.7388009956803192E-2</v>
      </c>
      <c r="I465" s="12">
        <f t="shared" si="63"/>
        <v>0.88780877765953348</v>
      </c>
      <c r="J465" s="12">
        <f t="shared" si="64"/>
        <v>-1.7412299769709524E-2</v>
      </c>
      <c r="M465" s="123">
        <f>IF($Q$1,  C465, -0.2)</f>
        <v>-0.2</v>
      </c>
    </row>
    <row r="466" spans="2:13" x14ac:dyDescent="0.3">
      <c r="B466" s="12">
        <v>0.89317601170793026</v>
      </c>
      <c r="C466" s="12">
        <f t="shared" si="57"/>
        <v>9.7314517896549546E-3</v>
      </c>
      <c r="D466" s="12">
        <f t="shared" si="58"/>
        <v>2.6816122351494141E-2</v>
      </c>
      <c r="E466" s="12">
        <f t="shared" si="59"/>
        <v>-8.2196001951321707E-2</v>
      </c>
      <c r="F466" s="12">
        <f t="shared" si="60"/>
        <v>-8.2011638329697517E-2</v>
      </c>
      <c r="G466" s="12">
        <f t="shared" si="61"/>
        <v>0.89537278135652831</v>
      </c>
      <c r="H466" s="12">
        <f t="shared" si="62"/>
        <v>3.6457443278864521E-2</v>
      </c>
      <c r="I466" s="12">
        <f t="shared" si="63"/>
        <v>0.89097924205933221</v>
      </c>
      <c r="J466" s="12">
        <f t="shared" si="64"/>
        <v>-1.6994539699554608E-2</v>
      </c>
      <c r="M466" s="123">
        <f>IF($Q$1,  C466, -0.2)</f>
        <v>-0.2</v>
      </c>
    </row>
    <row r="467" spans="2:13" x14ac:dyDescent="0.3">
      <c r="B467" s="12">
        <v>0.89630641185405224</v>
      </c>
      <c r="C467" s="12">
        <f t="shared" si="57"/>
        <v>9.473328796046324E-3</v>
      </c>
      <c r="D467" s="12">
        <f t="shared" si="58"/>
        <v>2.6138162898817079E-2</v>
      </c>
      <c r="E467" s="12">
        <f t="shared" si="59"/>
        <v>-8.2717735309008694E-2</v>
      </c>
      <c r="F467" s="12">
        <f t="shared" si="60"/>
        <v>-8.2529848296330074E-2</v>
      </c>
      <c r="G467" s="12">
        <f t="shared" si="61"/>
        <v>0.89846114248617959</v>
      </c>
      <c r="H467" s="12">
        <f t="shared" si="62"/>
        <v>3.5522526396511288E-2</v>
      </c>
      <c r="I467" s="12">
        <f t="shared" si="63"/>
        <v>0.8941516812219249</v>
      </c>
      <c r="J467" s="12">
        <f t="shared" si="64"/>
        <v>-1.6575868804418643E-2</v>
      </c>
      <c r="M467" s="123">
        <f>IF($Q$1,  C467, -0.2)</f>
        <v>-0.2</v>
      </c>
    </row>
    <row r="468" spans="2:13" x14ac:dyDescent="0.3">
      <c r="B468" s="12">
        <v>0.8994378395199919</v>
      </c>
      <c r="C468" s="12">
        <f t="shared" si="57"/>
        <v>9.2134870379669085E-3</v>
      </c>
      <c r="D468" s="12">
        <f t="shared" si="58"/>
        <v>2.5457507642475754E-2</v>
      </c>
      <c r="E468" s="12">
        <f t="shared" si="59"/>
        <v>-8.3239639919998637E-2</v>
      </c>
      <c r="F468" s="12">
        <f t="shared" si="60"/>
        <v>-8.3048183915358162E-2</v>
      </c>
      <c r="G468" s="12">
        <f t="shared" si="61"/>
        <v>0.90154960986170951</v>
      </c>
      <c r="H468" s="12">
        <f t="shared" si="62"/>
        <v>3.4583254900337132E-2</v>
      </c>
      <c r="I468" s="12">
        <f t="shared" si="63"/>
        <v>0.89732606917827429</v>
      </c>
      <c r="J468" s="12">
        <f t="shared" si="64"/>
        <v>-1.6156280824403318E-2</v>
      </c>
      <c r="M468" s="123">
        <f>IF($Q$1,  C468, -0.2)</f>
        <v>-0.2</v>
      </c>
    </row>
    <row r="469" spans="2:13" x14ac:dyDescent="0.3">
      <c r="B469" s="12">
        <v>0.9025702636758276</v>
      </c>
      <c r="C469" s="12">
        <f t="shared" si="57"/>
        <v>8.9519275057340919E-3</v>
      </c>
      <c r="D469" s="12">
        <f t="shared" si="58"/>
        <v>2.4774150101345507E-2</v>
      </c>
      <c r="E469" s="12">
        <f t="shared" si="59"/>
        <v>-8.376171061263793E-2</v>
      </c>
      <c r="F469" s="12">
        <f t="shared" si="60"/>
        <v>-8.3566639734496614E-2</v>
      </c>
      <c r="G469" s="12">
        <f t="shared" si="61"/>
        <v>0.90463814738565318</v>
      </c>
      <c r="H469" s="12">
        <f t="shared" si="62"/>
        <v>3.3639624243312419E-2</v>
      </c>
      <c r="I469" s="12">
        <f t="shared" si="63"/>
        <v>0.90050237996600202</v>
      </c>
      <c r="J469" s="12">
        <f t="shared" si="64"/>
        <v>-1.5735769231844235E-2</v>
      </c>
      <c r="M469" s="123">
        <f>IF($Q$1,  C469, -0.2)</f>
        <v>-0.2</v>
      </c>
    </row>
    <row r="470" spans="2:13" x14ac:dyDescent="0.3">
      <c r="B470" s="12">
        <v>0.90570365328176206</v>
      </c>
      <c r="C470" s="12">
        <f t="shared" si="57"/>
        <v>8.6886512547899482E-3</v>
      </c>
      <c r="D470" s="12">
        <f t="shared" si="58"/>
        <v>2.4088083586417945E-2</v>
      </c>
      <c r="E470" s="12">
        <f t="shared" si="59"/>
        <v>-8.4283942213627006E-2</v>
      </c>
      <c r="F470" s="12">
        <f t="shared" si="60"/>
        <v>-8.408521030120783E-2</v>
      </c>
      <c r="G470" s="12">
        <f t="shared" si="61"/>
        <v>0.90772671893349366</v>
      </c>
      <c r="H470" s="12">
        <f t="shared" si="62"/>
        <v>3.2691629741532828E-2</v>
      </c>
      <c r="I470" s="12">
        <f t="shared" si="63"/>
        <v>0.90368058763003045</v>
      </c>
      <c r="J470" s="12">
        <f t="shared" si="64"/>
        <v>-1.5314327231952932E-2</v>
      </c>
      <c r="M470" s="123">
        <f>IF($Q$1,  C470, -0.2)</f>
        <v>-0.2</v>
      </c>
    </row>
    <row r="471" spans="2:13" x14ac:dyDescent="0.3">
      <c r="B471" s="12">
        <v>0.90883797728843208</v>
      </c>
      <c r="C471" s="12">
        <f t="shared" si="57"/>
        <v>8.4236594057514221E-3</v>
      </c>
      <c r="D471" s="12">
        <f t="shared" si="58"/>
        <v>2.3399301201530522E-2</v>
      </c>
      <c r="E471" s="12">
        <f t="shared" si="59"/>
        <v>-8.4806329548072004E-2</v>
      </c>
      <c r="F471" s="12">
        <f t="shared" si="60"/>
        <v>-8.4603890162782983E-2</v>
      </c>
      <c r="G471" s="12">
        <f t="shared" si="61"/>
        <v>0.91081528835364189</v>
      </c>
      <c r="H471" s="12">
        <f t="shared" si="62"/>
        <v>3.1739266575013525E-2</v>
      </c>
      <c r="I471" s="12">
        <f t="shared" si="63"/>
        <v>0.90686066622322226</v>
      </c>
      <c r="J471" s="12">
        <f t="shared" si="64"/>
        <v>-1.4891947763510681E-2</v>
      </c>
      <c r="M471" s="123">
        <f>IF($Q$1,  C471, -0.2)</f>
        <v>-0.2</v>
      </c>
    </row>
    <row r="472" spans="2:13" x14ac:dyDescent="0.3">
      <c r="B472" s="12">
        <v>0.91197320463721476</v>
      </c>
      <c r="C472" s="12">
        <f t="shared" si="57"/>
        <v>8.1569531444583843E-3</v>
      </c>
      <c r="D472" s="12">
        <f t="shared" si="58"/>
        <v>2.2707795844144219E-2</v>
      </c>
      <c r="E472" s="12">
        <f t="shared" si="59"/>
        <v>-8.5328867439535785E-2</v>
      </c>
      <c r="F472" s="12">
        <f t="shared" si="60"/>
        <v>-8.5122673866422791E-2</v>
      </c>
      <c r="G472" s="12">
        <f t="shared" si="61"/>
        <v>0.91390381946741972</v>
      </c>
      <c r="H472" s="12">
        <f t="shared" si="62"/>
        <v>3.0782529788529273E-2</v>
      </c>
      <c r="I472" s="12">
        <f t="shared" si="63"/>
        <v>0.91004258980700981</v>
      </c>
      <c r="J472" s="12">
        <f t="shared" si="64"/>
        <v>-1.4468623499612504E-2</v>
      </c>
      <c r="M472" s="123">
        <f>IF($Q$1,  C472, -0.2)</f>
        <v>-0.2</v>
      </c>
    </row>
    <row r="473" spans="2:13" x14ac:dyDescent="0.3">
      <c r="B473" s="12">
        <v>0.91510930426053605</v>
      </c>
      <c r="C473" s="12">
        <f t="shared" si="57"/>
        <v>7.8885337220188732E-3</v>
      </c>
      <c r="D473" s="12">
        <f t="shared" si="58"/>
        <v>2.2013560206171626E-2</v>
      </c>
      <c r="E473" s="12">
        <f t="shared" si="59"/>
        <v>-8.5851550710089333E-2</v>
      </c>
      <c r="F473" s="12">
        <f t="shared" si="60"/>
        <v>-8.5641555959318411E-2</v>
      </c>
      <c r="G473" s="12">
        <f t="shared" si="61"/>
        <v>0.9169922760690512</v>
      </c>
      <c r="H473" s="12">
        <f t="shared" si="62"/>
        <v>2.9821414292502089E-2</v>
      </c>
      <c r="I473" s="12">
        <f t="shared" si="63"/>
        <v>0.91322633245202089</v>
      </c>
      <c r="J473" s="12">
        <f t="shared" si="64"/>
        <v>-1.4044346848464341E-2</v>
      </c>
      <c r="M473" s="123">
        <f>IF($Q$1,  C473, -0.2)</f>
        <v>-0.2</v>
      </c>
    </row>
    <row r="474" spans="2:13" x14ac:dyDescent="0.3">
      <c r="B474" s="12">
        <v>0.91824624508217823</v>
      </c>
      <c r="C474" s="12">
        <f t="shared" si="57"/>
        <v>7.6184024548519025E-3</v>
      </c>
      <c r="D474" s="12">
        <f t="shared" si="58"/>
        <v>2.1316586774852559E-2</v>
      </c>
      <c r="E474" s="12">
        <f t="shared" si="59"/>
        <v>-8.6374374180363034E-2</v>
      </c>
      <c r="F474" s="12">
        <f t="shared" si="60"/>
        <v>-8.6160530988732276E-2</v>
      </c>
      <c r="G474" s="12">
        <f t="shared" si="61"/>
        <v>0.92008062192566042</v>
      </c>
      <c r="H474" s="12">
        <f t="shared" si="62"/>
        <v>2.8855914863933983E-2</v>
      </c>
      <c r="I474" s="12">
        <f t="shared" si="63"/>
        <v>0.91641186823869603</v>
      </c>
      <c r="J474" s="12">
        <f t="shared" si="64"/>
        <v>-1.3619109954230178E-2</v>
      </c>
      <c r="M474" s="123">
        <f>IF($Q$1,  C474, -0.2)</f>
        <v>-0.2</v>
      </c>
    </row>
    <row r="475" spans="2:13" x14ac:dyDescent="0.3">
      <c r="B475" s="12">
        <v>0.92138399601758791</v>
      </c>
      <c r="C475" s="12">
        <f t="shared" si="57"/>
        <v>7.3465607247276497E-3</v>
      </c>
      <c r="D475" s="12">
        <f t="shared" si="58"/>
        <v>2.0616867833679119E-2</v>
      </c>
      <c r="E475" s="12">
        <f t="shared" si="59"/>
        <v>-8.6897332669597982E-2</v>
      </c>
      <c r="F475" s="12">
        <f t="shared" si="60"/>
        <v>-8.6679593502078975E-2</v>
      </c>
      <c r="G475" s="12">
        <f t="shared" si="61"/>
        <v>0.92316882077727636</v>
      </c>
      <c r="H475" s="12">
        <f t="shared" si="62"/>
        <v>2.7886026147386431E-2</v>
      </c>
      <c r="I475" s="12">
        <f t="shared" si="63"/>
        <v>0.91959917125789947</v>
      </c>
      <c r="J475" s="12">
        <f t="shared" si="64"/>
        <v>-1.3192904697931133E-2</v>
      </c>
      <c r="M475" s="123">
        <f>IF($Q$1,  C475, -0.2)</f>
        <v>-0.2</v>
      </c>
    </row>
    <row r="476" spans="2:13" x14ac:dyDescent="0.3">
      <c r="B476" s="12">
        <v>0.92452252597418461</v>
      </c>
      <c r="C476" s="12">
        <f t="shared" si="57"/>
        <v>7.0730099788050647E-3</v>
      </c>
      <c r="D476" s="12">
        <f t="shared" si="58"/>
        <v>1.9914395463370496E-2</v>
      </c>
      <c r="E476" s="12">
        <f t="shared" si="59"/>
        <v>-8.7420420995697426E-2</v>
      </c>
      <c r="F476" s="12">
        <f t="shared" si="60"/>
        <v>-8.7198738047006133E-2</v>
      </c>
      <c r="G476" s="12">
        <f t="shared" si="61"/>
        <v>0.92625683633684663</v>
      </c>
      <c r="H476" s="12">
        <f t="shared" si="62"/>
        <v>2.6911742656006862E-2</v>
      </c>
      <c r="I476" s="12">
        <f t="shared" si="63"/>
        <v>0.92278821561152258</v>
      </c>
      <c r="J476" s="12">
        <f t="shared" si="64"/>
        <v>-1.2765722698396731E-2</v>
      </c>
      <c r="M476" s="123">
        <f>IF($Q$1,  C476, -0.2)</f>
        <v>-0.2</v>
      </c>
    </row>
    <row r="477" spans="2:13" x14ac:dyDescent="0.3">
      <c r="B477" s="12">
        <v>0.92766180385166763</v>
      </c>
      <c r="C477" s="12">
        <f t="shared" si="57"/>
        <v>6.797751729667012E-3</v>
      </c>
      <c r="D477" s="12">
        <f t="shared" si="58"/>
        <v>1.920916154289511E-2</v>
      </c>
      <c r="E477" s="12">
        <f t="shared" si="59"/>
        <v>-8.7943633975277935E-2</v>
      </c>
      <c r="F477" s="12">
        <f t="shared" si="60"/>
        <v>-8.7717959171474971E-2</v>
      </c>
      <c r="G477" s="12">
        <f t="shared" si="61"/>
        <v>0.92934463229025588</v>
      </c>
      <c r="H477" s="12">
        <f t="shared" si="62"/>
        <v>2.5933058772599955E-2</v>
      </c>
      <c r="I477" s="12">
        <f t="shared" si="63"/>
        <v>0.92597897541307939</v>
      </c>
      <c r="J477" s="12">
        <f t="shared" si="64"/>
        <v>-1.2337555313265931E-2</v>
      </c>
      <c r="M477" s="123">
        <f>IF($Q$1,  C477, -0.2)</f>
        <v>-0.2</v>
      </c>
    </row>
    <row r="478" spans="2:13" x14ac:dyDescent="0.3">
      <c r="B478" s="12">
        <v>0.93080179854232581</v>
      </c>
      <c r="C478" s="12">
        <f t="shared" si="57"/>
        <v>6.5207875553526806E-3</v>
      </c>
      <c r="D478" s="12">
        <f t="shared" si="58"/>
        <v>1.8501157750543496E-2</v>
      </c>
      <c r="E478" s="12">
        <f t="shared" si="59"/>
        <v>-8.8466966423720955E-2</v>
      </c>
      <c r="F478" s="12">
        <f t="shared" si="60"/>
        <v>-8.823725142384127E-2</v>
      </c>
      <c r="G478" s="12">
        <f t="shared" si="61"/>
        <v>0.93243217229635544</v>
      </c>
      <c r="H478" s="12">
        <f t="shared" si="62"/>
        <v>2.494996875074677E-2</v>
      </c>
      <c r="I478" s="12">
        <f t="shared" si="63"/>
        <v>0.92917142478829617</v>
      </c>
      <c r="J478" s="12">
        <f t="shared" si="64"/>
        <v>-1.1908393640041409E-2</v>
      </c>
      <c r="M478" s="123">
        <f>IF($Q$1,  C478, -0.2)</f>
        <v>-0.2</v>
      </c>
    </row>
    <row r="479" spans="2:13" x14ac:dyDescent="0.3">
      <c r="B479" s="12">
        <v>0.93394247893134419</v>
      </c>
      <c r="C479" s="12">
        <f t="shared" si="57"/>
        <v>6.2421190993875901E-3</v>
      </c>
      <c r="D479" s="12">
        <f t="shared" si="58"/>
        <v>1.779037556504913E-2</v>
      </c>
      <c r="E479" s="12">
        <f t="shared" si="59"/>
        <v>-8.8990413155224019E-2</v>
      </c>
      <c r="F479" s="12">
        <f t="shared" si="60"/>
        <v>-8.8756609352935847E-2</v>
      </c>
      <c r="G479" s="12">
        <f t="shared" si="61"/>
        <v>0.93551941998699795</v>
      </c>
      <c r="H479" s="12">
        <f t="shared" si="62"/>
        <v>2.396246671596923E-2</v>
      </c>
      <c r="I479" s="12">
        <f t="shared" si="63"/>
        <v>0.93236553787569043</v>
      </c>
      <c r="J479" s="12">
        <f t="shared" si="64"/>
        <v>-1.1478228517194052E-2</v>
      </c>
      <c r="M479" s="123">
        <f>IF($Q$1,  C479, -0.2)</f>
        <v>-0.2</v>
      </c>
    </row>
    <row r="480" spans="2:13" x14ac:dyDescent="0.3">
      <c r="B480" s="12">
        <v>0.9370838138971137</v>
      </c>
      <c r="C480" s="12">
        <f t="shared" si="57"/>
        <v>5.9617480708108826E-3</v>
      </c>
      <c r="D480" s="12">
        <f t="shared" si="58"/>
        <v>1.7076806266758206E-2</v>
      </c>
      <c r="E480" s="12">
        <f t="shared" si="59"/>
        <v>-8.9513968982852271E-2</v>
      </c>
      <c r="F480" s="12">
        <f t="shared" si="60"/>
        <v>-8.9276027508145422E-2</v>
      </c>
      <c r="G480" s="12">
        <f t="shared" si="61"/>
        <v>0.93860633896708323</v>
      </c>
      <c r="H480" s="12">
        <f t="shared" si="62"/>
        <v>2.2970546666940671E-2</v>
      </c>
      <c r="I480" s="12">
        <f t="shared" si="63"/>
        <v>0.93556128882714418</v>
      </c>
      <c r="J480" s="12">
        <f t="shared" si="64"/>
        <v>-1.1047050525318904E-2</v>
      </c>
      <c r="M480" s="123">
        <f>IF($Q$1,  C480, -0.2)</f>
        <v>-0.2</v>
      </c>
    </row>
    <row r="481" spans="2:13" x14ac:dyDescent="0.3">
      <c r="B481" s="12">
        <v>0.94022577231153837</v>
      </c>
      <c r="C481" s="12">
        <f t="shared" si="57"/>
        <v>5.6796762442001547E-3</v>
      </c>
      <c r="D481" s="12">
        <f t="shared" si="58"/>
        <v>1.6360440938849065E-2</v>
      </c>
      <c r="E481" s="12">
        <f t="shared" si="59"/>
        <v>-9.0037628718589724E-2</v>
      </c>
      <c r="F481" s="12">
        <f t="shared" si="60"/>
        <v>-8.979550043949297E-2</v>
      </c>
      <c r="G481" s="12">
        <f t="shared" si="61"/>
        <v>0.94169289281460944</v>
      </c>
      <c r="H481" s="12">
        <f t="shared" si="62"/>
        <v>2.197420247674331E-2</v>
      </c>
      <c r="I481" s="12">
        <f t="shared" si="63"/>
        <v>0.93875865180846729</v>
      </c>
      <c r="J481" s="12">
        <f t="shared" si="64"/>
        <v>-1.0614849988343E-2</v>
      </c>
      <c r="M481" s="123">
        <f>IF($Q$1,  C481, -0.2)</f>
        <v>-0.2</v>
      </c>
    </row>
    <row r="482" spans="2:13" x14ac:dyDescent="0.3">
      <c r="B482" s="12">
        <v>0.94336832304034501</v>
      </c>
      <c r="C482" s="12">
        <f t="shared" si="57"/>
        <v>5.3959054596936038E-3</v>
      </c>
      <c r="D482" s="12">
        <f t="shared" si="58"/>
        <v>1.5641270468599602E-2</v>
      </c>
      <c r="E482" s="12">
        <f t="shared" si="59"/>
        <v>-9.0561387173390823E-2</v>
      </c>
      <c r="F482" s="12">
        <f t="shared" si="60"/>
        <v>-9.0315022697718517E-2</v>
      </c>
      <c r="G482" s="12">
        <f t="shared" si="61"/>
        <v>0.94477904508073585</v>
      </c>
      <c r="H482" s="12">
        <f t="shared" si="62"/>
        <v>2.0973427894170834E-2</v>
      </c>
      <c r="I482" s="12">
        <f t="shared" si="63"/>
        <v>0.94195760099995418</v>
      </c>
      <c r="J482" s="12">
        <f t="shared" si="64"/>
        <v>-1.0181616974783626E-2</v>
      </c>
      <c r="M482" s="123">
        <f>IF($Q$1,  C482, -0.2)</f>
        <v>-0.2</v>
      </c>
    </row>
    <row r="483" spans="2:13" x14ac:dyDescent="0.3">
      <c r="B483" s="12">
        <v>0.94651143494339052</v>
      </c>
      <c r="C483" s="12">
        <f t="shared" si="57"/>
        <v>5.1104376230096853E-3</v>
      </c>
      <c r="D483" s="12">
        <f t="shared" si="58"/>
        <v>1.4919285548704184E-2</v>
      </c>
      <c r="E483" s="12">
        <f t="shared" si="59"/>
        <v>-9.108523915723174E-2</v>
      </c>
      <c r="F483" s="12">
        <f t="shared" si="60"/>
        <v>-9.0834588834359437E-2</v>
      </c>
      <c r="G483" s="12">
        <f t="shared" si="61"/>
        <v>0.94786475928985237</v>
      </c>
      <c r="H483" s="12">
        <f t="shared" si="62"/>
        <v>1.9968216545077654E-2</v>
      </c>
      <c r="I483" s="12">
        <f t="shared" si="63"/>
        <v>0.94515811059692867</v>
      </c>
      <c r="J483" s="12">
        <f t="shared" si="64"/>
        <v>-9.7473412990582813E-3</v>
      </c>
      <c r="M483" s="123">
        <f>IF($Q$1,  C483, -0.2)</f>
        <v>-0.2</v>
      </c>
    </row>
    <row r="484" spans="2:13" x14ac:dyDescent="0.3">
      <c r="B484" s="12">
        <v>0.9496550768749713</v>
      </c>
      <c r="C484" s="12">
        <f t="shared" si="57"/>
        <v>4.8232747054641105E-3</v>
      </c>
      <c r="D484" s="12">
        <f t="shared" si="58"/>
        <v>1.4194476678639181E-2</v>
      </c>
      <c r="E484" s="12">
        <f t="shared" si="59"/>
        <v>-9.1609179479161876E-2</v>
      </c>
      <c r="F484" s="12">
        <f t="shared" si="60"/>
        <v>-9.1354193401831027E-2</v>
      </c>
      <c r="G484" s="12">
        <f t="shared" si="61"/>
        <v>0.95094999893965904</v>
      </c>
      <c r="H484" s="12">
        <f t="shared" si="62"/>
        <v>1.8958561933773852E-2</v>
      </c>
      <c r="I484" s="12">
        <f t="shared" si="63"/>
        <v>0.94836015481028357</v>
      </c>
      <c r="J484" s="12">
        <f t="shared" si="64"/>
        <v>-9.3120125228456294E-3</v>
      </c>
      <c r="M484" s="123">
        <f>IF($Q$1,  C484, -0.2)</f>
        <v>-0.2</v>
      </c>
    </row>
    <row r="485" spans="2:13" x14ac:dyDescent="0.3">
      <c r="B485" s="12">
        <v>0.95279921768413134</v>
      </c>
      <c r="C485" s="12">
        <f t="shared" si="57"/>
        <v>4.5344187439843673E-3</v>
      </c>
      <c r="D485" s="12">
        <f t="shared" si="58"/>
        <v>1.3466834166077298E-2</v>
      </c>
      <c r="E485" s="12">
        <f t="shared" si="59"/>
        <v>-9.2133202947355219E-2</v>
      </c>
      <c r="F485" s="12">
        <f t="shared" si="60"/>
        <v>-9.1873830953506749E-2</v>
      </c>
      <c r="G485" s="12">
        <f t="shared" si="61"/>
        <v>0.95403472750125473</v>
      </c>
      <c r="H485" s="12">
        <f t="shared" si="62"/>
        <v>1.7944457444466128E-2</v>
      </c>
      <c r="I485" s="12">
        <f t="shared" si="63"/>
        <v>0.95156370786700795</v>
      </c>
      <c r="J485" s="12">
        <f t="shared" si="64"/>
        <v>-8.8756199564973947E-3</v>
      </c>
      <c r="M485" s="123">
        <f>IF($Q$1,  C485, -0.2)</f>
        <v>-0.2</v>
      </c>
    </row>
    <row r="486" spans="2:13" x14ac:dyDescent="0.3">
      <c r="B486" s="12">
        <v>0.9559438262149712</v>
      </c>
      <c r="C486" s="12">
        <f t="shared" si="57"/>
        <v>4.2438718411214882E-3</v>
      </c>
      <c r="D486" s="12">
        <f t="shared" si="58"/>
        <v>1.2736348128349907E-2</v>
      </c>
      <c r="E486" s="12">
        <f t="shared" si="59"/>
        <v>-9.2657304369161864E-2</v>
      </c>
      <c r="F486" s="12">
        <f t="shared" si="60"/>
        <v>-9.2393496043798609E-2</v>
      </c>
      <c r="G486" s="12">
        <f t="shared" si="61"/>
        <v>0.95711890841923519</v>
      </c>
      <c r="H486" s="12">
        <f t="shared" si="62"/>
        <v>1.6925896342743628E-2</v>
      </c>
      <c r="I486" s="12">
        <f t="shared" si="63"/>
        <v>0.95476874401070722</v>
      </c>
      <c r="J486" s="12">
        <f t="shared" si="64"/>
        <v>-8.4381526605006515E-3</v>
      </c>
      <c r="M486" s="123">
        <f>IF($Q$1,  C486, -0.2)</f>
        <v>-0.2</v>
      </c>
    </row>
    <row r="487" spans="2:13" x14ac:dyDescent="0.3">
      <c r="B487" s="12">
        <v>0.95908887130695719</v>
      </c>
      <c r="C487" s="12">
        <f t="shared" si="57"/>
        <v>3.9516361650593912E-3</v>
      </c>
      <c r="D487" s="12">
        <f t="shared" si="58"/>
        <v>1.2003008493959534E-2</v>
      </c>
      <c r="E487" s="12">
        <f t="shared" si="59"/>
        <v>-9.3181478551159519E-2</v>
      </c>
      <c r="F487" s="12">
        <f t="shared" si="60"/>
        <v>-9.2913183228237523E-2</v>
      </c>
      <c r="G487" s="12">
        <f t="shared" si="61"/>
        <v>0.9602025051118015</v>
      </c>
      <c r="H487" s="12">
        <f t="shared" si="62"/>
        <v>1.5902871777111093E-2</v>
      </c>
      <c r="I487" s="12">
        <f t="shared" si="63"/>
        <v>0.95797523750211289</v>
      </c>
      <c r="J487" s="12">
        <f t="shared" si="64"/>
        <v>-7.9995994469923108E-3</v>
      </c>
      <c r="M487" s="123">
        <f>IF($Q$1,  C487, -0.2)</f>
        <v>-0.2</v>
      </c>
    </row>
    <row r="488" spans="2:13" x14ac:dyDescent="0.3">
      <c r="B488" s="12">
        <v>0.96223432179522894</v>
      </c>
      <c r="C488" s="12">
        <f t="shared" si="57"/>
        <v>3.6577139496215732E-3</v>
      </c>
      <c r="D488" s="12">
        <f t="shared" si="58"/>
        <v>1.1266805004138869E-2</v>
      </c>
      <c r="E488" s="12">
        <f t="shared" si="59"/>
        <v>-9.370572029920482E-2</v>
      </c>
      <c r="F488" s="12">
        <f t="shared" si="60"/>
        <v>-9.3432887063553238E-2</v>
      </c>
      <c r="G488" s="12">
        <f t="shared" si="61"/>
        <v>0.96328548097087618</v>
      </c>
      <c r="H488" s="12">
        <f t="shared" si="62"/>
        <v>1.4875376780565518E-2</v>
      </c>
      <c r="I488" s="12">
        <f t="shared" si="63"/>
        <v>0.9611831626195817</v>
      </c>
      <c r="J488" s="12">
        <f t="shared" si="64"/>
        <v>-7.5599488813223722E-3</v>
      </c>
      <c r="M488" s="123">
        <f>IF($Q$1,  C488, -0.2)</f>
        <v>-0.2</v>
      </c>
    </row>
    <row r="489" spans="2:13" x14ac:dyDescent="0.3">
      <c r="B489" s="12">
        <v>0.96538014651090975</v>
      </c>
      <c r="C489" s="12">
        <f t="shared" si="57"/>
        <v>3.3621074942751794E-3</v>
      </c>
      <c r="D489" s="12">
        <f t="shared" si="58"/>
        <v>1.0527727214459841E-2</v>
      </c>
      <c r="E489" s="12">
        <f t="shared" si="59"/>
        <v>-9.4230024418484951E-2</v>
      </c>
      <c r="F489" s="12">
        <f t="shared" si="60"/>
        <v>-9.3952602107754676E-2</v>
      </c>
      <c r="G489" s="12">
        <f t="shared" si="61"/>
        <v>0.96636779936223283</v>
      </c>
      <c r="H489" s="12">
        <f t="shared" si="62"/>
        <v>1.3843404272219773E-2</v>
      </c>
      <c r="I489" s="12">
        <f t="shared" si="63"/>
        <v>0.96439249365958668</v>
      </c>
      <c r="J489" s="12">
        <f t="shared" si="64"/>
        <v>-7.1191892836694141E-3</v>
      </c>
      <c r="M489" s="123">
        <f>IF($Q$1,  C489, -0.2)</f>
        <v>-0.2</v>
      </c>
    </row>
    <row r="490" spans="2:13" x14ac:dyDescent="0.3">
      <c r="B490" s="12">
        <v>0.96852631428141356</v>
      </c>
      <c r="C490" s="12">
        <f t="shared" si="57"/>
        <v>3.0648191641326206E-3</v>
      </c>
      <c r="D490" s="12">
        <f t="shared" si="58"/>
        <v>9.7857644964903269E-3</v>
      </c>
      <c r="E490" s="12">
        <f t="shared" si="59"/>
        <v>-9.4754385713568923E-2</v>
      </c>
      <c r="F490" s="12">
        <f t="shared" si="60"/>
        <v>-9.4472322920209684E-2</v>
      </c>
      <c r="G490" s="12">
        <f t="shared" si="61"/>
        <v>0.96944942362563202</v>
      </c>
      <c r="H490" s="12">
        <f t="shared" si="62"/>
        <v>1.2806947058970956E-2</v>
      </c>
      <c r="I490" s="12">
        <f t="shared" si="63"/>
        <v>0.96760320493719509</v>
      </c>
      <c r="J490" s="12">
        <f t="shared" si="64"/>
        <v>-6.6773087307057145E-3</v>
      </c>
      <c r="M490" s="123">
        <f>IF($Q$1,  C490, -0.2)</f>
        <v>-0.2</v>
      </c>
    </row>
    <row r="491" spans="2:13" x14ac:dyDescent="0.3">
      <c r="B491" s="12">
        <v>0.9716727939307559</v>
      </c>
      <c r="C491" s="12">
        <f t="shared" si="57"/>
        <v>2.7658513899502892E-3</v>
      </c>
      <c r="D491" s="12">
        <f t="shared" si="58"/>
        <v>9.0409060394987147E-3</v>
      </c>
      <c r="E491" s="12">
        <f t="shared" si="59"/>
        <v>-9.5278798988459312E-2</v>
      </c>
      <c r="F491" s="12">
        <f t="shared" si="60"/>
        <v>-9.4992044061725248E-2</v>
      </c>
      <c r="G491" s="12">
        <f t="shared" si="61"/>
        <v>0.9725303170749714</v>
      </c>
      <c r="H491" s="12">
        <f t="shared" si="62"/>
        <v>1.1765997837213198E-2</v>
      </c>
      <c r="I491" s="12">
        <f t="shared" si="63"/>
        <v>0.9708152707865404</v>
      </c>
      <c r="J491" s="12">
        <f t="shared" si="64"/>
        <v>-6.2342950573126207E-3</v>
      </c>
      <c r="M491" s="123">
        <f>IF($Q$1,  C491, -0.2)</f>
        <v>-0.2</v>
      </c>
    </row>
    <row r="492" spans="2:13" x14ac:dyDescent="0.3">
      <c r="B492" s="12">
        <v>0.97481955427986144</v>
      </c>
      <c r="C492" s="12">
        <f t="shared" si="57"/>
        <v>2.4652066681251266E-3</v>
      </c>
      <c r="D492" s="12">
        <f t="shared" si="58"/>
        <v>8.2931408522074705E-3</v>
      </c>
      <c r="E492" s="12">
        <f t="shared" si="59"/>
        <v>-9.5803259046643566E-2</v>
      </c>
      <c r="F492" s="12">
        <f t="shared" si="60"/>
        <v>-9.5511760094627182E-2</v>
      </c>
      <c r="G492" s="12">
        <f t="shared" si="61"/>
        <v>0.97561044299844379</v>
      </c>
      <c r="H492" s="12">
        <f t="shared" si="62"/>
        <v>1.0720549194596796E-2</v>
      </c>
      <c r="I492" s="12">
        <f t="shared" si="63"/>
        <v>0.97402866556127909</v>
      </c>
      <c r="J492" s="12">
        <f t="shared" si="64"/>
        <v>-5.7901358583465424E-3</v>
      </c>
      <c r="M492" s="123">
        <f>IF($Q$1,  C492, -0.2)</f>
        <v>-0.2</v>
      </c>
    </row>
    <row r="493" spans="2:13" x14ac:dyDescent="0.3">
      <c r="B493" s="12">
        <v>0.977966564146873</v>
      </c>
      <c r="C493" s="12">
        <f t="shared" si="57"/>
        <v>2.1628875606882108E-3</v>
      </c>
      <c r="D493" s="12">
        <f t="shared" si="58"/>
        <v>7.542457764593659E-3</v>
      </c>
      <c r="E493" s="12">
        <f t="shared" si="59"/>
        <v>-9.6327760691145486E-2</v>
      </c>
      <c r="F493" s="12">
        <f t="shared" si="60"/>
        <v>-9.603146558283987E-2</v>
      </c>
      <c r="G493" s="12">
        <f t="shared" si="61"/>
        <v>0.97868976465870694</v>
      </c>
      <c r="H493" s="12">
        <f t="shared" si="62"/>
        <v>9.6705936118307509E-3</v>
      </c>
      <c r="I493" s="12">
        <f t="shared" si="63"/>
        <v>0.97724336363503905</v>
      </c>
      <c r="J493" s="12">
        <f t="shared" si="64"/>
        <v>-5.3448184904543302E-3</v>
      </c>
      <c r="M493" s="123">
        <f>IF($Q$1,  C493, -0.2)</f>
        <v>-0.2</v>
      </c>
    </row>
    <row r="494" spans="2:13" x14ac:dyDescent="0.3">
      <c r="B494" s="12">
        <v>0.98111379234746177</v>
      </c>
      <c r="C494" s="12">
        <f t="shared" si="57"/>
        <v>1.8588966952959214E-3</v>
      </c>
      <c r="D494" s="12">
        <f t="shared" si="58"/>
        <v>6.7888454297380741E-3</v>
      </c>
      <c r="E494" s="12">
        <f t="shared" si="59"/>
        <v>-9.6852298724576957E-2</v>
      </c>
      <c r="F494" s="12">
        <f t="shared" si="60"/>
        <v>-9.6551155091966184E-2</v>
      </c>
      <c r="G494" s="12">
        <f t="shared" si="61"/>
        <v>0.98176824529306539</v>
      </c>
      <c r="H494" s="12">
        <f t="shared" si="62"/>
        <v>8.6161234645309327E-3</v>
      </c>
      <c r="I494" s="12">
        <f t="shared" si="63"/>
        <v>0.98045933940185814</v>
      </c>
      <c r="J494" s="12">
        <f t="shared" si="64"/>
        <v>-4.8983300739390903E-3</v>
      </c>
      <c r="M494" s="123">
        <f>IF($Q$1,  C494, -0.2)</f>
        <v>-0.2</v>
      </c>
    </row>
    <row r="495" spans="2:13" x14ac:dyDescent="0.3">
      <c r="B495" s="12">
        <v>0.98426120769513414</v>
      </c>
      <c r="C495" s="12">
        <f t="shared" si="57"/>
        <v>1.5532367652186054E-3</v>
      </c>
      <c r="D495" s="12">
        <f t="shared" si="58"/>
        <v>6.0322923257218877E-3</v>
      </c>
      <c r="E495" s="12">
        <f t="shared" si="59"/>
        <v>-9.7376867949189011E-2</v>
      </c>
      <c r="F495" s="12">
        <f t="shared" si="60"/>
        <v>-9.7070823189366592E-2</v>
      </c>
      <c r="G495" s="12">
        <f t="shared" si="61"/>
        <v>0.98484584811366072</v>
      </c>
      <c r="H495" s="12">
        <f t="shared" si="62"/>
        <v>7.557131025112615E-3</v>
      </c>
      <c r="I495" s="12">
        <f t="shared" si="63"/>
        <v>0.98367656727660757</v>
      </c>
      <c r="J495" s="12">
        <f t="shared" si="64"/>
        <v>-4.4506574946754033E-3</v>
      </c>
      <c r="M495" s="123">
        <f>IF($Q$1,  C495, -0.2)</f>
        <v>-0.2</v>
      </c>
    </row>
    <row r="496" spans="2:13" x14ac:dyDescent="0.3">
      <c r="B496" s="12">
        <v>0.98740877900154345</v>
      </c>
      <c r="C496" s="12">
        <f t="shared" si="57"/>
        <v>1.2459105293263217E-3</v>
      </c>
      <c r="D496" s="12">
        <f t="shared" si="58"/>
        <v>5.27278675756999E-3</v>
      </c>
      <c r="E496" s="12">
        <f t="shared" si="59"/>
        <v>-9.7901463166923899E-2</v>
      </c>
      <c r="F496" s="12">
        <f t="shared" si="60"/>
        <v>-9.7590464444239258E-2</v>
      </c>
      <c r="G496" s="12">
        <f t="shared" si="61"/>
        <v>0.98792253630767712</v>
      </c>
      <c r="H496" s="12">
        <f t="shared" si="62"/>
        <v>6.4936084647261583E-3</v>
      </c>
      <c r="I496" s="12">
        <f t="shared" si="63"/>
        <v>0.98689502169540977</v>
      </c>
      <c r="J496" s="12">
        <f t="shared" si="64"/>
        <v>-4.0017874060735148E-3</v>
      </c>
      <c r="M496" s="123">
        <f>IF($Q$1,  C496, -0.2)</f>
        <v>-0.2</v>
      </c>
    </row>
    <row r="497" spans="2:13" x14ac:dyDescent="0.3">
      <c r="B497" s="12">
        <v>0.99055647507679634</v>
      </c>
      <c r="C497" s="12">
        <f t="shared" si="57"/>
        <v>9.369208120724355E-4</v>
      </c>
      <c r="D497" s="12">
        <f t="shared" si="58"/>
        <v>4.5103168592435005E-3</v>
      </c>
      <c r="E497" s="12">
        <f t="shared" si="59"/>
        <v>-9.8426079179466053E-2</v>
      </c>
      <c r="F497" s="12">
        <f t="shared" si="60"/>
        <v>-9.8110073427698799E-2</v>
      </c>
      <c r="G497" s="12">
        <f t="shared" si="61"/>
        <v>0.99099827303755417</v>
      </c>
      <c r="H497" s="12">
        <f t="shared" si="62"/>
        <v>5.4255478552390204E-3</v>
      </c>
      <c r="I497" s="12">
        <f t="shared" si="63"/>
        <v>0.99011467711603851</v>
      </c>
      <c r="J497" s="12">
        <f t="shared" si="64"/>
        <v>-3.5517062310941499E-3</v>
      </c>
      <c r="M497" s="123">
        <f>IF($Q$1,  C497, -0.2)</f>
        <v>-0.2</v>
      </c>
    </row>
    <row r="498" spans="2:13" x14ac:dyDescent="0.3">
      <c r="B498" s="12">
        <v>0.99370426472976414</v>
      </c>
      <c r="C498" s="12">
        <f t="shared" si="57"/>
        <v>6.2627050347418179E-4</v>
      </c>
      <c r="D498" s="12">
        <f t="shared" si="58"/>
        <v>3.7448705956775359E-3</v>
      </c>
      <c r="E498" s="12">
        <f t="shared" si="59"/>
        <v>-9.8950710788294011E-2</v>
      </c>
      <c r="F498" s="12">
        <f t="shared" si="60"/>
        <v>-9.8629644712856096E-2</v>
      </c>
      <c r="G498" s="12">
        <f t="shared" si="61"/>
        <v>0.99407302144121534</v>
      </c>
      <c r="H498" s="12">
        <f t="shared" si="62"/>
        <v>4.3529411712592897E-3</v>
      </c>
      <c r="I498" s="12">
        <f t="shared" si="63"/>
        <v>0.99333550801831294</v>
      </c>
      <c r="J498" s="12">
        <f t="shared" si="64"/>
        <v>-3.1004001643109257E-3</v>
      </c>
      <c r="M498" s="123">
        <f>IF($Q$1,  C498, -0.2)</f>
        <v>-0.2</v>
      </c>
    </row>
    <row r="499" spans="2:13" x14ac:dyDescent="0.3">
      <c r="B499" s="12">
        <v>0.99685211676839014</v>
      </c>
      <c r="C499" s="12">
        <f t="shared" si="57"/>
        <v>3.139625590910059E-4</v>
      </c>
      <c r="D499" s="12">
        <f t="shared" si="58"/>
        <v>2.9764357648671275E-3</v>
      </c>
      <c r="E499" s="12">
        <f t="shared" si="59"/>
        <v>-9.9475352794731686E-2</v>
      </c>
      <c r="F499" s="12">
        <f t="shared" si="60"/>
        <v>-9.9149172874897079E-2</v>
      </c>
      <c r="G499" s="12">
        <f t="shared" si="61"/>
        <v>0.99714674463230524</v>
      </c>
      <c r="H499" s="12">
        <f t="shared" si="62"/>
        <v>3.275780292204399E-3</v>
      </c>
      <c r="I499" s="12">
        <f t="shared" si="63"/>
        <v>0.99655748890447504</v>
      </c>
      <c r="J499" s="12">
        <f t="shared" si="64"/>
        <v>-2.6478551740223874E-3</v>
      </c>
      <c r="M499" s="123">
        <f>IF($Q$1,  C499, -0.2)</f>
        <v>-0.2</v>
      </c>
    </row>
    <row r="500" spans="2:13" x14ac:dyDescent="0.3">
      <c r="B500" s="12">
        <v>0.99999999999999989</v>
      </c>
      <c r="C500" s="12">
        <f t="shared" si="57"/>
        <v>9.2518585385429707E-18</v>
      </c>
      <c r="D500" s="12">
        <f t="shared" si="58"/>
        <v>2.2049999999999756E-3</v>
      </c>
      <c r="E500" s="12">
        <f t="shared" si="59"/>
        <v>-9.9999999999999978E-2</v>
      </c>
      <c r="F500" s="12">
        <f t="shared" si="60"/>
        <v>-9.966865249116201E-2</v>
      </c>
      <c r="G500" s="12">
        <f t="shared" si="61"/>
        <v>1.0002194057004412</v>
      </c>
      <c r="H500" s="12">
        <f t="shared" si="62"/>
        <v>2.1940570044130109E-3</v>
      </c>
      <c r="I500" s="12">
        <f t="shared" si="63"/>
        <v>0.99978059429955857</v>
      </c>
      <c r="J500" s="12">
        <f t="shared" si="64"/>
        <v>-2.1940570044129927E-3</v>
      </c>
      <c r="M500" s="123">
        <f>IF($Q$1,  C500, -0.2)</f>
        <v>-0.2</v>
      </c>
    </row>
  </sheetData>
  <sheetProtection algorithmName="SHA-512" hashValue="QrS2Jz4O/hT6s0DF6nuEL3uxhDaOORieSd5Oo9+J7Fi/e5msWpz1RonYwio6NKq/hWE7isqaK84ReCn0CLYR5A==" saltValue="+ma+7bcsJbWNZwov0dgboA==" spinCount="100000" sheet="1" objects="1" scenarios="1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3116-A4E7-4334-BDF0-B86B1258A737}">
  <sheetPr codeName="Sheet2">
    <pageSetUpPr autoPageBreaks="0" fitToPage="1"/>
  </sheetPr>
  <dimension ref="A1:Q52"/>
  <sheetViews>
    <sheetView showGridLines="0" showRowColHeaders="0" tabSelected="1" showWhiteSpace="0" zoomScale="130" zoomScaleNormal="130" zoomScaleSheetLayoutView="130" workbookViewId="0"/>
  </sheetViews>
  <sheetFormatPr defaultRowHeight="14.4" x14ac:dyDescent="0.3"/>
  <cols>
    <col min="1" max="1" width="7" customWidth="1"/>
    <col min="2" max="2" width="8.33203125" customWidth="1"/>
    <col min="3" max="3" width="18" customWidth="1"/>
    <col min="4" max="4" width="5.5546875" style="3" customWidth="1"/>
    <col min="5" max="5" width="19.33203125" customWidth="1"/>
    <col min="6" max="6" width="18" style="5" customWidth="1"/>
    <col min="7" max="7" width="7" style="5" customWidth="1"/>
    <col min="8" max="8" width="19.88671875" style="5" customWidth="1"/>
    <col min="9" max="9" width="18.77734375" style="5" customWidth="1"/>
    <col min="10" max="10" width="5.6640625" style="5" customWidth="1"/>
    <col min="11" max="11" width="24.77734375" style="5" customWidth="1"/>
    <col min="12" max="12" width="11.88671875" style="5" customWidth="1"/>
    <col min="17" max="17" width="8.88671875" style="2"/>
  </cols>
  <sheetData>
    <row r="1" spans="1:17" s="9" customFormat="1" ht="19.8" customHeight="1" x14ac:dyDescent="0.3">
      <c r="A1" s="131" t="s">
        <v>16</v>
      </c>
      <c r="B1" s="41"/>
      <c r="C1" s="84"/>
      <c r="D1" s="41"/>
      <c r="E1" s="152" t="s">
        <v>1</v>
      </c>
      <c r="F1" s="153">
        <f>Data1!O1*1000+Data1!O2*100+Data1!O3</f>
        <v>3421</v>
      </c>
      <c r="G1" s="59"/>
      <c r="H1" s="60"/>
      <c r="I1" s="60"/>
      <c r="K1" s="87"/>
      <c r="O1" s="10"/>
    </row>
    <row r="2" spans="1:17" ht="28.2" customHeight="1" x14ac:dyDescent="0.3">
      <c r="B2" s="83"/>
      <c r="C2" s="85"/>
      <c r="D2" s="43"/>
      <c r="E2" s="111" t="s">
        <v>2</v>
      </c>
      <c r="F2" s="112">
        <f>IF(Data1!$P$1=1, "-", Data1!A1)</f>
        <v>0.03</v>
      </c>
      <c r="G2" s="61"/>
      <c r="H2" s="63" t="s">
        <v>0</v>
      </c>
      <c r="I2" s="64">
        <f xml:space="preserve"> Data1!R2</f>
        <v>4.8592472512499985E-2</v>
      </c>
      <c r="J2" s="88"/>
      <c r="K2" s="89"/>
      <c r="L2"/>
      <c r="O2" s="1"/>
      <c r="Q2"/>
    </row>
    <row r="3" spans="1:17" s="8" customFormat="1" ht="27" customHeight="1" x14ac:dyDescent="0.3">
      <c r="B3" s="82"/>
      <c r="C3" s="86"/>
      <c r="D3" s="44"/>
      <c r="E3" s="113" t="s">
        <v>3</v>
      </c>
      <c r="F3" s="114">
        <f>IF(Data1!$P$1=1, "-", Data1!A2)</f>
        <v>0.4</v>
      </c>
      <c r="G3" s="62"/>
      <c r="H3" s="65" t="s">
        <v>12</v>
      </c>
      <c r="I3" s="145">
        <f>DEGREES(2*ATAN(1.16925*F4))</f>
        <v>27.591239725287647</v>
      </c>
      <c r="J3" s="90"/>
      <c r="K3" s="156"/>
      <c r="O3" s="7"/>
    </row>
    <row r="4" spans="1:17" ht="27" customHeight="1" x14ac:dyDescent="0.3">
      <c r="B4" s="42"/>
      <c r="C4" s="42"/>
      <c r="D4" s="45"/>
      <c r="E4" s="115" t="s">
        <v>9</v>
      </c>
      <c r="F4" s="116">
        <f>Data1!A3</f>
        <v>0.21</v>
      </c>
      <c r="G4" s="119"/>
      <c r="H4" s="120"/>
      <c r="I4" s="120"/>
      <c r="J4" s="155"/>
      <c r="K4" s="155"/>
      <c r="L4" s="42"/>
      <c r="O4" s="2"/>
      <c r="Q4"/>
    </row>
    <row r="5" spans="1:17" ht="13.2" customHeight="1" x14ac:dyDescent="0.3">
      <c r="B5" s="42"/>
      <c r="C5" s="42"/>
      <c r="D5" s="42"/>
      <c r="E5" s="49"/>
      <c r="F5" s="50"/>
      <c r="G5"/>
      <c r="H5"/>
      <c r="I5"/>
      <c r="J5"/>
      <c r="K5" s="42"/>
      <c r="L5" s="42"/>
      <c r="O5" s="2"/>
      <c r="Q5"/>
    </row>
    <row r="6" spans="1:17" x14ac:dyDescent="0.3">
      <c r="B6" s="42"/>
      <c r="C6" s="42"/>
      <c r="D6" s="43"/>
      <c r="G6"/>
      <c r="H6"/>
      <c r="I6"/>
      <c r="J6"/>
      <c r="K6" s="42"/>
      <c r="L6" s="42"/>
    </row>
    <row r="7" spans="1:17" ht="14.4" customHeight="1" x14ac:dyDescent="0.5">
      <c r="B7" s="42"/>
      <c r="C7" s="42"/>
      <c r="D7" s="42"/>
      <c r="E7" s="2"/>
      <c r="F7"/>
      <c r="G7"/>
      <c r="H7"/>
      <c r="I7"/>
      <c r="J7"/>
      <c r="K7" s="42"/>
      <c r="L7" s="42"/>
      <c r="P7" s="6"/>
    </row>
    <row r="8" spans="1:17" x14ac:dyDescent="0.3">
      <c r="B8" s="42"/>
      <c r="C8" s="42"/>
      <c r="D8" s="42"/>
      <c r="E8" s="2"/>
      <c r="F8"/>
      <c r="G8"/>
      <c r="H8"/>
      <c r="I8"/>
      <c r="J8"/>
      <c r="K8" s="42"/>
      <c r="L8" s="42"/>
    </row>
    <row r="9" spans="1:17" x14ac:dyDescent="0.3">
      <c r="B9" s="42"/>
      <c r="C9" s="42"/>
      <c r="D9" s="42"/>
      <c r="E9" s="2"/>
      <c r="F9"/>
      <c r="G9"/>
      <c r="H9"/>
      <c r="I9"/>
      <c r="J9"/>
      <c r="K9" s="42"/>
      <c r="L9" s="42"/>
    </row>
    <row r="10" spans="1:17" x14ac:dyDescent="0.3">
      <c r="B10" s="42"/>
      <c r="C10" s="42"/>
      <c r="D10" s="42"/>
      <c r="E10" s="2"/>
      <c r="F10"/>
      <c r="G10"/>
      <c r="H10"/>
      <c r="I10"/>
      <c r="J10"/>
      <c r="K10" s="42"/>
      <c r="L10" s="42"/>
    </row>
    <row r="11" spans="1:17" x14ac:dyDescent="0.3">
      <c r="B11" s="42"/>
      <c r="C11" s="42"/>
      <c r="D11" s="42"/>
      <c r="E11" s="2"/>
      <c r="F11"/>
      <c r="G11"/>
      <c r="H11"/>
      <c r="I11"/>
      <c r="J11"/>
      <c r="K11" s="42"/>
      <c r="L11" s="42"/>
    </row>
    <row r="12" spans="1:17" x14ac:dyDescent="0.3">
      <c r="B12" s="42"/>
      <c r="C12" s="42"/>
      <c r="D12" s="42"/>
      <c r="E12" s="2"/>
      <c r="F12"/>
      <c r="G12"/>
      <c r="H12"/>
      <c r="I12"/>
      <c r="J12"/>
      <c r="K12" s="42"/>
      <c r="L12" s="42"/>
    </row>
    <row r="13" spans="1:17" x14ac:dyDescent="0.3">
      <c r="B13" s="42"/>
      <c r="C13" s="42"/>
      <c r="D13" s="42"/>
      <c r="E13" s="2"/>
      <c r="F13"/>
      <c r="G13"/>
      <c r="H13"/>
      <c r="I13"/>
      <c r="J13"/>
      <c r="K13" s="42"/>
      <c r="L13" s="42"/>
    </row>
    <row r="14" spans="1:17" ht="17.399999999999999" customHeight="1" x14ac:dyDescent="0.3">
      <c r="B14" s="42"/>
      <c r="C14" s="42"/>
      <c r="D14" s="42"/>
      <c r="E14" s="7"/>
      <c r="F14"/>
      <c r="G14"/>
      <c r="H14"/>
      <c r="I14"/>
      <c r="J14"/>
      <c r="K14" s="42"/>
      <c r="L14" s="42"/>
    </row>
    <row r="15" spans="1:17" x14ac:dyDescent="0.3">
      <c r="B15" s="42"/>
      <c r="C15" s="42"/>
      <c r="D15" s="42"/>
      <c r="E15" s="2"/>
      <c r="F15"/>
      <c r="G15"/>
      <c r="H15"/>
      <c r="I15"/>
      <c r="J15"/>
      <c r="K15" s="42"/>
      <c r="L15" s="42"/>
    </row>
    <row r="16" spans="1:17" x14ac:dyDescent="0.3">
      <c r="B16" s="42"/>
      <c r="C16" s="42"/>
      <c r="D16" s="42"/>
      <c r="E16" s="2"/>
      <c r="F16"/>
      <c r="G16"/>
      <c r="H16"/>
      <c r="I16"/>
      <c r="J16"/>
      <c r="K16" s="42"/>
      <c r="L16" s="42"/>
    </row>
    <row r="17" spans="2:17" x14ac:dyDescent="0.3">
      <c r="B17" s="42"/>
      <c r="C17" s="42"/>
      <c r="D17" s="42"/>
      <c r="E17" s="2"/>
      <c r="F17"/>
      <c r="G17"/>
      <c r="H17"/>
      <c r="I17"/>
      <c r="J17"/>
      <c r="K17" s="42"/>
      <c r="L17" s="42"/>
    </row>
    <row r="18" spans="2:17" x14ac:dyDescent="0.3">
      <c r="B18" s="42"/>
      <c r="C18" s="42"/>
      <c r="D18" s="42"/>
      <c r="E18" s="2"/>
      <c r="F18"/>
      <c r="G18"/>
      <c r="H18"/>
      <c r="I18"/>
      <c r="J18"/>
      <c r="K18" s="42"/>
      <c r="L18" s="42"/>
    </row>
    <row r="19" spans="2:17" x14ac:dyDescent="0.3">
      <c r="B19" s="42"/>
      <c r="C19" s="42"/>
      <c r="D19" s="42"/>
      <c r="E19" s="2"/>
      <c r="F19"/>
      <c r="G19"/>
      <c r="H19"/>
      <c r="I19"/>
      <c r="J19"/>
      <c r="K19" s="42"/>
      <c r="L19" s="42"/>
    </row>
    <row r="20" spans="2:17" x14ac:dyDescent="0.3">
      <c r="B20" s="42"/>
      <c r="C20" s="42"/>
      <c r="D20" s="42"/>
      <c r="E20" s="2"/>
      <c r="F20"/>
      <c r="G20"/>
      <c r="H20"/>
      <c r="I20"/>
      <c r="J20"/>
      <c r="K20" s="42"/>
      <c r="L20" s="42"/>
    </row>
    <row r="21" spans="2:17" x14ac:dyDescent="0.3">
      <c r="B21" s="42"/>
      <c r="C21" s="42"/>
      <c r="D21" s="42"/>
      <c r="E21" s="2"/>
      <c r="F21"/>
      <c r="G21"/>
      <c r="H21"/>
      <c r="I21"/>
      <c r="J21"/>
      <c r="K21" s="42"/>
      <c r="L21" s="42"/>
    </row>
    <row r="22" spans="2:17" ht="14.4" customHeight="1" x14ac:dyDescent="0.3">
      <c r="B22" s="42"/>
      <c r="C22" s="42"/>
      <c r="D22" s="43"/>
      <c r="F22"/>
      <c r="G22"/>
      <c r="H22"/>
      <c r="I22"/>
      <c r="J22"/>
      <c r="K22" s="46"/>
      <c r="L22" s="42"/>
    </row>
    <row r="23" spans="2:17" ht="11.4" customHeight="1" x14ac:dyDescent="0.3">
      <c r="B23" s="46"/>
      <c r="C23" s="46"/>
      <c r="D23" s="47"/>
      <c r="E23" s="51"/>
      <c r="F23" s="51"/>
      <c r="G23" s="51"/>
      <c r="I23" s="51"/>
      <c r="J23"/>
      <c r="K23" s="42"/>
      <c r="L23" s="42"/>
      <c r="N23" s="2"/>
      <c r="Q23"/>
    </row>
    <row r="24" spans="2:17" x14ac:dyDescent="0.3">
      <c r="B24" s="48"/>
      <c r="C24" s="48"/>
      <c r="D24" s="43"/>
      <c r="G24"/>
      <c r="H24"/>
      <c r="I24"/>
      <c r="J24"/>
      <c r="K24" s="46"/>
      <c r="L24" s="42"/>
    </row>
    <row r="25" spans="2:17" x14ac:dyDescent="0.3">
      <c r="B25" s="42"/>
      <c r="C25" s="42"/>
      <c r="D25" s="42"/>
      <c r="F25"/>
      <c r="G25"/>
      <c r="H25"/>
      <c r="I25"/>
      <c r="J25"/>
      <c r="K25" s="42"/>
      <c r="L25" s="42"/>
    </row>
    <row r="26" spans="2:17" x14ac:dyDescent="0.3">
      <c r="D26"/>
      <c r="F26"/>
      <c r="G26"/>
      <c r="H26"/>
      <c r="I26"/>
      <c r="J26"/>
      <c r="K26" s="46"/>
      <c r="L26" s="42"/>
    </row>
    <row r="27" spans="2:17" x14ac:dyDescent="0.3">
      <c r="D27"/>
      <c r="F27"/>
      <c r="G27"/>
      <c r="H27"/>
      <c r="I27"/>
      <c r="J27"/>
      <c r="K27" s="46"/>
      <c r="L27" s="42"/>
    </row>
    <row r="28" spans="2:17" x14ac:dyDescent="0.3">
      <c r="D28"/>
      <c r="F28"/>
      <c r="G28"/>
      <c r="H28"/>
      <c r="I28"/>
      <c r="J28"/>
      <c r="K28"/>
      <c r="L28"/>
    </row>
    <row r="29" spans="2:17" x14ac:dyDescent="0.3">
      <c r="E29" s="3"/>
      <c r="F29"/>
      <c r="G29"/>
      <c r="H29"/>
      <c r="I29"/>
      <c r="J29"/>
      <c r="K29"/>
      <c r="L29"/>
    </row>
    <row r="30" spans="2:17" x14ac:dyDescent="0.3">
      <c r="E30" s="3"/>
      <c r="F30"/>
      <c r="G30"/>
      <c r="H30"/>
      <c r="I30"/>
      <c r="J30"/>
      <c r="K30"/>
      <c r="L30"/>
    </row>
    <row r="31" spans="2:17" x14ac:dyDescent="0.3">
      <c r="E31" s="3"/>
      <c r="F31"/>
      <c r="G31"/>
      <c r="H31"/>
      <c r="I31"/>
      <c r="J31"/>
      <c r="K31"/>
      <c r="L31"/>
    </row>
    <row r="32" spans="2:17" x14ac:dyDescent="0.3">
      <c r="E32" s="3"/>
      <c r="F32"/>
      <c r="G32"/>
      <c r="H32"/>
      <c r="I32"/>
      <c r="J32"/>
      <c r="K32"/>
      <c r="L32"/>
    </row>
    <row r="33" spans="5:6" x14ac:dyDescent="0.3">
      <c r="E33" s="3"/>
      <c r="F33" s="4"/>
    </row>
    <row r="34" spans="5:6" x14ac:dyDescent="0.3">
      <c r="E34" s="3"/>
      <c r="F34" s="4"/>
    </row>
    <row r="35" spans="5:6" x14ac:dyDescent="0.3">
      <c r="E35" s="3"/>
      <c r="F35" s="4"/>
    </row>
    <row r="36" spans="5:6" x14ac:dyDescent="0.3">
      <c r="E36" s="3"/>
      <c r="F36" s="4"/>
    </row>
    <row r="37" spans="5:6" x14ac:dyDescent="0.3">
      <c r="E37" s="3"/>
      <c r="F37" s="4"/>
    </row>
    <row r="38" spans="5:6" x14ac:dyDescent="0.3">
      <c r="E38" s="3"/>
      <c r="F38" s="4"/>
    </row>
    <row r="39" spans="5:6" x14ac:dyDescent="0.3">
      <c r="E39" s="3"/>
      <c r="F39" s="4"/>
    </row>
    <row r="40" spans="5:6" x14ac:dyDescent="0.3">
      <c r="E40" s="3"/>
      <c r="F40" s="4"/>
    </row>
    <row r="41" spans="5:6" x14ac:dyDescent="0.3">
      <c r="E41" s="3"/>
      <c r="F41" s="4"/>
    </row>
    <row r="42" spans="5:6" x14ac:dyDescent="0.3">
      <c r="E42" s="3"/>
      <c r="F42" s="4"/>
    </row>
    <row r="43" spans="5:6" x14ac:dyDescent="0.3">
      <c r="E43" s="3"/>
      <c r="F43" s="4"/>
    </row>
    <row r="44" spans="5:6" x14ac:dyDescent="0.3">
      <c r="E44" s="3"/>
      <c r="F44" s="4"/>
    </row>
    <row r="45" spans="5:6" x14ac:dyDescent="0.3">
      <c r="E45" s="3"/>
      <c r="F45" s="4"/>
    </row>
    <row r="46" spans="5:6" x14ac:dyDescent="0.3">
      <c r="E46" s="3"/>
      <c r="F46" s="4"/>
    </row>
    <row r="47" spans="5:6" x14ac:dyDescent="0.3">
      <c r="E47" s="3"/>
      <c r="F47" s="4"/>
    </row>
    <row r="48" spans="5:6" x14ac:dyDescent="0.3">
      <c r="E48" s="3"/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</sheetData>
  <sheetProtection algorithmName="SHA-512" hashValue="hXxxZjx2DOycRVjq/ueBdLFdcenG2v4bR9Kqe6PJOEEFIK7wZJxEu3QCFXjOwX/nFZZ7iCM/z+DG/cuNZVd24w==" saltValue="0JIOxoMQcQn9qZCJlQEWew==" spinCount="100000" sheet="1" objects="1" scenarios="1"/>
  <hyperlinks>
    <hyperlink ref="A1" location="Start_page!A1" display="BACK" xr:uid="{418CBA0E-F2BB-4D86-9395-636926BA1DB2}"/>
  </hyperlinks>
  <pageMargins left="0.25" right="0.25" top="0.75" bottom="0.75" header="0.3" footer="0.3"/>
  <pageSetup paperSize="9" scale="8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Spinner 4">
              <controlPr locked="0" defaultSize="0" autoPict="0">
                <anchor moveWithCells="1" sizeWithCells="1">
                  <from>
                    <xdr:col>6</xdr:col>
                    <xdr:colOff>0</xdr:colOff>
                    <xdr:row>1</xdr:row>
                    <xdr:rowOff>22860</xdr:rowOff>
                  </from>
                  <to>
                    <xdr:col>6</xdr:col>
                    <xdr:colOff>144780</xdr:colOff>
                    <xdr:row>1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5" name="Spinner 8">
              <controlPr locked="0" defaultSize="0" autoPict="0">
                <anchor moveWithCells="1" sizeWithCells="1">
                  <from>
                    <xdr:col>6</xdr:col>
                    <xdr:colOff>0</xdr:colOff>
                    <xdr:row>2</xdr:row>
                    <xdr:rowOff>22860</xdr:rowOff>
                  </from>
                  <to>
                    <xdr:col>6</xdr:col>
                    <xdr:colOff>144780</xdr:colOff>
                    <xdr:row>2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6" name="Spinner 9">
              <controlPr locked="0" defaultSize="0" autoPict="0">
                <anchor moveWithCells="1" sizeWithCells="1">
                  <from>
                    <xdr:col>6</xdr:col>
                    <xdr:colOff>0</xdr:colOff>
                    <xdr:row>3</xdr:row>
                    <xdr:rowOff>22860</xdr:rowOff>
                  </from>
                  <to>
                    <xdr:col>6</xdr:col>
                    <xdr:colOff>144780</xdr:colOff>
                    <xdr:row>3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7" name="Option Button 11">
              <controlPr locked="0" defaultSize="0" autoFill="0" autoLine="0" autoPict="0" altText="Symmetric Airfoil_x000a_">
                <anchor moveWithCells="1">
                  <from>
                    <xdr:col>2</xdr:col>
                    <xdr:colOff>83820</xdr:colOff>
                    <xdr:row>1</xdr:row>
                    <xdr:rowOff>68580</xdr:rowOff>
                  </from>
                  <to>
                    <xdr:col>2</xdr:col>
                    <xdr:colOff>1158240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8" name="Option Button 12">
              <controlPr locked="0" defaultSize="0" autoFill="0" autoLine="0" autoPict="0" altText="Cambered Airfoil_x000a_">
                <anchor moveWithCells="1">
                  <from>
                    <xdr:col>2</xdr:col>
                    <xdr:colOff>83820</xdr:colOff>
                    <xdr:row>1</xdr:row>
                    <xdr:rowOff>327660</xdr:rowOff>
                  </from>
                  <to>
                    <xdr:col>2</xdr:col>
                    <xdr:colOff>1158240</xdr:colOff>
                    <xdr:row>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9" name="Check Box 14">
              <controlPr defaultSize="0" autoFill="0" autoLine="0" autoPict="0">
                <anchor moveWithCells="1">
                  <from>
                    <xdr:col>10</xdr:col>
                    <xdr:colOff>129540</xdr:colOff>
                    <xdr:row>1</xdr:row>
                    <xdr:rowOff>30480</xdr:rowOff>
                  </from>
                  <to>
                    <xdr:col>10</xdr:col>
                    <xdr:colOff>1059180</xdr:colOff>
                    <xdr:row>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0" name="Check Box 15">
              <controlPr defaultSize="0" autoFill="0" autoLine="0" autoPict="0">
                <anchor moveWithCells="1">
                  <from>
                    <xdr:col>10</xdr:col>
                    <xdr:colOff>129540</xdr:colOff>
                    <xdr:row>1</xdr:row>
                    <xdr:rowOff>335280</xdr:rowOff>
                  </from>
                  <to>
                    <xdr:col>10</xdr:col>
                    <xdr:colOff>1592580</xdr:colOff>
                    <xdr:row>2</xdr:row>
                    <xdr:rowOff>312420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2F68-5F9A-4AB9-AE07-B60638DF1377}">
  <sheetPr codeName="Sheet3"/>
  <dimension ref="A1:X2000"/>
  <sheetViews>
    <sheetView zoomScale="80" zoomScaleNormal="80" workbookViewId="0">
      <selection activeCell="T26" sqref="T26"/>
    </sheetView>
  </sheetViews>
  <sheetFormatPr defaultRowHeight="14.4" x14ac:dyDescent="0.3"/>
  <cols>
    <col min="1" max="1" width="12.6640625" bestFit="1" customWidth="1"/>
    <col min="2" max="2" width="8.88671875" style="16"/>
    <col min="4" max="4" width="9.21875" bestFit="1" customWidth="1"/>
    <col min="5" max="9" width="9.21875" style="16" bestFit="1" customWidth="1"/>
    <col min="10" max="10" width="9.21875" bestFit="1" customWidth="1"/>
    <col min="11" max="12" width="9.21875" style="16" bestFit="1" customWidth="1"/>
    <col min="13" max="14" width="8.88671875" style="16"/>
    <col min="15" max="15" width="9.21875" bestFit="1" customWidth="1"/>
    <col min="16" max="16" width="9.5546875" style="16" customWidth="1"/>
    <col min="18" max="18" width="8.88671875" style="5"/>
    <col min="22" max="24" width="8.88671875" style="40"/>
  </cols>
  <sheetData>
    <row r="1" spans="1:24" x14ac:dyDescent="0.3">
      <c r="A1">
        <v>1000</v>
      </c>
      <c r="B1" s="16" cm="1">
        <f t="array" ref="B1:B500">1-COS((_xlfn.SEQUENCE(500,1,0,1)*PI())/(2*(500-1)))</f>
        <v>0</v>
      </c>
      <c r="C1" s="16">
        <f>IF(AND($Q$1=2, $A$3=1), 0, 5*($A$4/100)*(0.2969*SQRT(B1)-0.126*B1-0.3516*(B1^2)+0.2843*(B1^3)-0.1015*(B1^4)))</f>
        <v>0</v>
      </c>
      <c r="D1" s="16">
        <f>IF($Q$1=1, IF(B1&lt;$A$8, ($A$10/6)*((B1^3)-3*$A$8*(B1^2)+($A$8^2)*(3-$A$8)*B1), (($A$10*($A$8^3))/6)*(1-B1)), " ")</f>
        <v>0</v>
      </c>
      <c r="E1" s="16">
        <f t="shared" ref="E1:E64" si="0">IF($Q$1=1,IF(B1&lt;$A$8, ($A$10/6)*(3*(B1^2)-6*$A$8*B1+($A$8^2)*(3-$A$8)), -($A$10*($A$8^3))/6), " ")</f>
        <v>0.1951281101419057</v>
      </c>
      <c r="F1" s="16">
        <f>IF($Q$1=1, ATAN(E1), " ")</f>
        <v>0.19270669169193164</v>
      </c>
      <c r="G1" s="16" t="str">
        <f>IF($Q$1=2, IF(A3&lt;&gt;1, IF(B1&lt;$A$11, ($A$12/6)*((B1-$A$11)^3-$A$13*((1-$A$11)^3)*B1-($A$11^3)*B1+$A$11^3), ($A$12/6)*($A$13*(B1-$A$11)^3-$A$13*((1-$A$11)^3)*B1-($A$11^3)*B1+$A$11^3)), 0), " ")</f>
        <v xml:space="preserve"> </v>
      </c>
      <c r="H1" s="16" t="str">
        <f>IF($Q$1=2, IF(A3&lt;&gt;1, IF(B1&lt;$A$11, ($A$12/6)*(3*(B1-$A$11)^2-$A$13*((1-$A$11)^3)-($A$11^3)), ($A$12/6)*(3*$A$13*(B1-$A$11)^2-$A$13*((1-$A$11)^3)-($A$11^3))),0 ), " ")</f>
        <v xml:space="preserve"> </v>
      </c>
      <c r="I1" s="16" t="str">
        <f>IF($Q$1=2, IF(A3&lt;&gt;1,  ATAN(H1), 0), " ")</f>
        <v xml:space="preserve"> </v>
      </c>
      <c r="J1" s="16">
        <f t="shared" ref="J1:J64" si="1">IF($Q$1=1, D1, G1)</f>
        <v>0</v>
      </c>
      <c r="K1" s="16">
        <f>IF($Q$1=1, F1, I1)</f>
        <v>0.19270669169193164</v>
      </c>
      <c r="L1" s="16">
        <f>B1-C1*SIN(K1)</f>
        <v>0</v>
      </c>
      <c r="M1" s="16">
        <f>J1+C1*COS(K1)</f>
        <v>0</v>
      </c>
      <c r="N1" s="16">
        <f>B1+C1*SIN(K1)</f>
        <v>0</v>
      </c>
      <c r="O1" s="16">
        <f>J1-C1*COS(K1)</f>
        <v>0</v>
      </c>
      <c r="P1" s="16">
        <v>0.2</v>
      </c>
      <c r="Q1" s="19">
        <v>1</v>
      </c>
      <c r="R1" s="5">
        <f>IF($T$1, J1, -0.2)</f>
        <v>-0.2</v>
      </c>
      <c r="T1" s="19" t="b">
        <v>0</v>
      </c>
      <c r="U1" s="16">
        <f>ATAN(K1)</f>
        <v>0.19037302916541962</v>
      </c>
      <c r="V1" s="40" cm="1">
        <f t="array" ref="V1:V50">_xlfn.SEQUENCE(50, 1, 0, (2*PI())/(50-1))</f>
        <v>0</v>
      </c>
      <c r="W1" s="40">
        <f>$U$2*(COS($U$1)+COS(V1))</f>
        <v>3.1447203154616563E-2</v>
      </c>
      <c r="X1" s="40">
        <f>IF($T$2, $U$2*(SIN($U$1)+SIN(V1)), -0.2)</f>
        <v>-0.2</v>
      </c>
    </row>
    <row r="2" spans="1:24" x14ac:dyDescent="0.3">
      <c r="A2" s="19">
        <v>1</v>
      </c>
      <c r="B2" s="16">
        <v>4.9545966939179564E-6</v>
      </c>
      <c r="C2" s="16">
        <f t="shared" ref="C2:C65" si="2">IF(AND($Q$1=2, $A$3=1), 0, 5*($A$4/100)*(0.2969*SQRT(B2)-0.126*B2-0.3516*(B2^2)+0.2843*(B2^3)-0.1015*(B2^4)))</f>
        <v>3.9614588814456303E-4</v>
      </c>
      <c r="D2" s="16">
        <f t="shared" ref="D2:D64" si="3">IF($Q$1=1, IF(B2&lt;$A$8, ($A$10/6)*((B2^3)-3*$A$8*(B2^2)+($A$8^2)*(3-$A$8)*B2), (($A$10*($A$8^3))/6)*(1-B2)), " ")</f>
        <v>9.6674140729392865E-7</v>
      </c>
      <c r="E2" s="16">
        <f t="shared" si="0"/>
        <v>0.19511209194789336</v>
      </c>
      <c r="F2" s="16">
        <f t="shared" ref="F2:F64" si="4">IF($Q$1=1, ATAN(E2), " ")</f>
        <v>0.19269126097395878</v>
      </c>
      <c r="G2" s="16" t="str">
        <f t="shared" ref="G2:G65" si="5">IF($Q$1=2, IF(A4&lt;&gt;1, IF(B2&lt;$A$11, ($A$12/6)*((B2-$A$11)^3-$A$13*((1-$A$11)^3)*B2-($A$11^3)*B2+$A$11^3), ($A$12/6)*($A$13*(B2-$A$11)^3-$A$13*((1-$A$11)^3)*B2-($A$11^3)*B2+$A$11^3)), 0), " ")</f>
        <v xml:space="preserve"> </v>
      </c>
      <c r="H2" s="16" t="str">
        <f t="shared" ref="H2:H65" si="6">IF($Q$1=2, IF(A4&lt;&gt;1, IF(B2&lt;$A$11, ($A$12/6)*(3*(B2-$A$11)^2-$A$13*((1-$A$11)^3)-($A$11^3)), ($A$12/6)*(3*$A$13*(B2-$A$11)^2-$A$13*((1-$A$11)^3)-($A$11^3))),0 ), " ")</f>
        <v xml:space="preserve"> </v>
      </c>
      <c r="I2" s="16" t="str">
        <f t="shared" ref="I2:I65" si="7">IF($Q$1=2, IF(A4&lt;&gt;1,  ATAN(H2), 0), " ")</f>
        <v xml:space="preserve"> </v>
      </c>
      <c r="J2" s="16">
        <f t="shared" si="1"/>
        <v>9.6674140729392865E-7</v>
      </c>
      <c r="K2" s="16">
        <f t="shared" ref="K2:K65" si="8">IF($Q$1=1, F2, I2)</f>
        <v>0.19269126097395878</v>
      </c>
      <c r="L2" s="16">
        <f t="shared" ref="L2:L65" si="9">B2-C2*SIN(K2)</f>
        <v>-7.0907751894720562E-5</v>
      </c>
      <c r="M2" s="16">
        <f t="shared" ref="M2:M65" si="10">J2+C2*COS(K2)</f>
        <v>3.8978092422533434E-4</v>
      </c>
      <c r="N2" s="16">
        <f t="shared" ref="N2:N65" si="11">B2+C2*SIN(K2)</f>
        <v>8.0816945282556474E-5</v>
      </c>
      <c r="O2" s="16">
        <f t="shared" ref="O2:O65" si="12">J2-C2*COS(K2)</f>
        <v>-3.8784744141074647E-4</v>
      </c>
      <c r="P2" s="16">
        <f>P1-(P1-P1*SQRT(P1/3)-$A$5)/(1-SQRT(3*P1)/2)</f>
        <v>0.12107052292630359</v>
      </c>
      <c r="R2" s="5">
        <f>IF($T$1, J2, -0.2)</f>
        <v>-0.2</v>
      </c>
      <c r="T2" s="19" t="b">
        <v>0</v>
      </c>
      <c r="U2">
        <f>(0.2969^2/2)*(A7/0.2)^2</f>
        <v>1.5866929799999999E-2</v>
      </c>
      <c r="V2" s="40">
        <v>0.12822827157509359</v>
      </c>
      <c r="W2" s="40">
        <f t="shared" ref="W2:W50" si="13">$U$2*(COS($U$1)+COS(V2))</f>
        <v>3.1316935880291046E-2</v>
      </c>
      <c r="X2" s="40">
        <f>IF($T$2, $U$2*(SIN($U$1)+SIN(V2)), -0.2)</f>
        <v>-0.2</v>
      </c>
    </row>
    <row r="3" spans="1:24" x14ac:dyDescent="0.3">
      <c r="A3" s="19">
        <v>2</v>
      </c>
      <c r="B3" s="16">
        <v>1.9818337679722298E-5</v>
      </c>
      <c r="C3" s="16">
        <f t="shared" si="2"/>
        <v>7.9154159018328309E-4</v>
      </c>
      <c r="D3" s="16">
        <f t="shared" si="3"/>
        <v>3.8664798920205275E-6</v>
      </c>
      <c r="E3" s="16">
        <f t="shared" si="0"/>
        <v>0.19506404130385915</v>
      </c>
      <c r="F3" s="16">
        <f t="shared" si="4"/>
        <v>0.19264497205622638</v>
      </c>
      <c r="G3" s="16" t="str">
        <f t="shared" si="5"/>
        <v xml:space="preserve"> </v>
      </c>
      <c r="H3" s="16" t="str">
        <f t="shared" si="6"/>
        <v xml:space="preserve"> </v>
      </c>
      <c r="I3" s="16" t="str">
        <f t="shared" si="7"/>
        <v xml:space="preserve"> </v>
      </c>
      <c r="J3" s="16">
        <f t="shared" si="1"/>
        <v>3.8664798920205275E-6</v>
      </c>
      <c r="K3" s="16">
        <f t="shared" si="8"/>
        <v>0.19264497205622638</v>
      </c>
      <c r="L3" s="16">
        <f t="shared" si="9"/>
        <v>-1.3172673642475059E-4</v>
      </c>
      <c r="M3" s="16">
        <f t="shared" si="10"/>
        <v>7.8076555924824569E-4</v>
      </c>
      <c r="N3" s="16">
        <f t="shared" si="11"/>
        <v>1.7136341178419518E-4</v>
      </c>
      <c r="O3" s="16">
        <f t="shared" si="12"/>
        <v>-7.7303259946420472E-4</v>
      </c>
      <c r="P3" s="16">
        <f t="shared" ref="P3:P20" si="14">P2-(P2-P2*SQRT(P2/3)-$A$5)/(1-SQRT(3*P2)/2)</f>
        <v>0.12572418383877432</v>
      </c>
      <c r="R3" s="5">
        <f>IF($T$1, J3, -0.2)</f>
        <v>-0.2</v>
      </c>
      <c r="V3" s="40">
        <v>0.25645654315018718</v>
      </c>
      <c r="W3" s="40">
        <f t="shared" si="13"/>
        <v>3.092827304235746E-2</v>
      </c>
      <c r="X3" s="40">
        <f>IF($T$2, $U$2*(SIN($U$1)+SIN(V3)), -0.2)</f>
        <v>-0.2</v>
      </c>
    </row>
    <row r="4" spans="1:24" x14ac:dyDescent="0.3">
      <c r="A4" s="19">
        <v>12</v>
      </c>
      <c r="B4" s="16">
        <v>4.4591075669564439E-5</v>
      </c>
      <c r="C4" s="16">
        <f t="shared" si="2"/>
        <v>1.1861859485331602E-3</v>
      </c>
      <c r="D4" s="16">
        <f t="shared" si="3"/>
        <v>8.6977584535503596E-6</v>
      </c>
      <c r="E4" s="16">
        <f t="shared" si="0"/>
        <v>0.19498397002362453</v>
      </c>
      <c r="F4" s="16">
        <f t="shared" si="4"/>
        <v>0.19256783464818852</v>
      </c>
      <c r="G4" s="16" t="str">
        <f t="shared" si="5"/>
        <v xml:space="preserve"> </v>
      </c>
      <c r="H4" s="16" t="str">
        <f t="shared" si="6"/>
        <v xml:space="preserve"> </v>
      </c>
      <c r="I4" s="16" t="str">
        <f t="shared" si="7"/>
        <v xml:space="preserve"> </v>
      </c>
      <c r="J4" s="16">
        <f t="shared" si="1"/>
        <v>8.6977584535503596E-6</v>
      </c>
      <c r="K4" s="16">
        <f t="shared" si="8"/>
        <v>0.19256783464818852</v>
      </c>
      <c r="L4" s="16">
        <f t="shared" si="9"/>
        <v>-1.8242106549470812E-4</v>
      </c>
      <c r="M4" s="16">
        <f t="shared" si="10"/>
        <v>1.1729582929824527E-3</v>
      </c>
      <c r="N4" s="16">
        <f t="shared" si="11"/>
        <v>2.71603216833837E-4</v>
      </c>
      <c r="O4" s="16">
        <f t="shared" si="12"/>
        <v>-1.1555627760753519E-3</v>
      </c>
      <c r="P4" s="16">
        <f t="shared" si="14"/>
        <v>0.12574350802253961</v>
      </c>
      <c r="R4" s="5">
        <f>IF($T$1, J4, -0.2)</f>
        <v>-0.2</v>
      </c>
      <c r="V4" s="40">
        <v>0.38468481472528077</v>
      </c>
      <c r="W4" s="40">
        <f t="shared" si="13"/>
        <v>3.0287596473869527E-2</v>
      </c>
      <c r="X4" s="40">
        <f>IF($T$2, $U$2*(SIN($U$1)+SIN(V4)), -0.2)</f>
        <v>-0.2</v>
      </c>
    </row>
    <row r="5" spans="1:24" x14ac:dyDescent="0.3">
      <c r="A5">
        <f>0.05*$A$3</f>
        <v>0.1</v>
      </c>
      <c r="B5" s="16">
        <v>7.9272565185806165E-5</v>
      </c>
      <c r="C5" s="16">
        <f t="shared" si="2"/>
        <v>1.580077688805182E-3</v>
      </c>
      <c r="D5" s="16">
        <f t="shared" si="3"/>
        <v>1.5458149460672676E-5</v>
      </c>
      <c r="E5" s="16">
        <f t="shared" si="0"/>
        <v>0.1948718977962608</v>
      </c>
      <c r="F5" s="16">
        <f t="shared" si="4"/>
        <v>0.19245986493524425</v>
      </c>
      <c r="G5" s="16" t="str">
        <f t="shared" si="5"/>
        <v xml:space="preserve"> </v>
      </c>
      <c r="H5" s="16" t="str">
        <f t="shared" si="6"/>
        <v xml:space="preserve"> </v>
      </c>
      <c r="I5" s="16" t="str">
        <f t="shared" si="7"/>
        <v xml:space="preserve"> </v>
      </c>
      <c r="J5" s="16">
        <f t="shared" si="1"/>
        <v>1.5458149460672676E-5</v>
      </c>
      <c r="K5" s="16">
        <f t="shared" si="8"/>
        <v>0.19245986493524425</v>
      </c>
      <c r="L5" s="16">
        <f t="shared" si="9"/>
        <v>-2.2295508657911486E-4</v>
      </c>
      <c r="M5" s="16">
        <f t="shared" si="10"/>
        <v>1.5663623854367651E-3</v>
      </c>
      <c r="N5" s="16">
        <f t="shared" si="11"/>
        <v>3.8150021695072719E-4</v>
      </c>
      <c r="O5" s="16">
        <f t="shared" si="12"/>
        <v>-1.5354460865154198E-3</v>
      </c>
      <c r="P5" s="16">
        <f t="shared" si="14"/>
        <v>0.12574350835160261</v>
      </c>
      <c r="R5" s="5">
        <f>IF($T$1, J5, -0.2)</f>
        <v>-0.2</v>
      </c>
      <c r="V5" s="40">
        <v>0.51291308630037435</v>
      </c>
      <c r="W5" s="40">
        <f t="shared" si="13"/>
        <v>2.9405426066369356E-2</v>
      </c>
      <c r="X5" s="40">
        <f>IF($T$2, $U$2*(SIN($U$1)+SIN(V5)), -0.2)</f>
        <v>-0.2</v>
      </c>
    </row>
    <row r="6" spans="1:24" x14ac:dyDescent="0.3">
      <c r="A6">
        <f>IF(Q1=1, A2/100, 0.02)</f>
        <v>0.01</v>
      </c>
      <c r="B6" s="16">
        <v>1.2386246256268496E-4</v>
      </c>
      <c r="C6" s="16">
        <f t="shared" si="2"/>
        <v>1.9732154198450957E-3</v>
      </c>
      <c r="D6" s="16">
        <f t="shared" si="3"/>
        <v>2.4144255705966216E-5</v>
      </c>
      <c r="E6" s="16">
        <f t="shared" si="0"/>
        <v>0.19472785218514774</v>
      </c>
      <c r="F6" s="16">
        <f t="shared" si="4"/>
        <v>0.19232108558320019</v>
      </c>
      <c r="G6" s="16" t="str">
        <f t="shared" si="5"/>
        <v xml:space="preserve"> </v>
      </c>
      <c r="H6" s="16" t="str">
        <f t="shared" si="6"/>
        <v xml:space="preserve"> </v>
      </c>
      <c r="I6" s="16" t="str">
        <f t="shared" si="7"/>
        <v xml:space="preserve"> </v>
      </c>
      <c r="J6" s="16">
        <f t="shared" si="1"/>
        <v>2.4144255705966216E-5</v>
      </c>
      <c r="K6" s="16">
        <f t="shared" si="8"/>
        <v>0.19232108558320019</v>
      </c>
      <c r="L6" s="16">
        <f t="shared" si="9"/>
        <v>-2.53293394529302E-4</v>
      </c>
      <c r="M6" s="16">
        <f t="shared" si="10"/>
        <v>1.9609799618451489E-3</v>
      </c>
      <c r="N6" s="16">
        <f t="shared" si="11"/>
        <v>5.0101831965467187E-4</v>
      </c>
      <c r="O6" s="16">
        <f t="shared" si="12"/>
        <v>-1.9126914504332163E-3</v>
      </c>
      <c r="P6" s="16">
        <f t="shared" si="14"/>
        <v>0.12574350835160261</v>
      </c>
      <c r="R6" s="5">
        <f>IF($T$1, J6, -0.2)</f>
        <v>-0.2</v>
      </c>
      <c r="V6" s="40">
        <v>0.64114135787546789</v>
      </c>
      <c r="W6" s="40">
        <f t="shared" si="13"/>
        <v>2.829624703355918E-2</v>
      </c>
      <c r="X6" s="40">
        <f>IF($T$2, $U$2*(SIN($U$1)+SIN(V6)), -0.2)</f>
        <v>-0.2</v>
      </c>
    </row>
    <row r="7" spans="1:24" x14ac:dyDescent="0.3">
      <c r="A7">
        <f>A4/100</f>
        <v>0.12</v>
      </c>
      <c r="B7" s="16">
        <v>1.7836032595031082E-4</v>
      </c>
      <c r="C7" s="16">
        <f t="shared" si="2"/>
        <v>2.365597633818405E-3</v>
      </c>
      <c r="D7" s="16">
        <f t="shared" si="3"/>
        <v>3.4751711882054397E-5</v>
      </c>
      <c r="E7" s="16">
        <f t="shared" si="0"/>
        <v>0.19455186862664986</v>
      </c>
      <c r="F7" s="16">
        <f t="shared" si="4"/>
        <v>0.19215152574450203</v>
      </c>
      <c r="G7" s="16" t="str">
        <f t="shared" si="5"/>
        <v xml:space="preserve"> </v>
      </c>
      <c r="H7" s="16" t="str">
        <f t="shared" si="6"/>
        <v xml:space="preserve"> </v>
      </c>
      <c r="I7" s="16" t="str">
        <f t="shared" si="7"/>
        <v xml:space="preserve"> </v>
      </c>
      <c r="J7" s="16">
        <f t="shared" si="1"/>
        <v>3.4751711882054397E-5</v>
      </c>
      <c r="K7" s="16">
        <f t="shared" si="8"/>
        <v>0.19215152574450203</v>
      </c>
      <c r="L7" s="16">
        <f t="shared" si="9"/>
        <v>-2.7340084339603929E-4</v>
      </c>
      <c r="M7" s="16">
        <f t="shared" si="10"/>
        <v>2.3568120063184534E-3</v>
      </c>
      <c r="N7" s="16">
        <f t="shared" si="11"/>
        <v>6.3012149529666087E-4</v>
      </c>
      <c r="O7" s="16">
        <f t="shared" si="12"/>
        <v>-2.2873085825543442E-3</v>
      </c>
      <c r="P7" s="16">
        <f t="shared" si="14"/>
        <v>0.12574350835160261</v>
      </c>
      <c r="R7" s="5">
        <f>IF($T$1, J7, -0.2)</f>
        <v>-0.2</v>
      </c>
      <c r="V7" s="40">
        <v>0.76936962945056142</v>
      </c>
      <c r="W7" s="40">
        <f t="shared" si="13"/>
        <v>2.6978272064492836E-2</v>
      </c>
      <c r="X7" s="40">
        <f>IF($T$2, $U$2*(SIN($U$1)+SIN(V7)), -0.2)</f>
        <v>-0.2</v>
      </c>
    </row>
    <row r="8" spans="1:24" x14ac:dyDescent="0.3">
      <c r="A8" s="40">
        <f>IF(Q1=1, IF(A3=1, 0.058, IF(A3=2, 0.126, IF(A3=3,  0.2025, IF(A3=4, 0.29, 0.391)))), 0)</f>
        <v>0.126</v>
      </c>
      <c r="B8" s="16">
        <v>2.4276561531888508E-4</v>
      </c>
      <c r="C8" s="16">
        <f t="shared" si="2"/>
        <v>2.7572227063043524E-3</v>
      </c>
      <c r="D8" s="16">
        <f t="shared" si="3"/>
        <v>4.7275186479144847E-5</v>
      </c>
      <c r="E8" s="16">
        <f t="shared" si="0"/>
        <v>0.19434399042841793</v>
      </c>
      <c r="F8" s="16">
        <f t="shared" si="4"/>
        <v>0.19195122106623044</v>
      </c>
      <c r="G8" s="16" t="str">
        <f t="shared" si="5"/>
        <v xml:space="preserve"> </v>
      </c>
      <c r="H8" s="16" t="str">
        <f t="shared" si="6"/>
        <v xml:space="preserve"> </v>
      </c>
      <c r="I8" s="16" t="str">
        <f t="shared" si="7"/>
        <v xml:space="preserve"> </v>
      </c>
      <c r="J8" s="16">
        <f t="shared" si="1"/>
        <v>4.7275186479144847E-5</v>
      </c>
      <c r="K8" s="16">
        <f t="shared" si="8"/>
        <v>0.19195122106623044</v>
      </c>
      <c r="L8" s="16">
        <f t="shared" si="9"/>
        <v>-2.8324255827019056E-4</v>
      </c>
      <c r="M8" s="16">
        <f t="shared" si="10"/>
        <v>2.7538583559896961E-3</v>
      </c>
      <c r="N8" s="16">
        <f t="shared" si="11"/>
        <v>7.6877378890796071E-4</v>
      </c>
      <c r="O8" s="16">
        <f t="shared" si="12"/>
        <v>-2.6593079830314064E-3</v>
      </c>
      <c r="P8" s="16">
        <f t="shared" si="14"/>
        <v>0.12574350835160261</v>
      </c>
      <c r="R8" s="5">
        <f>IF($T$1, J8, -0.2)</f>
        <v>-0.2</v>
      </c>
      <c r="V8" s="40">
        <v>0.89759790102565495</v>
      </c>
      <c r="W8" s="40">
        <f t="shared" si="13"/>
        <v>2.5473142271725004E-2</v>
      </c>
      <c r="X8" s="40">
        <f>IF($T$2, $U$2*(SIN($U$1)+SIN(V8)), -0.2)</f>
        <v>-0.2</v>
      </c>
    </row>
    <row r="9" spans="1:24" x14ac:dyDescent="0.3">
      <c r="A9">
        <f>IF(Q1=1, (3*A8-7*A8^2+8*A8^3-4*A8^4)/SQRT(A8-A8^2)-1.5*(1-2*A8)*(PI()/2-ASIN(1-2*A8)), 0)</f>
        <v>3.5075128821893675E-2</v>
      </c>
      <c r="B9" s="16">
        <v>3.1707769246391848E-4</v>
      </c>
      <c r="C9" s="16">
        <f t="shared" si="2"/>
        <v>3.1480888964132612E-3</v>
      </c>
      <c r="D9" s="16">
        <f t="shared" si="3"/>
        <v>6.17083841037624E-5</v>
      </c>
      <c r="E9" s="16">
        <f t="shared" si="0"/>
        <v>0.19410426876731277</v>
      </c>
      <c r="F9" s="16">
        <f t="shared" si="4"/>
        <v>0.19172021369984463</v>
      </c>
      <c r="G9" s="16" t="str">
        <f t="shared" si="5"/>
        <v xml:space="preserve"> </v>
      </c>
      <c r="H9" s="16" t="str">
        <f t="shared" si="6"/>
        <v xml:space="preserve"> </v>
      </c>
      <c r="I9" s="16" t="str">
        <f t="shared" si="7"/>
        <v xml:space="preserve"> </v>
      </c>
      <c r="J9" s="16">
        <f t="shared" si="1"/>
        <v>6.17083841037624E-5</v>
      </c>
      <c r="K9" s="16">
        <f t="shared" si="8"/>
        <v>0.19172021369984463</v>
      </c>
      <c r="L9" s="16">
        <f t="shared" si="9"/>
        <v>-2.8278394715011679E-4</v>
      </c>
      <c r="M9" s="16">
        <f t="shared" si="10"/>
        <v>3.1521176956739996E-3</v>
      </c>
      <c r="N9" s="16">
        <f t="shared" si="11"/>
        <v>9.1693933207795376E-4</v>
      </c>
      <c r="O9" s="16">
        <f t="shared" si="12"/>
        <v>-3.0287009274664748E-3</v>
      </c>
      <c r="P9" s="16">
        <f t="shared" si="14"/>
        <v>0.12574350835160261</v>
      </c>
      <c r="R9" s="5">
        <f>IF($T$1, J9, -0.2)</f>
        <v>-0.2</v>
      </c>
      <c r="V9" s="40">
        <v>1.0258261726007485</v>
      </c>
      <c r="W9" s="40">
        <f t="shared" si="13"/>
        <v>2.3805571844841375E-2</v>
      </c>
      <c r="X9" s="40">
        <f>IF($T$2, $U$2*(SIN($U$1)+SIN(V9)), -0.2)</f>
        <v>-0.2</v>
      </c>
    </row>
    <row r="10" spans="1:24" x14ac:dyDescent="0.3">
      <c r="A10">
        <f>IF(Q1=1, (6*0.15*A2)/A9, 0)</f>
        <v>25.65920725680202</v>
      </c>
      <c r="B10" s="16">
        <v>4.0129582101267047E-4</v>
      </c>
      <c r="C10" s="16">
        <f t="shared" si="2"/>
        <v>3.5381943469263259E-3</v>
      </c>
      <c r="D10" s="16">
        <f t="shared" si="3"/>
        <v>7.8044048218422256E-5</v>
      </c>
      <c r="E10" s="16">
        <f t="shared" si="0"/>
        <v>0.19383276268695085</v>
      </c>
      <c r="F10" s="16">
        <f t="shared" si="4"/>
        <v>0.19145855231265579</v>
      </c>
      <c r="G10" s="16" t="str">
        <f t="shared" si="5"/>
        <v xml:space="preserve"> </v>
      </c>
      <c r="H10" s="16" t="str">
        <f t="shared" si="6"/>
        <v xml:space="preserve"> </v>
      </c>
      <c r="I10" s="16" t="str">
        <f t="shared" si="7"/>
        <v xml:space="preserve"> </v>
      </c>
      <c r="J10" s="16">
        <f t="shared" si="1"/>
        <v>7.8044048218422256E-5</v>
      </c>
      <c r="K10" s="16">
        <f t="shared" si="8"/>
        <v>0.19145855231265579</v>
      </c>
      <c r="L10" s="16">
        <f t="shared" si="9"/>
        <v>-2.7199071284197431E-4</v>
      </c>
      <c r="M10" s="16">
        <f t="shared" si="10"/>
        <v>3.5515875530491023E-3</v>
      </c>
      <c r="N10" s="16">
        <f t="shared" si="11"/>
        <v>1.0745823548673154E-3</v>
      </c>
      <c r="O10" s="16">
        <f t="shared" si="12"/>
        <v>-3.3954994566122582E-3</v>
      </c>
      <c r="P10" s="16">
        <f t="shared" si="14"/>
        <v>0.12574350835160261</v>
      </c>
      <c r="R10" s="5">
        <f>IF($T$1, J10, -0.2)</f>
        <v>-0.2</v>
      </c>
      <c r="V10" s="40">
        <v>1.154054444175842</v>
      </c>
      <c r="W10" s="40">
        <f t="shared" si="13"/>
        <v>2.2002942244148907E-2</v>
      </c>
      <c r="X10" s="40">
        <f>IF($T$2, $U$2*(SIN($U$1)+SIN(V10)), -0.2)</f>
        <v>-0.2</v>
      </c>
    </row>
    <row r="11" spans="1:24" x14ac:dyDescent="0.3">
      <c r="A11">
        <f>IF(Q1=2, IF(A3=2, 0.13, IF(A3=3, 0.217, IF(A3=4, 0.318, IF(A3=5, 0.441, 0)))), 0)</f>
        <v>0</v>
      </c>
      <c r="B11" s="16">
        <v>4.9541916643136563E-4</v>
      </c>
      <c r="C11" s="16">
        <f t="shared" si="2"/>
        <v>3.9275370844550125E-3</v>
      </c>
      <c r="D11" s="16">
        <f t="shared" si="3"/>
        <v>9.627396430180688E-5</v>
      </c>
      <c r="E11" s="16">
        <f t="shared" si="0"/>
        <v>0.19352953909487342</v>
      </c>
      <c r="F11" s="16">
        <f t="shared" si="4"/>
        <v>0.19116629210101146</v>
      </c>
      <c r="G11" s="16" t="str">
        <f t="shared" si="5"/>
        <v xml:space="preserve"> </v>
      </c>
      <c r="H11" s="16" t="str">
        <f t="shared" si="6"/>
        <v xml:space="preserve"> </v>
      </c>
      <c r="I11" s="16" t="str">
        <f t="shared" si="7"/>
        <v xml:space="preserve"> </v>
      </c>
      <c r="J11" s="16">
        <f t="shared" si="1"/>
        <v>9.627396430180688E-5</v>
      </c>
      <c r="K11" s="16">
        <f t="shared" si="8"/>
        <v>0.19116629210101146</v>
      </c>
      <c r="L11" s="16">
        <f t="shared" si="9"/>
        <v>-2.5082886489914615E-4</v>
      </c>
      <c r="M11" s="16">
        <f t="shared" si="10"/>
        <v>3.9522642943603144E-3</v>
      </c>
      <c r="N11" s="16">
        <f t="shared" si="11"/>
        <v>1.2416671977618773E-3</v>
      </c>
      <c r="O11" s="16">
        <f t="shared" si="12"/>
        <v>-3.7597163657567003E-3</v>
      </c>
      <c r="P11" s="16">
        <f t="shared" si="14"/>
        <v>0.12574350835160261</v>
      </c>
      <c r="R11" s="5">
        <f>IF($T$1, J11, -0.2)</f>
        <v>-0.2</v>
      </c>
      <c r="V11" s="40">
        <v>1.2822827157509356</v>
      </c>
      <c r="W11" s="40">
        <f t="shared" si="13"/>
        <v>2.0094852597854585E-2</v>
      </c>
      <c r="X11" s="40">
        <f>IF($T$2, $U$2*(SIN($U$1)+SIN(V11)), -0.2)</f>
        <v>-0.2</v>
      </c>
    </row>
    <row r="12" spans="1:24" x14ac:dyDescent="0.3">
      <c r="A12">
        <f>IF(Q1=2, IF(A3=2, 51.99, IF(A3=3, 15.793, IF(A3=4, 6.52, IF(A3=5, 3.191,0)))), 0)</f>
        <v>0</v>
      </c>
      <c r="B12" s="16">
        <v>5.9944679603363138E-4</v>
      </c>
      <c r="C12" s="16">
        <f t="shared" si="2"/>
        <v>4.3161150196224908E-3</v>
      </c>
      <c r="D12" s="16">
        <f t="shared" si="3"/>
        <v>1.1638896342912848E-4</v>
      </c>
      <c r="E12" s="16">
        <f t="shared" si="0"/>
        <v>0.19319467275933763</v>
      </c>
      <c r="F12" s="16">
        <f t="shared" si="4"/>
        <v>0.19084349480516583</v>
      </c>
      <c r="G12" s="16" t="str">
        <f t="shared" si="5"/>
        <v xml:space="preserve"> </v>
      </c>
      <c r="H12" s="16" t="str">
        <f t="shared" si="6"/>
        <v xml:space="preserve"> </v>
      </c>
      <c r="I12" s="16" t="str">
        <f t="shared" si="7"/>
        <v xml:space="preserve"> </v>
      </c>
      <c r="J12" s="16">
        <f t="shared" si="1"/>
        <v>1.1638896342912848E-4</v>
      </c>
      <c r="K12" s="16">
        <f t="shared" si="8"/>
        <v>0.19084349480516583</v>
      </c>
      <c r="L12" s="16">
        <f t="shared" si="9"/>
        <v>-2.1926473160692234E-4</v>
      </c>
      <c r="M12" s="16">
        <f t="shared" si="10"/>
        <v>4.3541431206590309E-3</v>
      </c>
      <c r="N12" s="16">
        <f t="shared" si="11"/>
        <v>1.4181583236741852E-3</v>
      </c>
      <c r="O12" s="16">
        <f t="shared" si="12"/>
        <v>-4.1213651938007741E-3</v>
      </c>
      <c r="P12" s="16">
        <f t="shared" si="14"/>
        <v>0.12574350835160261</v>
      </c>
      <c r="R12" s="5">
        <f>IF($T$1, J12, -0.2)</f>
        <v>-0.2</v>
      </c>
      <c r="V12" s="40">
        <v>1.4105109873260291</v>
      </c>
      <c r="W12" s="40">
        <f t="shared" si="13"/>
        <v>1.8112633685198574E-2</v>
      </c>
      <c r="X12" s="40">
        <f>IF($T$2, $U$2*(SIN($U$1)+SIN(V12)), -0.2)</f>
        <v>-0.2</v>
      </c>
    </row>
    <row r="13" spans="1:24" x14ac:dyDescent="0.3">
      <c r="A13">
        <f>IF(Q1=2, IF(A3&lt;&gt;1, IF(A3=2, 0.000764,IF(A3=3, 0.00677,IF(A3=4, 0.0303, 0.1355))), 0), 0)</f>
        <v>0</v>
      </c>
      <c r="B13" s="16">
        <v>7.133776789896018E-4</v>
      </c>
      <c r="C13" s="16">
        <f t="shared" si="2"/>
        <v>4.7039259472645674E-3</v>
      </c>
      <c r="D13" s="16">
        <f t="shared" si="3"/>
        <v>1.3837892627211224E-4</v>
      </c>
      <c r="E13" s="16">
        <f t="shared" si="0"/>
        <v>0.1928282463057315</v>
      </c>
      <c r="F13" s="16">
        <f t="shared" si="4"/>
        <v>0.19049022872581081</v>
      </c>
      <c r="G13" s="16" t="str">
        <f t="shared" si="5"/>
        <v xml:space="preserve"> </v>
      </c>
      <c r="H13" s="16" t="str">
        <f t="shared" si="6"/>
        <v xml:space="preserve"> </v>
      </c>
      <c r="I13" s="16" t="str">
        <f t="shared" si="7"/>
        <v xml:space="preserve"> </v>
      </c>
      <c r="J13" s="16">
        <f t="shared" si="1"/>
        <v>1.3837892627211224E-4</v>
      </c>
      <c r="K13" s="16">
        <f t="shared" si="8"/>
        <v>0.19049022872581081</v>
      </c>
      <c r="L13" s="16">
        <f t="shared" si="9"/>
        <v>-1.7726497201836727E-4</v>
      </c>
      <c r="M13" s="16">
        <f t="shared" si="10"/>
        <v>4.7572180645788749E-3</v>
      </c>
      <c r="N13" s="16">
        <f t="shared" si="11"/>
        <v>1.6040203299975708E-3</v>
      </c>
      <c r="O13" s="16">
        <f t="shared" si="12"/>
        <v>-4.4804602120346497E-3</v>
      </c>
      <c r="P13" s="16">
        <f t="shared" si="14"/>
        <v>0.12574350835160261</v>
      </c>
      <c r="R13" s="5">
        <f>IF($T$1, J13, -0.2)</f>
        <v>-0.2</v>
      </c>
      <c r="V13" s="40">
        <v>1.5387392589011226</v>
      </c>
      <c r="W13" s="40">
        <f t="shared" si="13"/>
        <v>1.6088833485925283E-2</v>
      </c>
      <c r="X13" s="40">
        <f>IF($T$2, $U$2*(SIN($U$1)+SIN(V13)), -0.2)</f>
        <v>-0.2</v>
      </c>
    </row>
    <row r="14" spans="1:24" x14ac:dyDescent="0.3">
      <c r="A14">
        <f>IF(Q1=2, 0.3, 0.15*A2)</f>
        <v>0.15</v>
      </c>
      <c r="B14" s="16">
        <v>8.3721068633602069E-4</v>
      </c>
      <c r="C14" s="16">
        <f t="shared" si="2"/>
        <v>5.090967546651848E-3</v>
      </c>
      <c r="D14" s="16">
        <f t="shared" si="3"/>
        <v>1.6223278751815307E-4</v>
      </c>
      <c r="E14" s="16">
        <f t="shared" si="0"/>
        <v>0.19243035021261218</v>
      </c>
      <c r="F14" s="16">
        <f t="shared" si="4"/>
        <v>0.19010656874223786</v>
      </c>
      <c r="G14" s="16" t="str">
        <f t="shared" si="5"/>
        <v xml:space="preserve"> </v>
      </c>
      <c r="H14" s="16" t="str">
        <f t="shared" si="6"/>
        <v xml:space="preserve"> </v>
      </c>
      <c r="I14" s="16" t="str">
        <f t="shared" si="7"/>
        <v xml:space="preserve"> </v>
      </c>
      <c r="J14" s="16">
        <f t="shared" si="1"/>
        <v>1.6223278751815307E-4</v>
      </c>
      <c r="K14" s="16">
        <f t="shared" si="8"/>
        <v>0.19010656874223786</v>
      </c>
      <c r="L14" s="16">
        <f t="shared" si="9"/>
        <v>-1.2479658804696631E-4</v>
      </c>
      <c r="M14" s="16">
        <f t="shared" si="10"/>
        <v>5.1614819876577653E-3</v>
      </c>
      <c r="N14" s="16">
        <f t="shared" si="11"/>
        <v>1.7992179607190077E-3</v>
      </c>
      <c r="O14" s="16">
        <f t="shared" si="12"/>
        <v>-4.8370164126214591E-3</v>
      </c>
      <c r="P14" s="16">
        <f t="shared" si="14"/>
        <v>0.12574350835160261</v>
      </c>
      <c r="R14" s="5">
        <f>IF($T$1, J14, -0.2)</f>
        <v>-0.2</v>
      </c>
      <c r="V14" s="40">
        <v>1.6669675304762162</v>
      </c>
      <c r="W14" s="40">
        <f t="shared" si="13"/>
        <v>1.4056682743355812E-2</v>
      </c>
      <c r="X14" s="40">
        <f>IF($T$2, $U$2*(SIN($U$1)+SIN(V14)), -0.2)</f>
        <v>-0.2</v>
      </c>
    </row>
    <row r="15" spans="1:24" x14ac:dyDescent="0.3">
      <c r="B15" s="16">
        <v>9.7094459098767683E-4</v>
      </c>
      <c r="C15" s="16">
        <f t="shared" si="2"/>
        <v>5.4772373817337967E-3</v>
      </c>
      <c r="D15" s="16">
        <f t="shared" si="3"/>
        <v>1.8793854070814543E-4</v>
      </c>
      <c r="E15" s="16">
        <f t="shared" si="0"/>
        <v>0.19200108280736616</v>
      </c>
      <c r="F15" s="16">
        <f t="shared" si="4"/>
        <v>0.18969259633209631</v>
      </c>
      <c r="G15" s="16" t="str">
        <f t="shared" si="5"/>
        <v xml:space="preserve"> </v>
      </c>
      <c r="H15" s="16" t="str">
        <f t="shared" si="6"/>
        <v xml:space="preserve"> </v>
      </c>
      <c r="I15" s="16" t="str">
        <f t="shared" si="7"/>
        <v xml:space="preserve"> </v>
      </c>
      <c r="J15" s="16">
        <f t="shared" si="1"/>
        <v>1.8793854070814543E-4</v>
      </c>
      <c r="K15" s="16">
        <f t="shared" si="8"/>
        <v>0.18969259633209631</v>
      </c>
      <c r="L15" s="16">
        <f t="shared" si="9"/>
        <v>-6.1826936621165243E-5</v>
      </c>
      <c r="M15" s="16">
        <f t="shared" si="10"/>
        <v>5.5669265782132106E-3</v>
      </c>
      <c r="N15" s="16">
        <f t="shared" si="11"/>
        <v>2.0037161185965189E-3</v>
      </c>
      <c r="O15" s="16">
        <f t="shared" si="12"/>
        <v>-5.1910494967969201E-3</v>
      </c>
      <c r="P15" s="16">
        <f t="shared" si="14"/>
        <v>0.12574350835160261</v>
      </c>
      <c r="R15" s="5">
        <f>IF($T$1, J15, -0.2)</f>
        <v>-0.2</v>
      </c>
      <c r="V15" s="40">
        <v>1.7951958020513097</v>
      </c>
      <c r="W15" s="40">
        <f t="shared" si="13"/>
        <v>1.2049549316501302E-2</v>
      </c>
      <c r="X15" s="40">
        <f>IF($T$2, $U$2*(SIN($U$1)+SIN(V15)), -0.2)</f>
        <v>-0.2</v>
      </c>
    </row>
    <row r="16" spans="1:24" x14ac:dyDescent="0.3">
      <c r="B16" s="16">
        <v>1.1145780677496164E-3</v>
      </c>
      <c r="C16" s="16">
        <f t="shared" si="2"/>
        <v>5.8627329014026962E-3</v>
      </c>
      <c r="D16" s="16">
        <f t="shared" si="3"/>
        <v>2.1548324349225973E-4</v>
      </c>
      <c r="E16" s="16">
        <f t="shared" si="0"/>
        <v>0.19154055026149372</v>
      </c>
      <c r="F16" s="16">
        <f t="shared" si="4"/>
        <v>0.18924839959271433</v>
      </c>
      <c r="G16" s="16" t="str">
        <f t="shared" si="5"/>
        <v xml:space="preserve"> </v>
      </c>
      <c r="H16" s="16" t="str">
        <f t="shared" si="6"/>
        <v xml:space="preserve"> </v>
      </c>
      <c r="I16" s="16" t="str">
        <f t="shared" si="7"/>
        <v xml:space="preserve"> </v>
      </c>
      <c r="J16" s="16">
        <f t="shared" si="1"/>
        <v>2.1548324349225973E-4</v>
      </c>
      <c r="K16" s="16">
        <f t="shared" si="8"/>
        <v>0.18924839959271433</v>
      </c>
      <c r="L16" s="16">
        <f t="shared" si="9"/>
        <v>1.1676258093975623E-5</v>
      </c>
      <c r="M16" s="16">
        <f t="shared" si="10"/>
        <v>5.9735423497752089E-3</v>
      </c>
      <c r="N16" s="16">
        <f t="shared" si="11"/>
        <v>2.2174798774052575E-3</v>
      </c>
      <c r="O16" s="16">
        <f t="shared" si="12"/>
        <v>-5.5425758627906888E-3</v>
      </c>
      <c r="P16" s="16">
        <f t="shared" si="14"/>
        <v>0.12574350835160261</v>
      </c>
      <c r="R16" s="5">
        <f>IF($T$1, J16, -0.2)</f>
        <v>-0.2</v>
      </c>
      <c r="V16" s="40">
        <v>1.9234240736264032</v>
      </c>
      <c r="W16" s="40">
        <f t="shared" si="13"/>
        <v>1.0100390280740513E-2</v>
      </c>
      <c r="X16" s="40">
        <f>IF($T$2, $U$2*(SIN($U$1)+SIN(V16)), -0.2)</f>
        <v>-0.2</v>
      </c>
    </row>
    <row r="17" spans="2:24" x14ac:dyDescent="0.3">
      <c r="B17" s="16">
        <v>1.2681096933296887E-3</v>
      </c>
      <c r="C17" s="16">
        <f t="shared" si="2"/>
        <v>6.2474514397767725E-3</v>
      </c>
      <c r="D17" s="16">
        <f t="shared" si="3"/>
        <v>2.4485302330290898E-4</v>
      </c>
      <c r="E17" s="16">
        <f t="shared" si="0"/>
        <v>0.19104886658551898</v>
      </c>
      <c r="F17" s="16">
        <f t="shared" si="4"/>
        <v>0.18877407326394505</v>
      </c>
      <c r="G17" s="16" t="str">
        <f t="shared" si="5"/>
        <v xml:space="preserve"> </v>
      </c>
      <c r="H17" s="16" t="str">
        <f t="shared" si="6"/>
        <v xml:space="preserve"> </v>
      </c>
      <c r="I17" s="16" t="str">
        <f t="shared" si="7"/>
        <v xml:space="preserve"> </v>
      </c>
      <c r="J17" s="16">
        <f t="shared" si="1"/>
        <v>2.4485302330290898E-4</v>
      </c>
      <c r="K17" s="16">
        <f t="shared" si="8"/>
        <v>0.18877407326394505</v>
      </c>
      <c r="L17" s="16">
        <f t="shared" si="9"/>
        <v>9.5744892402959293E-5</v>
      </c>
      <c r="M17" s="16">
        <f t="shared" si="10"/>
        <v>6.3813186400823998E-3</v>
      </c>
      <c r="N17" s="16">
        <f t="shared" si="11"/>
        <v>2.4404744942564181E-3</v>
      </c>
      <c r="O17" s="16">
        <f t="shared" si="12"/>
        <v>-5.8916125934765822E-3</v>
      </c>
      <c r="P17" s="16">
        <f t="shared" si="14"/>
        <v>0.12574350835160261</v>
      </c>
      <c r="R17" s="5">
        <f>IF($T$1, J17, -0.2)</f>
        <v>-0.2</v>
      </c>
      <c r="V17" s="40">
        <v>2.051652345201497</v>
      </c>
      <c r="W17" s="40">
        <f t="shared" si="13"/>
        <v>8.2412107735532186E-3</v>
      </c>
      <c r="X17" s="40">
        <f>IF($T$2, $U$2*(SIN($U$1)+SIN(V17)), -0.2)</f>
        <v>-0.2</v>
      </c>
    </row>
    <row r="18" spans="2:24" x14ac:dyDescent="0.3">
      <c r="B18" s="16">
        <v>1.4315379463535338E-3</v>
      </c>
      <c r="C18" s="16">
        <f t="shared" si="2"/>
        <v>6.6313902165078455E-3</v>
      </c>
      <c r="D18" s="16">
        <f t="shared" si="3"/>
        <v>2.76033083444584E-4</v>
      </c>
      <c r="E18" s="16">
        <f t="shared" si="0"/>
        <v>0.19052615362351924</v>
      </c>
      <c r="F18" s="16">
        <f t="shared" si="4"/>
        <v>0.18826971875248999</v>
      </c>
      <c r="G18" s="16" t="str">
        <f t="shared" si="5"/>
        <v xml:space="preserve"> </v>
      </c>
      <c r="H18" s="16" t="str">
        <f t="shared" si="6"/>
        <v xml:space="preserve"> </v>
      </c>
      <c r="I18" s="16" t="str">
        <f t="shared" si="7"/>
        <v xml:space="preserve"> </v>
      </c>
      <c r="J18" s="16">
        <f t="shared" si="1"/>
        <v>2.76033083444584E-4</v>
      </c>
      <c r="K18" s="16">
        <f t="shared" si="8"/>
        <v>0.18826971875248999</v>
      </c>
      <c r="L18" s="16">
        <f t="shared" si="9"/>
        <v>1.9041047071057231E-4</v>
      </c>
      <c r="M18" s="16">
        <f t="shared" si="10"/>
        <v>6.7902436106535491E-3</v>
      </c>
      <c r="N18" s="16">
        <f t="shared" si="11"/>
        <v>2.6726654219964953E-3</v>
      </c>
      <c r="O18" s="16">
        <f t="shared" si="12"/>
        <v>-6.2381774437643813E-3</v>
      </c>
      <c r="P18" s="16">
        <f t="shared" si="14"/>
        <v>0.12574350835160261</v>
      </c>
      <c r="R18" s="5">
        <f>IF($T$1, J18, -0.2)</f>
        <v>-0.2</v>
      </c>
      <c r="V18" s="40">
        <v>2.1798806167765905</v>
      </c>
      <c r="W18" s="40">
        <f t="shared" si="13"/>
        <v>6.5025384710476518E-3</v>
      </c>
      <c r="X18" s="40">
        <f>IF($T$2, $U$2*(SIN($U$1)+SIN(V18)), -0.2)</f>
        <v>-0.2</v>
      </c>
    </row>
    <row r="19" spans="2:24" x14ac:dyDescent="0.3">
      <c r="B19" s="16">
        <v>1.6048612073787938E-3</v>
      </c>
      <c r="C19" s="16">
        <f t="shared" si="2"/>
        <v>7.0145463371050478E-3</v>
      </c>
      <c r="D19" s="16">
        <f t="shared" si="3"/>
        <v>3.0900770959916185E-4</v>
      </c>
      <c r="E19" s="16">
        <f t="shared" si="0"/>
        <v>0.18997254104728406</v>
      </c>
      <c r="F19" s="16">
        <f t="shared" si="4"/>
        <v>0.1877354441576648</v>
      </c>
      <c r="G19" s="16" t="str">
        <f t="shared" si="5"/>
        <v xml:space="preserve"> </v>
      </c>
      <c r="H19" s="16" t="str">
        <f t="shared" si="6"/>
        <v xml:space="preserve"> </v>
      </c>
      <c r="I19" s="16" t="str">
        <f t="shared" si="7"/>
        <v xml:space="preserve"> </v>
      </c>
      <c r="J19" s="16">
        <f t="shared" si="1"/>
        <v>3.0900770959916185E-4</v>
      </c>
      <c r="K19" s="16">
        <f t="shared" si="8"/>
        <v>0.1877354441576648</v>
      </c>
      <c r="L19" s="16">
        <f t="shared" si="9"/>
        <v>2.9570409307137237E-4</v>
      </c>
      <c r="M19" s="16">
        <f t="shared" si="10"/>
        <v>7.2003042469317487E-3</v>
      </c>
      <c r="N19" s="16">
        <f t="shared" si="11"/>
        <v>2.914018321686215E-3</v>
      </c>
      <c r="O19" s="16">
        <f t="shared" si="12"/>
        <v>-6.5822888277334256E-3</v>
      </c>
      <c r="P19" s="16">
        <f t="shared" si="14"/>
        <v>0.12574350835160261</v>
      </c>
      <c r="R19" s="5">
        <f>IF($T$1, J19, -0.2)</f>
        <v>-0.2</v>
      </c>
      <c r="V19" s="40">
        <v>2.308108888351684</v>
      </c>
      <c r="W19" s="40">
        <f t="shared" si="13"/>
        <v>4.9129223243627607E-3</v>
      </c>
      <c r="X19" s="40">
        <f>IF($T$2, $U$2*(SIN($U$1)+SIN(V19)), -0.2)</f>
        <v>-0.2</v>
      </c>
    </row>
    <row r="20" spans="2:24" x14ac:dyDescent="0.3">
      <c r="B20" s="16">
        <v>1.7880777589119878E-3</v>
      </c>
      <c r="C20" s="16">
        <f t="shared" si="2"/>
        <v>7.3969167932832142E-3</v>
      </c>
      <c r="D20" s="16">
        <f t="shared" si="3"/>
        <v>3.437602767465131E-4</v>
      </c>
      <c r="E20" s="16">
        <f t="shared" si="0"/>
        <v>0.18938816635009306</v>
      </c>
      <c r="F20" s="16">
        <f t="shared" si="4"/>
        <v>0.18717136429854914</v>
      </c>
      <c r="G20" s="16" t="str">
        <f t="shared" si="5"/>
        <v xml:space="preserve"> </v>
      </c>
      <c r="H20" s="16" t="str">
        <f t="shared" si="6"/>
        <v xml:space="preserve"> </v>
      </c>
      <c r="I20" s="16" t="str">
        <f t="shared" si="7"/>
        <v xml:space="preserve"> </v>
      </c>
      <c r="J20" s="16">
        <f t="shared" si="1"/>
        <v>3.437602767465131E-4</v>
      </c>
      <c r="K20" s="16">
        <f t="shared" si="8"/>
        <v>0.18717136429854914</v>
      </c>
      <c r="L20" s="16">
        <f t="shared" si="9"/>
        <v>4.1165644265607568E-4</v>
      </c>
      <c r="M20" s="16">
        <f t="shared" si="10"/>
        <v>7.6114863590167831E-3</v>
      </c>
      <c r="N20" s="16">
        <f t="shared" si="11"/>
        <v>3.1644990751679E-3</v>
      </c>
      <c r="O20" s="16">
        <f t="shared" si="12"/>
        <v>-6.9239658055237569E-3</v>
      </c>
      <c r="P20" s="16">
        <f t="shared" si="14"/>
        <v>0.12574350835160261</v>
      </c>
      <c r="R20" s="5">
        <f>IF($T$1, J20, -0.2)</f>
        <v>-0.2</v>
      </c>
      <c r="V20" s="40">
        <v>2.4363371599267776</v>
      </c>
      <c r="W20" s="40">
        <f t="shared" si="13"/>
        <v>3.4984637866797993E-3</v>
      </c>
      <c r="X20" s="40">
        <f>IF($T$2, $U$2*(SIN($U$1)+SIN(V20)), -0.2)</f>
        <v>-0.2</v>
      </c>
    </row>
    <row r="21" spans="2:24" x14ac:dyDescent="0.3">
      <c r="B21" s="16">
        <v>1.9811857854247217E-3</v>
      </c>
      <c r="C21" s="16">
        <f t="shared" si="2"/>
        <v>7.7784984633279784E-3</v>
      </c>
      <c r="D21" s="16">
        <f t="shared" si="3"/>
        <v>3.8027325649888673E-4</v>
      </c>
      <c r="E21" s="16">
        <f t="shared" si="0"/>
        <v>0.18877317484012388</v>
      </c>
      <c r="F21" s="16">
        <f t="shared" si="4"/>
        <v>0.1865776007424807</v>
      </c>
      <c r="G21" s="16" t="str">
        <f t="shared" si="5"/>
        <v xml:space="preserve"> </v>
      </c>
      <c r="H21" s="16" t="str">
        <f t="shared" si="6"/>
        <v xml:space="preserve"> </v>
      </c>
      <c r="I21" s="16" t="str">
        <f t="shared" si="7"/>
        <v xml:space="preserve"> </v>
      </c>
      <c r="J21" s="16">
        <f t="shared" si="1"/>
        <v>3.8027325649888673E-4</v>
      </c>
      <c r="K21" s="16">
        <f t="shared" si="8"/>
        <v>0.1865776007424807</v>
      </c>
      <c r="L21" s="16">
        <f t="shared" si="9"/>
        <v>5.3829777312954094E-4</v>
      </c>
      <c r="M21" s="16">
        <f t="shared" si="10"/>
        <v>8.0237745829834037E-3</v>
      </c>
      <c r="N21" s="16">
        <f t="shared" si="11"/>
        <v>3.4240737977199024E-3</v>
      </c>
      <c r="O21" s="16">
        <f t="shared" si="12"/>
        <v>-7.2632280699856311E-3</v>
      </c>
      <c r="R21" s="5">
        <f>IF($T$1, J21, -0.2)</f>
        <v>-0.2</v>
      </c>
      <c r="V21" s="40">
        <v>2.5645654315018711</v>
      </c>
      <c r="W21" s="40">
        <f t="shared" si="13"/>
        <v>2.2823882280827048E-3</v>
      </c>
      <c r="X21" s="40">
        <f>IF($T$2, $U$2*(SIN($U$1)+SIN(V21)), -0.2)</f>
        <v>-0.2</v>
      </c>
    </row>
    <row r="22" spans="2:24" x14ac:dyDescent="0.3">
      <c r="B22" s="16">
        <v>2.1841833733722282E-3</v>
      </c>
      <c r="C22" s="16">
        <f t="shared" si="2"/>
        <v>8.1592881124843298E-3</v>
      </c>
      <c r="D22" s="16">
        <f t="shared" si="3"/>
        <v>4.1852822484870518E-4</v>
      </c>
      <c r="E22" s="16">
        <f t="shared" si="0"/>
        <v>0.18812771963348043</v>
      </c>
      <c r="F22" s="16">
        <f t="shared" si="4"/>
        <v>0.18595428183483101</v>
      </c>
      <c r="G22" s="16" t="str">
        <f t="shared" si="5"/>
        <v xml:space="preserve"> </v>
      </c>
      <c r="H22" s="16" t="str">
        <f t="shared" si="6"/>
        <v xml:space="preserve"> </v>
      </c>
      <c r="I22" s="16" t="str">
        <f t="shared" si="7"/>
        <v xml:space="preserve"> </v>
      </c>
      <c r="J22" s="16">
        <f t="shared" si="1"/>
        <v>4.1852822484870518E-4</v>
      </c>
      <c r="K22" s="16">
        <f t="shared" si="8"/>
        <v>0.18595428183483101</v>
      </c>
      <c r="L22" s="16">
        <f t="shared" si="9"/>
        <v>6.7565789593911139E-4</v>
      </c>
      <c r="M22" s="16">
        <f t="shared" si="10"/>
        <v>8.4371523827989504E-3</v>
      </c>
      <c r="N22" s="16">
        <f t="shared" si="11"/>
        <v>3.6927088508053449E-3</v>
      </c>
      <c r="O22" s="16">
        <f t="shared" si="12"/>
        <v>-7.6000959331015399E-3</v>
      </c>
      <c r="R22" s="5">
        <f>IF($T$1, J22, -0.2)</f>
        <v>-0.2</v>
      </c>
      <c r="V22" s="40">
        <v>2.6927937030769646</v>
      </c>
      <c r="W22" s="40">
        <f t="shared" si="13"/>
        <v>1.2846635756234184E-3</v>
      </c>
      <c r="X22" s="40">
        <f>IF($T$2, $U$2*(SIN($U$1)+SIN(V22)), -0.2)</f>
        <v>-0.2</v>
      </c>
    </row>
    <row r="23" spans="2:24" x14ac:dyDescent="0.3">
      <c r="B23" s="16">
        <v>2.3970685112121304E-3</v>
      </c>
      <c r="C23" s="16">
        <f t="shared" si="2"/>
        <v>8.5392823933638212E-3</v>
      </c>
      <c r="D23" s="16">
        <f t="shared" si="3"/>
        <v>4.5850587032837735E-4</v>
      </c>
      <c r="E23" s="16">
        <f t="shared" si="0"/>
        <v>0.18745196164684882</v>
      </c>
      <c r="F23" s="16">
        <f t="shared" si="4"/>
        <v>0.18530154273001309</v>
      </c>
      <c r="G23" s="16" t="str">
        <f t="shared" si="5"/>
        <v xml:space="preserve"> </v>
      </c>
      <c r="H23" s="16" t="str">
        <f t="shared" si="6"/>
        <v xml:space="preserve"> </v>
      </c>
      <c r="I23" s="16" t="str">
        <f t="shared" si="7"/>
        <v xml:space="preserve"> </v>
      </c>
      <c r="J23" s="16">
        <f t="shared" si="1"/>
        <v>4.5850587032837735E-4</v>
      </c>
      <c r="K23" s="16">
        <f t="shared" si="8"/>
        <v>0.18530154273001309</v>
      </c>
      <c r="L23" s="16">
        <f t="shared" si="9"/>
        <v>8.2376616750940617E-4</v>
      </c>
      <c r="M23" s="16">
        <f t="shared" si="10"/>
        <v>8.8516020528412922E-3</v>
      </c>
      <c r="N23" s="16">
        <f t="shared" si="11"/>
        <v>3.970370854914855E-3</v>
      </c>
      <c r="O23" s="16">
        <f t="shared" si="12"/>
        <v>-7.9345903121845387E-3</v>
      </c>
      <c r="R23" s="5">
        <f>IF($T$1, J23, -0.2)</f>
        <v>-0.2</v>
      </c>
      <c r="V23" s="40">
        <v>2.8210219746520582</v>
      </c>
      <c r="W23" s="40">
        <f t="shared" si="13"/>
        <v>5.2167244051173531E-4</v>
      </c>
      <c r="X23" s="40">
        <f>IF($T$2, $U$2*(SIN($U$1)+SIN(V23)), -0.2)</f>
        <v>-0.2</v>
      </c>
    </row>
    <row r="24" spans="2:24" x14ac:dyDescent="0.3">
      <c r="B24" s="16">
        <v>2.619839089424536E-3</v>
      </c>
      <c r="C24" s="16">
        <f t="shared" si="2"/>
        <v>8.9184778463727889E-3</v>
      </c>
      <c r="D24" s="16">
        <f t="shared" si="3"/>
        <v>5.0018600258129337E-4</v>
      </c>
      <c r="E24" s="16">
        <f t="shared" si="0"/>
        <v>0.18674606958977766</v>
      </c>
      <c r="F24" s="16">
        <f t="shared" si="4"/>
        <v>0.18461952542365948</v>
      </c>
      <c r="G24" s="16" t="str">
        <f t="shared" si="5"/>
        <v xml:space="preserve"> </v>
      </c>
      <c r="H24" s="16" t="str">
        <f t="shared" si="6"/>
        <v xml:space="preserve"> </v>
      </c>
      <c r="I24" s="16" t="str">
        <f t="shared" si="7"/>
        <v xml:space="preserve"> </v>
      </c>
      <c r="J24" s="16">
        <f t="shared" si="1"/>
        <v>5.0018600258129337E-4</v>
      </c>
      <c r="K24" s="16">
        <f t="shared" si="8"/>
        <v>0.18461952542365948</v>
      </c>
      <c r="L24" s="16">
        <f t="shared" si="9"/>
        <v>9.8265147634198839E-4</v>
      </c>
      <c r="M24" s="16">
        <f t="shared" si="10"/>
        <v>9.26710472102572E-3</v>
      </c>
      <c r="N24" s="16">
        <f t="shared" si="11"/>
        <v>4.2570267025070834E-3</v>
      </c>
      <c r="O24" s="16">
        <f t="shared" si="12"/>
        <v>-8.266732715863135E-3</v>
      </c>
      <c r="R24" s="5">
        <f>IF($T$1, J24, -0.2)</f>
        <v>-0.2</v>
      </c>
      <c r="V24" s="40">
        <v>2.9492502462271517</v>
      </c>
      <c r="W24" s="40">
        <f t="shared" si="13"/>
        <v>5.9431160921599302E-6</v>
      </c>
      <c r="X24" s="40">
        <f>IF($T$2, $U$2*(SIN($U$1)+SIN(V24)), -0.2)</f>
        <v>-0.2</v>
      </c>
    </row>
    <row r="25" spans="2:24" x14ac:dyDescent="0.3">
      <c r="B25" s="16">
        <v>2.8524929005325772E-3</v>
      </c>
      <c r="C25" s="16">
        <f t="shared" si="2"/>
        <v>9.2968709001598343E-3</v>
      </c>
      <c r="D25" s="16">
        <f t="shared" si="3"/>
        <v>5.4354756134273945E-4</v>
      </c>
      <c r="E25" s="16">
        <f t="shared" si="0"/>
        <v>0.1860102199565857</v>
      </c>
      <c r="F25" s="16">
        <f t="shared" si="4"/>
        <v>0.18390837878591124</v>
      </c>
      <c r="G25" s="16" t="str">
        <f t="shared" si="5"/>
        <v xml:space="preserve"> </v>
      </c>
      <c r="H25" s="16" t="str">
        <f t="shared" si="6"/>
        <v xml:space="preserve"> </v>
      </c>
      <c r="I25" s="16" t="str">
        <f t="shared" si="7"/>
        <v xml:space="preserve"> </v>
      </c>
      <c r="J25" s="16">
        <f t="shared" si="1"/>
        <v>5.4354756134273945E-4</v>
      </c>
      <c r="K25" s="16">
        <f t="shared" si="8"/>
        <v>0.18390837878591124</v>
      </c>
      <c r="L25" s="16">
        <f t="shared" si="9"/>
        <v>1.1523422300174597E-3</v>
      </c>
      <c r="M25" s="16">
        <f t="shared" si="10"/>
        <v>9.6836403525449016E-3</v>
      </c>
      <c r="N25" s="16">
        <f t="shared" si="11"/>
        <v>4.5526435710476947E-3</v>
      </c>
      <c r="O25" s="16">
        <f t="shared" si="12"/>
        <v>-8.596545229859422E-3</v>
      </c>
      <c r="R25" s="5">
        <f>IF($T$1, J25, -0.2)</f>
        <v>-0.2</v>
      </c>
      <c r="V25" s="40">
        <v>3.0774785178022452</v>
      </c>
      <c r="W25" s="40">
        <f t="shared" si="13"/>
        <v>-2.5405613638644457E-4</v>
      </c>
      <c r="X25" s="40">
        <f>IF($T$2, $U$2*(SIN($U$1)+SIN(V25)), -0.2)</f>
        <v>-0.2</v>
      </c>
    </row>
    <row r="26" spans="2:24" x14ac:dyDescent="0.3">
      <c r="B26" s="16">
        <v>3.0950276391248366E-3</v>
      </c>
      <c r="C26" s="16">
        <f t="shared" si="2"/>
        <v>9.6744578720849694E-3</v>
      </c>
      <c r="D26" s="16">
        <f t="shared" si="3"/>
        <v>5.8856862582985043E-4</v>
      </c>
      <c r="E26" s="16">
        <f t="shared" si="0"/>
        <v>0.18524459701789278</v>
      </c>
      <c r="F26" s="16">
        <f t="shared" si="4"/>
        <v>0.18316825859574989</v>
      </c>
      <c r="G26" s="16" t="str">
        <f t="shared" si="5"/>
        <v xml:space="preserve"> </v>
      </c>
      <c r="H26" s="16" t="str">
        <f t="shared" si="6"/>
        <v xml:space="preserve"> </v>
      </c>
      <c r="I26" s="16" t="str">
        <f t="shared" si="7"/>
        <v xml:space="preserve"> </v>
      </c>
      <c r="J26" s="16">
        <f t="shared" si="1"/>
        <v>5.8856862582985043E-4</v>
      </c>
      <c r="K26" s="16">
        <f t="shared" si="8"/>
        <v>0.18316825859574989</v>
      </c>
      <c r="L26" s="16">
        <f t="shared" si="9"/>
        <v>1.3328663420995683E-3</v>
      </c>
      <c r="M26" s="16">
        <f t="shared" si="10"/>
        <v>1.0101187754230455E-2</v>
      </c>
      <c r="N26" s="16">
        <f t="shared" si="11"/>
        <v>4.8571889361501046E-3</v>
      </c>
      <c r="O26" s="16">
        <f t="shared" si="12"/>
        <v>-8.9240505025707535E-3</v>
      </c>
      <c r="R26" s="5">
        <f>IF($T$1, J26, -0.2)</f>
        <v>-0.2</v>
      </c>
      <c r="V26" s="40">
        <v>3.2057067893773388</v>
      </c>
      <c r="W26" s="40">
        <f t="shared" si="13"/>
        <v>-2.540561363864481E-4</v>
      </c>
      <c r="X26" s="40">
        <f>IF($T$2, $U$2*(SIN($U$1)+SIN(V26)), -0.2)</f>
        <v>-0.2</v>
      </c>
    </row>
    <row r="27" spans="2:24" x14ac:dyDescent="0.3">
      <c r="B27" s="16">
        <v>3.3474409018774409E-3</v>
      </c>
      <c r="C27" s="16">
        <f t="shared" si="2"/>
        <v>1.0051234968706644E-2</v>
      </c>
      <c r="D27" s="16">
        <f t="shared" si="3"/>
        <v>6.3522642453898504E-4</v>
      </c>
      <c r="E27" s="16">
        <f t="shared" si="0"/>
        <v>0.18444939281178138</v>
      </c>
      <c r="F27" s="16">
        <f t="shared" si="4"/>
        <v>0.18239932757631255</v>
      </c>
      <c r="G27" s="16" t="str">
        <f t="shared" si="5"/>
        <v xml:space="preserve"> </v>
      </c>
      <c r="H27" s="16" t="str">
        <f t="shared" si="6"/>
        <v xml:space="preserve"> </v>
      </c>
      <c r="I27" s="16" t="str">
        <f t="shared" si="7"/>
        <v xml:space="preserve"> </v>
      </c>
      <c r="J27" s="16">
        <f t="shared" si="1"/>
        <v>6.3522642453898504E-4</v>
      </c>
      <c r="K27" s="16">
        <f t="shared" si="8"/>
        <v>0.18239932757631255</v>
      </c>
      <c r="L27" s="16">
        <f t="shared" si="9"/>
        <v>1.5242512189387171E-3</v>
      </c>
      <c r="M27" s="16">
        <f t="shared" si="10"/>
        <v>1.0519724579537905E-2</v>
      </c>
      <c r="N27" s="16">
        <f t="shared" si="11"/>
        <v>5.170630584816165E-3</v>
      </c>
      <c r="O27" s="16">
        <f t="shared" si="12"/>
        <v>-9.2492717304599355E-3</v>
      </c>
      <c r="R27" s="5">
        <f>IF($T$1, J27, -0.2)</f>
        <v>-0.2</v>
      </c>
      <c r="V27" s="40">
        <v>3.3339350609524323</v>
      </c>
      <c r="W27" s="40">
        <f t="shared" si="13"/>
        <v>5.9431160921511228E-6</v>
      </c>
      <c r="X27" s="40">
        <f>IF($T$2, $U$2*(SIN($U$1)+SIN(V27)), -0.2)</f>
        <v>-0.2</v>
      </c>
    </row>
    <row r="28" spans="2:24" x14ac:dyDescent="0.3">
      <c r="B28" s="16">
        <v>3.609730187578708E-3</v>
      </c>
      <c r="C28" s="16">
        <f t="shared" si="2"/>
        <v>1.0427198286291239E-2</v>
      </c>
      <c r="D28" s="16">
        <f t="shared" si="3"/>
        <v>6.8349734544980378E-4</v>
      </c>
      <c r="E28" s="16">
        <f t="shared" si="0"/>
        <v>0.1836248071345801</v>
      </c>
      <c r="F28" s="16">
        <f t="shared" si="4"/>
        <v>0.18160175543111198</v>
      </c>
      <c r="G28" s="16" t="str">
        <f t="shared" si="5"/>
        <v xml:space="preserve"> </v>
      </c>
      <c r="H28" s="16" t="str">
        <f t="shared" si="6"/>
        <v xml:space="preserve"> </v>
      </c>
      <c r="I28" s="16" t="str">
        <f t="shared" si="7"/>
        <v xml:space="preserve"> </v>
      </c>
      <c r="J28" s="16">
        <f t="shared" si="1"/>
        <v>6.8349734544980378E-4</v>
      </c>
      <c r="K28" s="16">
        <f t="shared" si="8"/>
        <v>0.18160175543111198</v>
      </c>
      <c r="L28" s="16">
        <f t="shared" si="9"/>
        <v>1.7265237463763995E-3</v>
      </c>
      <c r="M28" s="16">
        <f t="shared" si="10"/>
        <v>1.0939227334165825E-2</v>
      </c>
      <c r="N28" s="16">
        <f t="shared" si="11"/>
        <v>5.4929366287810163E-3</v>
      </c>
      <c r="O28" s="16">
        <f t="shared" si="12"/>
        <v>-9.5722326432662163E-3</v>
      </c>
      <c r="R28" s="5">
        <f>IF($T$1, J28, -0.2)</f>
        <v>-0.2</v>
      </c>
      <c r="V28" s="40">
        <v>3.4621633325275258</v>
      </c>
      <c r="W28" s="40">
        <f t="shared" si="13"/>
        <v>5.2167244051172295E-4</v>
      </c>
      <c r="X28" s="40">
        <f>IF($T$2, $U$2*(SIN($U$1)+SIN(V28)), -0.2)</f>
        <v>-0.2</v>
      </c>
    </row>
    <row r="29" spans="2:24" x14ac:dyDescent="0.3">
      <c r="B29" s="16">
        <v>3.8818928971533495E-3</v>
      </c>
      <c r="C29" s="16">
        <f t="shared" si="2"/>
        <v>1.0802343811340155E-2</v>
      </c>
      <c r="D29" s="16">
        <f t="shared" si="3"/>
        <v>7.3335694663418738E-4</v>
      </c>
      <c r="E29" s="16">
        <f t="shared" si="0"/>
        <v>0.18277104753127854</v>
      </c>
      <c r="F29" s="16">
        <f t="shared" si="4"/>
        <v>0.18077571888109942</v>
      </c>
      <c r="G29" s="16" t="str">
        <f t="shared" si="5"/>
        <v xml:space="preserve"> </v>
      </c>
      <c r="H29" s="16" t="str">
        <f t="shared" si="6"/>
        <v xml:space="preserve"> </v>
      </c>
      <c r="I29" s="16" t="str">
        <f t="shared" si="7"/>
        <v xml:space="preserve"> </v>
      </c>
      <c r="J29" s="16">
        <f t="shared" si="1"/>
        <v>7.3335694663418738E-4</v>
      </c>
      <c r="K29" s="16">
        <f t="shared" si="8"/>
        <v>0.18077571888109942</v>
      </c>
      <c r="L29" s="16">
        <f t="shared" si="9"/>
        <v>1.9397102763482261E-3</v>
      </c>
      <c r="M29" s="16">
        <f t="shared" si="10"/>
        <v>1.1359671382309498E-2</v>
      </c>
      <c r="N29" s="16">
        <f t="shared" si="11"/>
        <v>5.8240755179584727E-3</v>
      </c>
      <c r="O29" s="16">
        <f t="shared" si="12"/>
        <v>-9.8929574890411244E-3</v>
      </c>
      <c r="R29" s="5">
        <f>IF($T$1, J29, -0.2)</f>
        <v>-0.2</v>
      </c>
      <c r="V29" s="40">
        <v>3.5903916041026194</v>
      </c>
      <c r="W29" s="40">
        <f t="shared" si="13"/>
        <v>1.2846635756234006E-3</v>
      </c>
      <c r="X29" s="40">
        <f>IF($T$2, $U$2*(SIN($U$1)+SIN(V29)), -0.2)</f>
        <v>-0.2</v>
      </c>
    </row>
    <row r="30" spans="2:24" x14ac:dyDescent="0.3">
      <c r="B30" s="16">
        <v>4.1639263336883392E-3</v>
      </c>
      <c r="C30" s="16">
        <f t="shared" si="2"/>
        <v>1.1176667421137791E-2</v>
      </c>
      <c r="D30" s="16">
        <f t="shared" si="3"/>
        <v>7.8477996726902398E-4</v>
      </c>
      <c r="E30" s="16">
        <f t="shared" si="0"/>
        <v>0.18188832928556803</v>
      </c>
      <c r="F30" s="16">
        <f t="shared" si="4"/>
        <v>0.17992140170248988</v>
      </c>
      <c r="G30" s="16" t="str">
        <f t="shared" si="5"/>
        <v xml:space="preserve"> </v>
      </c>
      <c r="H30" s="16" t="str">
        <f t="shared" si="6"/>
        <v xml:space="preserve"> </v>
      </c>
      <c r="I30" s="16" t="str">
        <f t="shared" si="7"/>
        <v xml:space="preserve"> </v>
      </c>
      <c r="J30" s="16">
        <f t="shared" si="1"/>
        <v>7.8477996726902398E-4</v>
      </c>
      <c r="K30" s="16">
        <f t="shared" si="8"/>
        <v>0.17992140170248988</v>
      </c>
      <c r="L30" s="16">
        <f t="shared" si="9"/>
        <v>2.1638366133873909E-3</v>
      </c>
      <c r="M30" s="16">
        <f t="shared" si="10"/>
        <v>1.1781030953558367E-2</v>
      </c>
      <c r="N30" s="16">
        <f t="shared" si="11"/>
        <v>6.1640160539892875E-3</v>
      </c>
      <c r="O30" s="16">
        <f t="shared" si="12"/>
        <v>-1.0211471019020318E-2</v>
      </c>
      <c r="R30" s="5">
        <f>IF($T$1, J30, -0.2)</f>
        <v>-0.2</v>
      </c>
      <c r="V30" s="40">
        <v>3.7186198756777129</v>
      </c>
      <c r="W30" s="40">
        <f t="shared" si="13"/>
        <v>2.2823882280826836E-3</v>
      </c>
      <c r="X30" s="40">
        <f>IF($T$2, $U$2*(SIN($U$1)+SIN(V30)), -0.2)</f>
        <v>-0.2</v>
      </c>
    </row>
    <row r="31" spans="2:24" x14ac:dyDescent="0.3">
      <c r="B31" s="16">
        <v>4.4558277024601134E-3</v>
      </c>
      <c r="C31" s="16">
        <f t="shared" si="2"/>
        <v>1.155016488431956E-2</v>
      </c>
      <c r="D31" s="16">
        <f t="shared" si="3"/>
        <v>8.3774033905139537E-4</v>
      </c>
      <c r="E31" s="16">
        <f t="shared" si="0"/>
        <v>0.18097687540950896</v>
      </c>
      <c r="F31" s="16">
        <f t="shared" si="4"/>
        <v>0.17903899476527488</v>
      </c>
      <c r="G31" s="16" t="str">
        <f t="shared" si="5"/>
        <v xml:space="preserve"> </v>
      </c>
      <c r="H31" s="16" t="str">
        <f t="shared" si="6"/>
        <v xml:space="preserve"> </v>
      </c>
      <c r="I31" s="16" t="str">
        <f t="shared" si="7"/>
        <v xml:space="preserve"> </v>
      </c>
      <c r="J31" s="16">
        <f t="shared" si="1"/>
        <v>8.3774033905139537E-4</v>
      </c>
      <c r="K31" s="16">
        <f t="shared" si="8"/>
        <v>0.17903899476527488</v>
      </c>
      <c r="L31" s="16">
        <f t="shared" si="9"/>
        <v>2.3989280010291705E-3</v>
      </c>
      <c r="M31" s="16">
        <f t="shared" si="10"/>
        <v>1.2203279150441814E-2</v>
      </c>
      <c r="N31" s="16">
        <f t="shared" si="11"/>
        <v>6.5127274038910563E-3</v>
      </c>
      <c r="O31" s="16">
        <f t="shared" si="12"/>
        <v>-1.0527798472339025E-2</v>
      </c>
      <c r="R31" s="5">
        <f>IF($T$1, J31, -0.2)</f>
        <v>-0.2</v>
      </c>
      <c r="V31" s="40">
        <v>3.8468481472528064</v>
      </c>
      <c r="W31" s="40">
        <f t="shared" si="13"/>
        <v>3.4984637866797728E-3</v>
      </c>
      <c r="X31" s="40">
        <f>IF($T$2, $U$2*(SIN($U$1)+SIN(V31)), -0.2)</f>
        <v>-0.2</v>
      </c>
    </row>
    <row r="32" spans="2:24" x14ac:dyDescent="0.3">
      <c r="B32" s="16">
        <v>4.7575941109612163E-3</v>
      </c>
      <c r="C32" s="16">
        <f t="shared" si="2"/>
        <v>1.1922831861457497E-2</v>
      </c>
      <c r="D32" s="16">
        <f t="shared" si="3"/>
        <v>8.9221119801434869E-4</v>
      </c>
      <c r="E32" s="16">
        <f t="shared" si="0"/>
        <v>0.18003691663283136</v>
      </c>
      <c r="F32" s="16">
        <f t="shared" si="4"/>
        <v>0.17812869607234921</v>
      </c>
      <c r="G32" s="16" t="str">
        <f t="shared" si="5"/>
        <v xml:space="preserve"> </v>
      </c>
      <c r="H32" s="16" t="str">
        <f t="shared" si="6"/>
        <v xml:space="preserve"> </v>
      </c>
      <c r="I32" s="16" t="str">
        <f t="shared" si="7"/>
        <v xml:space="preserve"> </v>
      </c>
      <c r="J32" s="16">
        <f t="shared" si="1"/>
        <v>8.9221119801434869E-4</v>
      </c>
      <c r="K32" s="16">
        <f t="shared" si="8"/>
        <v>0.17812869607234921</v>
      </c>
      <c r="L32" s="16">
        <f t="shared" si="9"/>
        <v>2.645009108116156E-3</v>
      </c>
      <c r="M32" s="16">
        <f t="shared" si="10"/>
        <v>1.2626387956625931E-2</v>
      </c>
      <c r="N32" s="16">
        <f t="shared" si="11"/>
        <v>6.8701791138062766E-3</v>
      </c>
      <c r="O32" s="16">
        <f t="shared" si="12"/>
        <v>-1.0841965560597234E-2</v>
      </c>
      <c r="R32" s="5">
        <f>IF($T$1, J32, -0.2)</f>
        <v>-0.2</v>
      </c>
      <c r="V32" s="40">
        <v>3.9750764188279</v>
      </c>
      <c r="W32" s="40">
        <f t="shared" si="13"/>
        <v>4.9129223243627321E-3</v>
      </c>
      <c r="X32" s="40">
        <f>IF($T$2, $U$2*(SIN($U$1)+SIN(V32)), -0.2)</f>
        <v>-0.2</v>
      </c>
    </row>
    <row r="33" spans="2:24" x14ac:dyDescent="0.3">
      <c r="B33" s="16">
        <v>5.0692225689300541E-3</v>
      </c>
      <c r="C33" s="16">
        <f t="shared" si="2"/>
        <v>1.2294663905668047E-2</v>
      </c>
      <c r="D33" s="16">
        <f t="shared" si="3"/>
        <v>9.481648967424104E-4</v>
      </c>
      <c r="E33" s="16">
        <f t="shared" si="0"/>
        <v>0.17906869139185794</v>
      </c>
      <c r="F33" s="16">
        <f t="shared" si="4"/>
        <v>0.17719071079916168</v>
      </c>
      <c r="G33" s="16" t="str">
        <f t="shared" si="5"/>
        <v xml:space="preserve"> </v>
      </c>
      <c r="H33" s="16" t="str">
        <f t="shared" si="6"/>
        <v xml:space="preserve"> </v>
      </c>
      <c r="I33" s="16" t="str">
        <f t="shared" si="7"/>
        <v xml:space="preserve"> </v>
      </c>
      <c r="J33" s="16">
        <f t="shared" si="1"/>
        <v>9.481648967424104E-4</v>
      </c>
      <c r="K33" s="16">
        <f t="shared" si="8"/>
        <v>0.17719071079916168</v>
      </c>
      <c r="L33" s="16">
        <f t="shared" si="9"/>
        <v>2.9021040150088782E-3</v>
      </c>
      <c r="M33" s="16">
        <f t="shared" si="10"/>
        <v>1.3050328245771677E-2</v>
      </c>
      <c r="N33" s="16">
        <f t="shared" si="11"/>
        <v>7.2363411228512295E-3</v>
      </c>
      <c r="O33" s="16">
        <f t="shared" si="12"/>
        <v>-1.1153998452286856E-2</v>
      </c>
      <c r="R33" s="5">
        <f>IF($T$1, J33, -0.2)</f>
        <v>-0.2</v>
      </c>
      <c r="V33" s="40">
        <v>4.1033046904029939</v>
      </c>
      <c r="W33" s="40">
        <f t="shared" si="13"/>
        <v>6.5025384710476258E-3</v>
      </c>
      <c r="X33" s="40">
        <f>IF($T$2, $U$2*(SIN($U$1)+SIN(V33)), -0.2)</f>
        <v>-0.2</v>
      </c>
    </row>
    <row r="34" spans="2:24" x14ac:dyDescent="0.3">
      <c r="B34" s="16">
        <v>5.3907099883800935E-3</v>
      </c>
      <c r="C34" s="16">
        <f t="shared" si="2"/>
        <v>1.2665656463237219E-2</v>
      </c>
      <c r="D34" s="16">
        <f t="shared" si="3"/>
        <v>1.005573016984605E-3</v>
      </c>
      <c r="E34" s="16">
        <f t="shared" si="0"/>
        <v>0.17807244581806089</v>
      </c>
      <c r="F34" s="16">
        <f t="shared" si="4"/>
        <v>0.17622525133381639</v>
      </c>
      <c r="G34" s="16" t="str">
        <f t="shared" si="5"/>
        <v xml:space="preserve"> </v>
      </c>
      <c r="H34" s="16" t="str">
        <f t="shared" si="6"/>
        <v xml:space="preserve"> </v>
      </c>
      <c r="I34" s="16" t="str">
        <f t="shared" si="7"/>
        <v xml:space="preserve"> </v>
      </c>
      <c r="J34" s="16">
        <f t="shared" si="1"/>
        <v>1.005573016984605E-3</v>
      </c>
      <c r="K34" s="16">
        <f t="shared" si="8"/>
        <v>0.17622525133381639</v>
      </c>
      <c r="L34" s="16">
        <f t="shared" si="9"/>
        <v>3.1702361997010989E-3</v>
      </c>
      <c r="M34" s="16">
        <f t="shared" si="10"/>
        <v>1.3475069791054211E-2</v>
      </c>
      <c r="N34" s="16">
        <f t="shared" si="11"/>
        <v>7.6111837770590877E-3</v>
      </c>
      <c r="O34" s="16">
        <f t="shared" si="12"/>
        <v>-1.1463923757085E-2</v>
      </c>
      <c r="R34" s="5">
        <f>IF($T$1, J34, -0.2)</f>
        <v>-0.2</v>
      </c>
      <c r="V34" s="40">
        <v>4.2315329619780879</v>
      </c>
      <c r="W34" s="40">
        <f t="shared" si="13"/>
        <v>8.2412107735531977E-3</v>
      </c>
      <c r="X34" s="40">
        <f>IF($T$2, $U$2*(SIN($U$1)+SIN(V34)), -0.2)</f>
        <v>-0.2</v>
      </c>
    </row>
    <row r="35" spans="2:24" x14ac:dyDescent="0.3">
      <c r="B35" s="16">
        <v>5.7220531836302824E-3</v>
      </c>
      <c r="C35" s="16">
        <f t="shared" si="2"/>
        <v>1.3035804874265351E-2</v>
      </c>
      <c r="D35" s="16">
        <f t="shared" si="3"/>
        <v>1.0644063826636856E-3</v>
      </c>
      <c r="E35" s="16">
        <f t="shared" si="0"/>
        <v>0.17704843372624815</v>
      </c>
      <c r="F35" s="16">
        <f t="shared" si="4"/>
        <v>0.17523253731753696</v>
      </c>
      <c r="G35" s="16" t="str">
        <f t="shared" si="5"/>
        <v xml:space="preserve"> </v>
      </c>
      <c r="H35" s="16" t="str">
        <f t="shared" si="6"/>
        <v xml:space="preserve"> </v>
      </c>
      <c r="I35" s="16" t="str">
        <f t="shared" si="7"/>
        <v xml:space="preserve"> </v>
      </c>
      <c r="J35" s="16">
        <f t="shared" si="1"/>
        <v>1.0644063826636856E-3</v>
      </c>
      <c r="K35" s="16">
        <f t="shared" si="8"/>
        <v>0.17523253731753696</v>
      </c>
      <c r="L35" s="16">
        <f t="shared" si="9"/>
        <v>3.449428523843839E-3</v>
      </c>
      <c r="M35" s="16">
        <f t="shared" si="10"/>
        <v>1.3900581275350793E-2</v>
      </c>
      <c r="N35" s="16">
        <f t="shared" si="11"/>
        <v>7.9946778434167257E-3</v>
      </c>
      <c r="O35" s="16">
        <f t="shared" si="12"/>
        <v>-1.1771768510023421E-2</v>
      </c>
      <c r="R35" s="5">
        <f>IF($T$1, J35, -0.2)</f>
        <v>-0.2</v>
      </c>
      <c r="V35" s="40">
        <v>4.3597612335531819</v>
      </c>
      <c r="W35" s="40">
        <f t="shared" si="13"/>
        <v>1.0100390280740492E-2</v>
      </c>
      <c r="X35" s="40">
        <f>IF($T$2, $U$2*(SIN($U$1)+SIN(V35)), -0.2)</f>
        <v>-0.2</v>
      </c>
    </row>
    <row r="36" spans="2:24" x14ac:dyDescent="0.3">
      <c r="B36" s="16">
        <v>6.0632488713366905E-3</v>
      </c>
      <c r="C36" s="16">
        <f t="shared" si="2"/>
        <v>1.3405104373331219E-2</v>
      </c>
      <c r="D36" s="16">
        <f t="shared" si="3"/>
        <v>1.1246350732799061E-3</v>
      </c>
      <c r="E36" s="16">
        <f t="shared" si="0"/>
        <v>0.17599691660237879</v>
      </c>
      <c r="F36" s="16">
        <f t="shared" si="4"/>
        <v>0.17421279568540546</v>
      </c>
      <c r="G36" s="16" t="str">
        <f t="shared" si="5"/>
        <v xml:space="preserve"> </v>
      </c>
      <c r="H36" s="16" t="str">
        <f t="shared" si="6"/>
        <v xml:space="preserve"> </v>
      </c>
      <c r="I36" s="16" t="str">
        <f t="shared" si="7"/>
        <v xml:space="preserve"> </v>
      </c>
      <c r="J36" s="16">
        <f t="shared" si="1"/>
        <v>1.1246350732799061E-3</v>
      </c>
      <c r="K36" s="16">
        <f t="shared" si="8"/>
        <v>0.17421279568540546</v>
      </c>
      <c r="L36" s="16">
        <f t="shared" si="9"/>
        <v>3.7397032186813816E-3</v>
      </c>
      <c r="M36" s="16">
        <f t="shared" si="10"/>
        <v>1.4326830302101905E-2</v>
      </c>
      <c r="N36" s="16">
        <f t="shared" si="11"/>
        <v>8.3867945239919986E-3</v>
      </c>
      <c r="O36" s="16">
        <f t="shared" si="12"/>
        <v>-1.2077560155542094E-2</v>
      </c>
      <c r="R36" s="5">
        <f>IF($T$1, J36, -0.2)</f>
        <v>-0.2</v>
      </c>
      <c r="V36" s="40">
        <v>4.4879895051282759</v>
      </c>
      <c r="W36" s="40">
        <f t="shared" si="13"/>
        <v>1.2049549316501288E-2</v>
      </c>
      <c r="X36" s="40">
        <f>IF($T$2, $U$2*(SIN($U$1)+SIN(V36)), -0.2)</f>
        <v>-0.2</v>
      </c>
    </row>
    <row r="37" spans="2:24" x14ac:dyDescent="0.3">
      <c r="B37" s="16">
        <v>6.4142936705253728E-3</v>
      </c>
      <c r="C37" s="16">
        <f t="shared" si="2"/>
        <v>1.3773550090175451E-2</v>
      </c>
      <c r="D37" s="16">
        <f t="shared" si="3"/>
        <v>1.1862284377076107E-3</v>
      </c>
      <c r="E37" s="16">
        <f t="shared" si="0"/>
        <v>0.17491816359100884</v>
      </c>
      <c r="F37" s="16">
        <f t="shared" si="4"/>
        <v>0.17316626070728955</v>
      </c>
      <c r="G37" s="16" t="str">
        <f t="shared" si="5"/>
        <v xml:space="preserve"> </v>
      </c>
      <c r="H37" s="16" t="str">
        <f t="shared" si="6"/>
        <v xml:space="preserve"> </v>
      </c>
      <c r="I37" s="16" t="str">
        <f t="shared" si="7"/>
        <v xml:space="preserve"> </v>
      </c>
      <c r="J37" s="16">
        <f t="shared" si="1"/>
        <v>1.1862284377076107E-3</v>
      </c>
      <c r="K37" s="16">
        <f t="shared" si="8"/>
        <v>0.17316626070728955</v>
      </c>
      <c r="L37" s="16">
        <f t="shared" si="9"/>
        <v>4.0410818709028899E-3</v>
      </c>
      <c r="M37" s="16">
        <f t="shared" si="10"/>
        <v>1.4753783406850164E-2</v>
      </c>
      <c r="N37" s="16">
        <f t="shared" si="11"/>
        <v>8.7875054701478557E-3</v>
      </c>
      <c r="O37" s="16">
        <f t="shared" si="12"/>
        <v>-1.2381326531434943E-2</v>
      </c>
      <c r="R37" s="5">
        <f>IF($T$1, J37, -0.2)</f>
        <v>-0.2</v>
      </c>
      <c r="V37" s="40">
        <v>4.6162177767033699</v>
      </c>
      <c r="W37" s="40">
        <f t="shared" si="13"/>
        <v>1.4056682743355803E-2</v>
      </c>
      <c r="X37" s="40">
        <f>IF($T$2, $U$2*(SIN($U$1)+SIN(V37)), -0.2)</f>
        <v>-0.2</v>
      </c>
    </row>
    <row r="38" spans="2:24" x14ac:dyDescent="0.3">
      <c r="B38" s="16">
        <v>6.7751841026255644E-3</v>
      </c>
      <c r="C38" s="16">
        <f t="shared" si="2"/>
        <v>1.4141137050402037E-2</v>
      </c>
      <c r="D38" s="16">
        <f t="shared" si="3"/>
        <v>1.2491551083827106E-3</v>
      </c>
      <c r="E38" s="16">
        <f t="shared" si="0"/>
        <v>0.17381245148237001</v>
      </c>
      <c r="F38" s="16">
        <f t="shared" si="4"/>
        <v>0.17209317402887012</v>
      </c>
      <c r="G38" s="16" t="str">
        <f t="shared" si="5"/>
        <v xml:space="preserve"> </v>
      </c>
      <c r="H38" s="16" t="str">
        <f t="shared" si="6"/>
        <v xml:space="preserve"> </v>
      </c>
      <c r="I38" s="16" t="str">
        <f t="shared" si="7"/>
        <v xml:space="preserve"> </v>
      </c>
      <c r="J38" s="16">
        <f t="shared" si="1"/>
        <v>1.2491551083827106E-3</v>
      </c>
      <c r="K38" s="16">
        <f t="shared" si="8"/>
        <v>0.17209317402887012</v>
      </c>
      <c r="L38" s="16">
        <f t="shared" si="9"/>
        <v>4.3535854084130986E-3</v>
      </c>
      <c r="M38" s="16">
        <f t="shared" si="10"/>
        <v>1.5181406069460094E-2</v>
      </c>
      <c r="N38" s="16">
        <f t="shared" si="11"/>
        <v>9.1967827968380302E-3</v>
      </c>
      <c r="O38" s="16">
        <f t="shared" si="12"/>
        <v>-1.2683095852694672E-2</v>
      </c>
      <c r="R38" s="5">
        <f>IF($T$1, J38, -0.2)</f>
        <v>-0.2</v>
      </c>
      <c r="V38" s="40">
        <v>4.7444460482784638</v>
      </c>
      <c r="W38" s="40">
        <f t="shared" si="13"/>
        <v>1.6088833485925283E-2</v>
      </c>
      <c r="X38" s="40">
        <f>IF($T$2, $U$2*(SIN($U$1)+SIN(V38)), -0.2)</f>
        <v>-0.2</v>
      </c>
    </row>
    <row r="39" spans="2:24" x14ac:dyDescent="0.3">
      <c r="B39" s="16">
        <v>7.1459165915040979E-3</v>
      </c>
      <c r="C39" s="16">
        <f t="shared" si="2"/>
        <v>1.4507860176198916E-2</v>
      </c>
      <c r="D39" s="16">
        <f t="shared" si="3"/>
        <v>1.3133830158793898E-3</v>
      </c>
      <c r="E39" s="16">
        <f t="shared" si="0"/>
        <v>0.17268006469908001</v>
      </c>
      <c r="F39" s="16">
        <f t="shared" si="4"/>
        <v>0.17099378471267634</v>
      </c>
      <c r="G39" s="16" t="str">
        <f t="shared" si="5"/>
        <v xml:space="preserve"> </v>
      </c>
      <c r="H39" s="16" t="str">
        <f t="shared" si="6"/>
        <v xml:space="preserve"> </v>
      </c>
      <c r="I39" s="16" t="str">
        <f t="shared" si="7"/>
        <v xml:space="preserve"> </v>
      </c>
      <c r="J39" s="16">
        <f t="shared" si="1"/>
        <v>1.3133830158793898E-3</v>
      </c>
      <c r="K39" s="16">
        <f t="shared" si="8"/>
        <v>0.17099378471267634</v>
      </c>
      <c r="L39" s="16">
        <f t="shared" si="9"/>
        <v>4.6772340860274592E-3</v>
      </c>
      <c r="M39" s="16">
        <f t="shared" si="10"/>
        <v>1.5609662727024244E-2</v>
      </c>
      <c r="N39" s="16">
        <f t="shared" si="11"/>
        <v>9.6145990969807374E-3</v>
      </c>
      <c r="O39" s="16">
        <f t="shared" si="12"/>
        <v>-1.2982896695265466E-2</v>
      </c>
      <c r="R39" s="5">
        <f>IF($T$1, J39, -0.2)</f>
        <v>-0.2</v>
      </c>
      <c r="V39" s="40">
        <v>4.8726743198535578</v>
      </c>
      <c r="W39" s="40">
        <f t="shared" si="13"/>
        <v>1.8112633685198581E-2</v>
      </c>
      <c r="X39" s="40">
        <f>IF($T$2, $U$2*(SIN($U$1)+SIN(V39)), -0.2)</f>
        <v>-0.2</v>
      </c>
    </row>
    <row r="40" spans="2:24" x14ac:dyDescent="0.3">
      <c r="B40" s="16">
        <v>7.5264874635010415E-3</v>
      </c>
      <c r="C40" s="16">
        <f t="shared" si="2"/>
        <v>1.4873714287077389E-2</v>
      </c>
      <c r="D40" s="16">
        <f t="shared" si="3"/>
        <v>1.3788794038741552E-3</v>
      </c>
      <c r="E40" s="16">
        <f t="shared" si="0"/>
        <v>0.17152129528248397</v>
      </c>
      <c r="F40" s="16">
        <f t="shared" si="4"/>
        <v>0.16986834927903502</v>
      </c>
      <c r="G40" s="16" t="str">
        <f t="shared" si="5"/>
        <v xml:space="preserve"> </v>
      </c>
      <c r="H40" s="16" t="str">
        <f t="shared" si="6"/>
        <v xml:space="preserve"> </v>
      </c>
      <c r="I40" s="16" t="str">
        <f t="shared" si="7"/>
        <v xml:space="preserve"> </v>
      </c>
      <c r="J40" s="16">
        <f t="shared" si="1"/>
        <v>1.3788794038741552E-3</v>
      </c>
      <c r="K40" s="16">
        <f t="shared" si="8"/>
        <v>0.16986834927903502</v>
      </c>
      <c r="L40" s="16">
        <f t="shared" si="9"/>
        <v>5.0120474710969812E-3</v>
      </c>
      <c r="M40" s="16">
        <f t="shared" si="10"/>
        <v>1.6038516787459368E-2</v>
      </c>
      <c r="N40" s="16">
        <f t="shared" si="11"/>
        <v>1.0040927455905102E-2</v>
      </c>
      <c r="O40" s="16">
        <f t="shared" si="12"/>
        <v>-1.3280757979711058E-2</v>
      </c>
      <c r="R40" s="5">
        <f>IF($T$1, J40, -0.2)</f>
        <v>-0.2</v>
      </c>
      <c r="V40" s="40">
        <v>5.0009025914286518</v>
      </c>
      <c r="W40" s="40">
        <f t="shared" si="13"/>
        <v>2.0094852597854596E-2</v>
      </c>
      <c r="X40" s="40">
        <f>IF($T$2, $U$2*(SIN($U$1)+SIN(V40)), -0.2)</f>
        <v>-0.2</v>
      </c>
    </row>
    <row r="41" spans="2:24" x14ac:dyDescent="0.3">
      <c r="B41" s="16">
        <v>7.9168929474660032E-3</v>
      </c>
      <c r="C41" s="16">
        <f t="shared" si="2"/>
        <v>1.5238694100629682E-2</v>
      </c>
      <c r="D41" s="16">
        <f t="shared" si="3"/>
        <v>1.4456108444952185E-3</v>
      </c>
      <c r="E41" s="16">
        <f t="shared" si="0"/>
        <v>0.17033644287863034</v>
      </c>
      <c r="F41" s="16">
        <f t="shared" si="4"/>
        <v>0.16871713174684327</v>
      </c>
      <c r="G41" s="16" t="str">
        <f t="shared" si="5"/>
        <v xml:space="preserve"> </v>
      </c>
      <c r="H41" s="16" t="str">
        <f t="shared" si="6"/>
        <v xml:space="preserve"> </v>
      </c>
      <c r="I41" s="16" t="str">
        <f t="shared" si="7"/>
        <v xml:space="preserve"> </v>
      </c>
      <c r="J41" s="16">
        <f t="shared" si="1"/>
        <v>1.4456108444952185E-3</v>
      </c>
      <c r="K41" s="16">
        <f t="shared" si="8"/>
        <v>0.16871713174684327</v>
      </c>
      <c r="L41" s="16">
        <f t="shared" si="9"/>
        <v>5.3580444290679246E-3</v>
      </c>
      <c r="M41" s="16">
        <f t="shared" si="10"/>
        <v>1.6467930643795786E-2</v>
      </c>
      <c r="N41" s="16">
        <f t="shared" si="11"/>
        <v>1.0475741465864082E-2</v>
      </c>
      <c r="O41" s="16">
        <f t="shared" si="12"/>
        <v>-1.3576708954805347E-2</v>
      </c>
      <c r="R41" s="5">
        <f>IF($T$1, J41, -0.2)</f>
        <v>-0.2</v>
      </c>
      <c r="V41" s="40">
        <v>5.1291308630037458</v>
      </c>
      <c r="W41" s="40">
        <f t="shared" si="13"/>
        <v>2.2002942244148928E-2</v>
      </c>
      <c r="X41" s="40">
        <f>IF($T$2, $U$2*(SIN($U$1)+SIN(V41)), -0.2)</f>
        <v>-0.2</v>
      </c>
    </row>
    <row r="42" spans="2:24" x14ac:dyDescent="0.3">
      <c r="B42" s="16">
        <v>8.3171291747956566E-3</v>
      </c>
      <c r="C42" s="16">
        <f t="shared" si="2"/>
        <v>1.5602794233305127E-2</v>
      </c>
      <c r="D42" s="16">
        <f t="shared" si="3"/>
        <v>1.5135432540553312E-3</v>
      </c>
      <c r="E42" s="16">
        <f t="shared" si="0"/>
        <v>0.16912581472387905</v>
      </c>
      <c r="F42" s="16">
        <f t="shared" si="4"/>
        <v>0.16754040367406717</v>
      </c>
      <c r="G42" s="16" t="str">
        <f t="shared" si="5"/>
        <v xml:space="preserve"> </v>
      </c>
      <c r="H42" s="16" t="str">
        <f t="shared" si="6"/>
        <v xml:space="preserve"> </v>
      </c>
      <c r="I42" s="16" t="str">
        <f t="shared" si="7"/>
        <v xml:space="preserve"> </v>
      </c>
      <c r="J42" s="16">
        <f t="shared" si="1"/>
        <v>1.5135432540553312E-3</v>
      </c>
      <c r="K42" s="16">
        <f t="shared" si="8"/>
        <v>0.16754040367406717</v>
      </c>
      <c r="L42" s="16">
        <f t="shared" si="9"/>
        <v>5.7152431089830414E-3</v>
      </c>
      <c r="M42" s="16">
        <f t="shared" si="10"/>
        <v>1.6897865689164064E-2</v>
      </c>
      <c r="N42" s="16">
        <f t="shared" si="11"/>
        <v>1.0919015240608272E-2</v>
      </c>
      <c r="O42" s="16">
        <f t="shared" si="12"/>
        <v>-1.3870779181053401E-2</v>
      </c>
      <c r="R42" s="5">
        <f>IF($T$1, J42, -0.2)</f>
        <v>-0.2</v>
      </c>
      <c r="V42" s="40">
        <v>5.2573591345788397</v>
      </c>
      <c r="W42" s="40">
        <f t="shared" si="13"/>
        <v>2.3805571844841403E-2</v>
      </c>
      <c r="X42" s="40">
        <f>IF($T$2, $U$2*(SIN($U$1)+SIN(V42)), -0.2)</f>
        <v>-0.2</v>
      </c>
    </row>
    <row r="43" spans="2:24" x14ac:dyDescent="0.3">
      <c r="B43" s="16">
        <v>8.727192179471821E-3</v>
      </c>
      <c r="C43" s="16">
        <f t="shared" si="2"/>
        <v>1.5966009201204088E-2</v>
      </c>
      <c r="D43" s="16">
        <f t="shared" si="3"/>
        <v>1.5826419091659288E-3</v>
      </c>
      <c r="E43" s="16">
        <f t="shared" si="0"/>
        <v>0.16788972563014559</v>
      </c>
      <c r="F43" s="16">
        <f t="shared" si="4"/>
        <v>0.16633844419787353</v>
      </c>
      <c r="G43" s="16" t="str">
        <f t="shared" si="5"/>
        <v xml:space="preserve"> </v>
      </c>
      <c r="H43" s="16" t="str">
        <f t="shared" si="6"/>
        <v xml:space="preserve"> </v>
      </c>
      <c r="I43" s="16" t="str">
        <f t="shared" si="7"/>
        <v xml:space="preserve"> </v>
      </c>
      <c r="J43" s="16">
        <f t="shared" si="1"/>
        <v>1.5826419091659288E-3</v>
      </c>
      <c r="K43" s="16">
        <f t="shared" si="8"/>
        <v>0.16633844419787353</v>
      </c>
      <c r="L43" s="16">
        <f t="shared" si="9"/>
        <v>6.0836609289304641E-3</v>
      </c>
      <c r="M43" s="16">
        <f t="shared" si="10"/>
        <v>1.7328282332481355E-2</v>
      </c>
      <c r="N43" s="16">
        <f t="shared" si="11"/>
        <v>1.1370723430013177E-2</v>
      </c>
      <c r="O43" s="16">
        <f t="shared" si="12"/>
        <v>-1.4162998514149497E-2</v>
      </c>
      <c r="R43" s="5">
        <f>IF($T$1, J43, -0.2)</f>
        <v>-0.2</v>
      </c>
      <c r="V43" s="40">
        <v>5.3855874061539337</v>
      </c>
      <c r="W43" s="40">
        <f t="shared" si="13"/>
        <v>2.5473142271725032E-2</v>
      </c>
      <c r="X43" s="40">
        <f>IF($T$2, $U$2*(SIN($U$1)+SIN(V43)), -0.2)</f>
        <v>-0.2</v>
      </c>
    </row>
    <row r="44" spans="2:24" x14ac:dyDescent="0.3">
      <c r="B44" s="16">
        <v>9.1470778981007639E-3</v>
      </c>
      <c r="C44" s="16">
        <f t="shared" si="2"/>
        <v>1.6328333420890229E-2</v>
      </c>
      <c r="D44" s="16">
        <f t="shared" si="3"/>
        <v>1.6528714632306314E-3</v>
      </c>
      <c r="E44" s="16">
        <f t="shared" si="0"/>
        <v>0.16662849796977877</v>
      </c>
      <c r="F44" s="16">
        <f t="shared" si="4"/>
        <v>0.16511154007429615</v>
      </c>
      <c r="G44" s="16" t="str">
        <f t="shared" si="5"/>
        <v xml:space="preserve"> </v>
      </c>
      <c r="H44" s="16" t="str">
        <f t="shared" si="6"/>
        <v xml:space="preserve"> </v>
      </c>
      <c r="I44" s="16" t="str">
        <f t="shared" si="7"/>
        <v xml:space="preserve"> </v>
      </c>
      <c r="J44" s="16">
        <f t="shared" si="1"/>
        <v>1.6528714632306314E-3</v>
      </c>
      <c r="K44" s="16">
        <f t="shared" si="8"/>
        <v>0.16511154007429615</v>
      </c>
      <c r="L44" s="16">
        <f t="shared" si="9"/>
        <v>6.4633145614480126E-3</v>
      </c>
      <c r="M44" s="16">
        <f t="shared" si="10"/>
        <v>1.775914001484119E-2</v>
      </c>
      <c r="N44" s="16">
        <f t="shared" si="11"/>
        <v>1.1830841234753515E-2</v>
      </c>
      <c r="O44" s="16">
        <f t="shared" si="12"/>
        <v>-1.4453397088379928E-2</v>
      </c>
      <c r="R44" s="5">
        <f>IF($T$1, J44, -0.2)</f>
        <v>-0.2</v>
      </c>
      <c r="V44" s="40">
        <v>5.5138156777290277</v>
      </c>
      <c r="W44" s="40">
        <f t="shared" si="13"/>
        <v>2.6978272064492867E-2</v>
      </c>
      <c r="X44" s="40">
        <f>IF($T$2, $U$2*(SIN($U$1)+SIN(V44)), -0.2)</f>
        <v>-0.2</v>
      </c>
    </row>
    <row r="45" spans="2:24" x14ac:dyDescent="0.3">
      <c r="B45" s="16">
        <v>9.5767821699537237E-3</v>
      </c>
      <c r="C45" s="16">
        <f t="shared" si="2"/>
        <v>1.6689761210220887E-2</v>
      </c>
      <c r="D45" s="16">
        <f t="shared" si="3"/>
        <v>1.7241959633159732E-3</v>
      </c>
      <c r="E45" s="16">
        <f t="shared" si="0"/>
        <v>0.16534246166007319</v>
      </c>
      <c r="F45" s="16">
        <f t="shared" si="4"/>
        <v>0.1638599857173392</v>
      </c>
      <c r="G45" s="16" t="str">
        <f t="shared" si="5"/>
        <v xml:space="preserve"> </v>
      </c>
      <c r="H45" s="16" t="str">
        <f t="shared" si="6"/>
        <v xml:space="preserve"> </v>
      </c>
      <c r="I45" s="16" t="str">
        <f t="shared" si="7"/>
        <v xml:space="preserve"> </v>
      </c>
      <c r="J45" s="16">
        <f t="shared" si="1"/>
        <v>1.7241959633159732E-3</v>
      </c>
      <c r="K45" s="16">
        <f t="shared" si="8"/>
        <v>0.1638599857173392</v>
      </c>
      <c r="L45" s="16">
        <f t="shared" si="9"/>
        <v>6.8542199188906128E-3</v>
      </c>
      <c r="M45" s="16">
        <f t="shared" si="10"/>
        <v>1.8190397226609215E-2</v>
      </c>
      <c r="N45" s="16">
        <f t="shared" si="11"/>
        <v>1.2299344421016834E-2</v>
      </c>
      <c r="O45" s="16">
        <f t="shared" si="12"/>
        <v>-1.4742005299977268E-2</v>
      </c>
      <c r="R45" s="5">
        <f>IF($T$1, J45, -0.2)</f>
        <v>-0.2</v>
      </c>
      <c r="V45" s="40">
        <v>5.6420439493041217</v>
      </c>
      <c r="W45" s="40">
        <f t="shared" si="13"/>
        <v>2.8296247033559208E-2</v>
      </c>
      <c r="X45" s="40">
        <f>IF($T$2, $U$2*(SIN($U$1)+SIN(V45)), -0.2)</f>
        <v>-0.2</v>
      </c>
    </row>
    <row r="46" spans="2:24" x14ac:dyDescent="0.3">
      <c r="B46" s="16">
        <v>1.0016300737007988E-2</v>
      </c>
      <c r="C46" s="16">
        <f t="shared" si="2"/>
        <v>1.7050286789194832E-2</v>
      </c>
      <c r="D46" s="16">
        <f t="shared" si="3"/>
        <v>1.7965788673970768E-3</v>
      </c>
      <c r="E46" s="16">
        <f t="shared" si="0"/>
        <v>0.16403195414741903</v>
      </c>
      <c r="F46" s="16">
        <f t="shared" si="4"/>
        <v>0.16258408323742266</v>
      </c>
      <c r="G46" s="16" t="str">
        <f t="shared" si="5"/>
        <v xml:space="preserve"> </v>
      </c>
      <c r="H46" s="16" t="str">
        <f t="shared" si="6"/>
        <v xml:space="preserve"> </v>
      </c>
      <c r="I46" s="16" t="str">
        <f t="shared" si="7"/>
        <v xml:space="preserve"> </v>
      </c>
      <c r="J46" s="16">
        <f t="shared" si="1"/>
        <v>1.7965788673970768E-3</v>
      </c>
      <c r="K46" s="16">
        <f t="shared" si="8"/>
        <v>0.16258408323742266</v>
      </c>
      <c r="L46" s="16">
        <f t="shared" si="9"/>
        <v>7.2563921387684147E-3</v>
      </c>
      <c r="M46" s="16">
        <f t="shared" si="10"/>
        <v>1.8622011525226568E-2</v>
      </c>
      <c r="N46" s="16">
        <f t="shared" si="11"/>
        <v>1.2776209335247563E-2</v>
      </c>
      <c r="O46" s="16">
        <f t="shared" si="12"/>
        <v>-1.5028853790432414E-2</v>
      </c>
      <c r="R46" s="5">
        <f>IF($T$1, J46, -0.2)</f>
        <v>-0.2</v>
      </c>
      <c r="V46" s="40">
        <v>5.7702722208792157</v>
      </c>
      <c r="W46" s="40">
        <f t="shared" si="13"/>
        <v>2.9405426066369384E-2</v>
      </c>
      <c r="X46" s="40">
        <f>IF($T$2, $U$2*(SIN($U$1)+SIN(V46)), -0.2)</f>
        <v>-0.2</v>
      </c>
    </row>
    <row r="47" spans="2:24" x14ac:dyDescent="0.3">
      <c r="B47" s="16">
        <v>1.0465629243989194E-2</v>
      </c>
      <c r="C47" s="16">
        <f t="shared" si="2"/>
        <v>1.74099042808178E-2</v>
      </c>
      <c r="D47" s="16">
        <f t="shared" si="3"/>
        <v>1.8699830619761583E-3</v>
      </c>
      <c r="E47" s="16">
        <f t="shared" si="0"/>
        <v>0.16269732039108786</v>
      </c>
      <c r="F47" s="16">
        <f t="shared" si="4"/>
        <v>0.16128414247906953</v>
      </c>
      <c r="G47" s="16" t="str">
        <f t="shared" si="5"/>
        <v xml:space="preserve"> </v>
      </c>
      <c r="H47" s="16" t="str">
        <f t="shared" si="6"/>
        <v xml:space="preserve"> </v>
      </c>
      <c r="I47" s="16" t="str">
        <f t="shared" si="7"/>
        <v xml:space="preserve"> </v>
      </c>
      <c r="J47" s="16">
        <f t="shared" si="1"/>
        <v>1.8699830619761583E-3</v>
      </c>
      <c r="K47" s="16">
        <f t="shared" si="8"/>
        <v>0.16128414247906953</v>
      </c>
      <c r="L47" s="16">
        <f t="shared" si="9"/>
        <v>7.6698455690648679E-3</v>
      </c>
      <c r="M47" s="16">
        <f t="shared" si="10"/>
        <v>1.9053939553723472E-2</v>
      </c>
      <c r="N47" s="16">
        <f t="shared" si="11"/>
        <v>1.326141291891352E-2</v>
      </c>
      <c r="O47" s="16">
        <f t="shared" si="12"/>
        <v>-1.5313973429771154E-2</v>
      </c>
      <c r="R47" s="5">
        <f>IF($T$1, J47, -0.2)</f>
        <v>-0.2</v>
      </c>
      <c r="V47" s="40">
        <v>5.8985004924543096</v>
      </c>
      <c r="W47" s="40">
        <f t="shared" si="13"/>
        <v>3.0287596473869555E-2</v>
      </c>
      <c r="X47" s="40">
        <f>IF($T$2, $U$2*(SIN($U$1)+SIN(V47)), -0.2)</f>
        <v>-0.2</v>
      </c>
    </row>
    <row r="48" spans="2:24" x14ac:dyDescent="0.3">
      <c r="B48" s="16">
        <v>1.092476323841407E-2</v>
      </c>
      <c r="C48" s="16">
        <f t="shared" si="2"/>
        <v>1.7768607711985115E-2</v>
      </c>
      <c r="D48" s="16">
        <f t="shared" si="3"/>
        <v>1.9443708800714735E-3</v>
      </c>
      <c r="E48" s="16">
        <f t="shared" si="0"/>
        <v>0.16133891284665716</v>
      </c>
      <c r="F48" s="16">
        <f t="shared" si="4"/>
        <v>0.15996048105773958</v>
      </c>
      <c r="G48" s="16" t="str">
        <f t="shared" si="5"/>
        <v xml:space="preserve"> </v>
      </c>
      <c r="H48" s="16" t="str">
        <f t="shared" si="6"/>
        <v xml:space="preserve"> </v>
      </c>
      <c r="I48" s="16" t="str">
        <f t="shared" si="7"/>
        <v xml:space="preserve"> </v>
      </c>
      <c r="J48" s="16">
        <f t="shared" si="1"/>
        <v>1.9443708800714735E-3</v>
      </c>
      <c r="K48" s="16">
        <f t="shared" si="8"/>
        <v>0.15996048105773958</v>
      </c>
      <c r="L48" s="16">
        <f t="shared" si="9"/>
        <v>8.094593753543166E-3</v>
      </c>
      <c r="M48" s="16">
        <f t="shared" si="10"/>
        <v>1.9486137059944085E-2</v>
      </c>
      <c r="N48" s="16">
        <f t="shared" si="11"/>
        <v>1.3754932723284975E-2</v>
      </c>
      <c r="O48" s="16">
        <f t="shared" si="12"/>
        <v>-1.5597395299801137E-2</v>
      </c>
      <c r="R48" s="5">
        <f>IF($T$1, J48, -0.2)</f>
        <v>-0.2</v>
      </c>
      <c r="V48" s="40">
        <v>6.0267287640294036</v>
      </c>
      <c r="W48" s="40">
        <f t="shared" si="13"/>
        <v>3.0928273042357481E-2</v>
      </c>
      <c r="X48" s="40">
        <f>IF($T$2, $U$2*(SIN($U$1)+SIN(V48)), -0.2)</f>
        <v>-0.2</v>
      </c>
    </row>
    <row r="49" spans="2:24" x14ac:dyDescent="0.3">
      <c r="B49" s="16">
        <v>1.1393698170635291E-2</v>
      </c>
      <c r="C49" s="16">
        <f t="shared" si="2"/>
        <v>1.8126391014382483E-2</v>
      </c>
      <c r="D49" s="16">
        <f t="shared" si="3"/>
        <v>2.019704119574649E-3</v>
      </c>
      <c r="E49" s="16">
        <f t="shared" si="0"/>
        <v>0.1599570914490698</v>
      </c>
      <c r="F49" s="16">
        <f t="shared" si="4"/>
        <v>0.15861342439570619</v>
      </c>
      <c r="G49" s="16" t="str">
        <f t="shared" si="5"/>
        <v xml:space="preserve"> </v>
      </c>
      <c r="H49" s="16" t="str">
        <f t="shared" si="6"/>
        <v xml:space="preserve"> </v>
      </c>
      <c r="I49" s="16" t="str">
        <f t="shared" si="7"/>
        <v xml:space="preserve"> </v>
      </c>
      <c r="J49" s="16">
        <f t="shared" si="1"/>
        <v>2.019704119574649E-3</v>
      </c>
      <c r="K49" s="16">
        <f t="shared" si="8"/>
        <v>0.15861342439570619</v>
      </c>
      <c r="L49" s="16">
        <f t="shared" si="9"/>
        <v>8.5306494170522273E-3</v>
      </c>
      <c r="M49" s="16">
        <f t="shared" si="10"/>
        <v>1.9918558916485328E-2</v>
      </c>
      <c r="N49" s="16">
        <f t="shared" si="11"/>
        <v>1.4256746924218355E-2</v>
      </c>
      <c r="O49" s="16">
        <f t="shared" si="12"/>
        <v>-1.5879150677336029E-2</v>
      </c>
      <c r="R49" s="5">
        <f>IF($T$1, J49, -0.2)</f>
        <v>-0.2</v>
      </c>
      <c r="V49" s="40">
        <v>6.1549570356044976</v>
      </c>
      <c r="W49" s="40">
        <f t="shared" si="13"/>
        <v>3.1316935880291052E-2</v>
      </c>
      <c r="X49" s="40">
        <f>IF($T$2, $U$2*(SIN($U$1)+SIN(V49)), -0.2)</f>
        <v>-0.2</v>
      </c>
    </row>
    <row r="50" spans="2:24" x14ac:dyDescent="0.3">
      <c r="B50" s="16">
        <v>1.1872429393885775E-2</v>
      </c>
      <c r="C50" s="16">
        <f t="shared" si="2"/>
        <v>1.8483248025402649E-2</v>
      </c>
      <c r="D50" s="16">
        <f t="shared" si="3"/>
        <v>2.0959440619735979E-3</v>
      </c>
      <c r="E50" s="16">
        <f t="shared" si="0"/>
        <v>0.15855222359533641</v>
      </c>
      <c r="F50" s="16">
        <f t="shared" si="4"/>
        <v>0.15724330575688683</v>
      </c>
      <c r="G50" s="16" t="str">
        <f t="shared" si="5"/>
        <v xml:space="preserve"> </v>
      </c>
      <c r="H50" s="16" t="str">
        <f t="shared" si="6"/>
        <v xml:space="preserve"> </v>
      </c>
      <c r="I50" s="16" t="str">
        <f t="shared" si="7"/>
        <v xml:space="preserve"> </v>
      </c>
      <c r="J50" s="16">
        <f t="shared" si="1"/>
        <v>2.0959440619735979E-3</v>
      </c>
      <c r="K50" s="16">
        <f t="shared" si="8"/>
        <v>0.15724330575688683</v>
      </c>
      <c r="L50" s="16">
        <f t="shared" si="9"/>
        <v>8.9780244508398319E-3</v>
      </c>
      <c r="M50" s="16">
        <f t="shared" si="10"/>
        <v>2.0351159141348101E-2</v>
      </c>
      <c r="N50" s="16">
        <f t="shared" si="11"/>
        <v>1.4766834336931718E-2</v>
      </c>
      <c r="O50" s="16">
        <f t="shared" si="12"/>
        <v>-1.6159271017400903E-2</v>
      </c>
      <c r="R50" s="5">
        <f>IF($T$1, J50, -0.2)</f>
        <v>-0.2</v>
      </c>
      <c r="V50" s="40">
        <v>6.2831853071795916</v>
      </c>
      <c r="W50" s="40">
        <f t="shared" si="13"/>
        <v>3.1447203154616563E-2</v>
      </c>
      <c r="X50" s="40">
        <f>IF($T$2, $U$2*(SIN($U$1)+SIN(V50)), -0.2)</f>
        <v>-0.2</v>
      </c>
    </row>
    <row r="51" spans="2:24" x14ac:dyDescent="0.3">
      <c r="B51" s="16">
        <v>1.2360952164325312E-2</v>
      </c>
      <c r="C51" s="16">
        <f t="shared" si="2"/>
        <v>1.8839172489080142E-2</v>
      </c>
      <c r="D51" s="16">
        <f t="shared" si="3"/>
        <v>2.1730514914390792E-3</v>
      </c>
      <c r="E51" s="16">
        <f t="shared" si="0"/>
        <v>0.15712468412687355</v>
      </c>
      <c r="F51" s="16">
        <f t="shared" si="4"/>
        <v>0.15585046628052093</v>
      </c>
      <c r="G51" s="16" t="str">
        <f t="shared" si="5"/>
        <v xml:space="preserve"> </v>
      </c>
      <c r="H51" s="16" t="str">
        <f t="shared" si="6"/>
        <v xml:space="preserve"> </v>
      </c>
      <c r="I51" s="16" t="str">
        <f t="shared" si="7"/>
        <v xml:space="preserve"> </v>
      </c>
      <c r="J51" s="16">
        <f t="shared" si="1"/>
        <v>2.1730514914390792E-3</v>
      </c>
      <c r="K51" s="16">
        <f t="shared" si="8"/>
        <v>0.15585046628052093</v>
      </c>
      <c r="L51" s="16">
        <f t="shared" si="9"/>
        <v>9.4367298978860568E-3</v>
      </c>
      <c r="M51" s="16">
        <f t="shared" si="10"/>
        <v>2.078389091930409E-2</v>
      </c>
      <c r="N51" s="16">
        <f t="shared" si="11"/>
        <v>1.5285174430764567E-2</v>
      </c>
      <c r="O51" s="16">
        <f t="shared" si="12"/>
        <v>-1.6437787936425932E-2</v>
      </c>
      <c r="R51" s="5">
        <f>IF($T$1, J51, -0.2)</f>
        <v>-0.2</v>
      </c>
    </row>
    <row r="52" spans="2:24" x14ac:dyDescent="0.3">
      <c r="B52" s="16">
        <v>1.2859261641087194E-2</v>
      </c>
      <c r="C52" s="16">
        <f t="shared" si="2"/>
        <v>1.9194158057042044E-2</v>
      </c>
      <c r="D52" s="16">
        <f t="shared" si="3"/>
        <v>2.2509867142720503E-3</v>
      </c>
      <c r="E52" s="16">
        <f t="shared" si="0"/>
        <v>0.15567485531148467</v>
      </c>
      <c r="F52" s="16">
        <f t="shared" si="4"/>
        <v>0.15443525501360555</v>
      </c>
      <c r="G52" s="16" t="str">
        <f t="shared" si="5"/>
        <v xml:space="preserve"> </v>
      </c>
      <c r="H52" s="16" t="str">
        <f t="shared" si="6"/>
        <v xml:space="preserve"> </v>
      </c>
      <c r="I52" s="16" t="str">
        <f t="shared" si="7"/>
        <v xml:space="preserve"> </v>
      </c>
      <c r="J52" s="16">
        <f t="shared" si="1"/>
        <v>2.2509867142720503E-3</v>
      </c>
      <c r="K52" s="16">
        <f t="shared" si="8"/>
        <v>0.15443525501360555</v>
      </c>
      <c r="L52" s="16">
        <f t="shared" si="9"/>
        <v>9.9067759382658587E-3</v>
      </c>
      <c r="M52" s="16">
        <f t="shared" si="10"/>
        <v>2.1216706623976182E-2</v>
      </c>
      <c r="N52" s="16">
        <f t="shared" si="11"/>
        <v>1.5811747343908528E-2</v>
      </c>
      <c r="O52" s="16">
        <f t="shared" si="12"/>
        <v>-1.6714733195432079E-2</v>
      </c>
      <c r="R52" s="5">
        <f>IF($T$1, J52, -0.2)</f>
        <v>-0.2</v>
      </c>
    </row>
    <row r="53" spans="2:24" x14ac:dyDescent="0.3">
      <c r="B53" s="16">
        <v>1.3367352886326511E-2</v>
      </c>
      <c r="C53" s="16">
        <f t="shared" si="2"/>
        <v>1.954819828947587E-2</v>
      </c>
      <c r="D53" s="16">
        <f t="shared" si="3"/>
        <v>2.3297095787095734E-3</v>
      </c>
      <c r="E53" s="16">
        <f t="shared" si="0"/>
        <v>0.15420312682498011</v>
      </c>
      <c r="F53" s="16">
        <f t="shared" si="4"/>
        <v>0.15299802894198763</v>
      </c>
      <c r="G53" s="16" t="str">
        <f t="shared" si="5"/>
        <v xml:space="preserve"> </v>
      </c>
      <c r="H53" s="16" t="str">
        <f t="shared" si="6"/>
        <v xml:space="preserve"> </v>
      </c>
      <c r="I53" s="16" t="str">
        <f t="shared" si="7"/>
        <v xml:space="preserve"> </v>
      </c>
      <c r="J53" s="16">
        <f t="shared" si="1"/>
        <v>2.3297095787095734E-3</v>
      </c>
      <c r="K53" s="16">
        <f t="shared" si="8"/>
        <v>0.15299802894198763</v>
      </c>
      <c r="L53" s="16">
        <f t="shared" si="9"/>
        <v>1.0388171874553705E-2</v>
      </c>
      <c r="M53" s="16">
        <f t="shared" si="10"/>
        <v>2.1649557840633361E-2</v>
      </c>
      <c r="N53" s="16">
        <f t="shared" si="11"/>
        <v>1.6346533898099317E-2</v>
      </c>
      <c r="O53" s="16">
        <f t="shared" si="12"/>
        <v>-1.6990138683214216E-2</v>
      </c>
      <c r="R53" s="5">
        <f>IF($T$1, J53, -0.2)</f>
        <v>-0.2</v>
      </c>
    </row>
    <row r="54" spans="2:24" x14ac:dyDescent="0.3">
      <c r="B54" s="16">
        <v>1.3885220865268999E-2</v>
      </c>
      <c r="C54" s="16">
        <f t="shared" si="2"/>
        <v>1.990128665611357E-2</v>
      </c>
      <c r="D54" s="16">
        <f t="shared" si="3"/>
        <v>2.4091794950865416E-3</v>
      </c>
      <c r="E54" s="16">
        <f t="shared" si="0"/>
        <v>0.15270989573243993</v>
      </c>
      <c r="F54" s="16">
        <f t="shared" si="4"/>
        <v>0.15153915302002122</v>
      </c>
      <c r="G54" s="16" t="str">
        <f t="shared" si="5"/>
        <v xml:space="preserve"> </v>
      </c>
      <c r="H54" s="16" t="str">
        <f t="shared" si="6"/>
        <v xml:space="preserve"> </v>
      </c>
      <c r="I54" s="16" t="str">
        <f t="shared" si="7"/>
        <v xml:space="preserve"> </v>
      </c>
      <c r="J54" s="16">
        <f t="shared" si="1"/>
        <v>2.4091794950865416E-3</v>
      </c>
      <c r="K54" s="16">
        <f t="shared" si="8"/>
        <v>0.15153915302002122</v>
      </c>
      <c r="L54" s="16">
        <f t="shared" si="9"/>
        <v>1.0880926117281014E-2</v>
      </c>
      <c r="M54" s="16">
        <f t="shared" si="10"/>
        <v>2.2082395389698584E-2</v>
      </c>
      <c r="N54" s="16">
        <f t="shared" si="11"/>
        <v>1.6889515613256984E-2</v>
      </c>
      <c r="O54" s="16">
        <f t="shared" si="12"/>
        <v>-1.7264036399525499E-2</v>
      </c>
      <c r="R54" s="5">
        <f>IF($T$1, J54, -0.2)</f>
        <v>-0.2</v>
      </c>
    </row>
    <row r="55" spans="2:24" x14ac:dyDescent="0.3">
      <c r="B55" s="16">
        <v>1.4412860446260445E-2</v>
      </c>
      <c r="C55" s="16">
        <f t="shared" si="2"/>
        <v>2.0253416537231582E-2</v>
      </c>
      <c r="D55" s="16">
        <f t="shared" si="3"/>
        <v>2.4893554563506131E-3</v>
      </c>
      <c r="E55" s="16">
        <f t="shared" si="0"/>
        <v>0.15119556646912041</v>
      </c>
      <c r="F55" s="16">
        <f t="shared" si="4"/>
        <v>0.15005900019869536</v>
      </c>
      <c r="G55" s="16" t="str">
        <f t="shared" si="5"/>
        <v xml:space="preserve"> </v>
      </c>
      <c r="H55" s="16" t="str">
        <f t="shared" si="6"/>
        <v xml:space="preserve"> </v>
      </c>
      <c r="I55" s="16" t="str">
        <f t="shared" si="7"/>
        <v xml:space="preserve"> </v>
      </c>
      <c r="J55" s="16">
        <f t="shared" si="1"/>
        <v>2.4893554563506131E-3</v>
      </c>
      <c r="K55" s="16">
        <f t="shared" si="8"/>
        <v>0.15005900019869536</v>
      </c>
      <c r="L55" s="16">
        <f t="shared" si="9"/>
        <v>1.1385046170458567E-2</v>
      </c>
      <c r="M55" s="16">
        <f t="shared" si="10"/>
        <v>2.2515169350968131E-2</v>
      </c>
      <c r="N55" s="16">
        <f t="shared" si="11"/>
        <v>1.7440674722062323E-2</v>
      </c>
      <c r="O55" s="16">
        <f t="shared" si="12"/>
        <v>-1.7536458438266907E-2</v>
      </c>
      <c r="R55" s="5">
        <f>IF($T$1, J55, -0.2)</f>
        <v>-0.2</v>
      </c>
    </row>
    <row r="56" spans="2:24" x14ac:dyDescent="0.3">
      <c r="B56" s="16">
        <v>1.4950266400818424E-2</v>
      </c>
      <c r="C56" s="16">
        <f t="shared" si="2"/>
        <v>2.0604581224667809E-2</v>
      </c>
      <c r="D56" s="16">
        <f t="shared" si="3"/>
        <v>2.5701960589279839E-3</v>
      </c>
      <c r="E56" s="16">
        <f t="shared" si="0"/>
        <v>0.14966055082099997</v>
      </c>
      <c r="F56" s="16">
        <f t="shared" si="4"/>
        <v>0.14855795145213591</v>
      </c>
      <c r="G56" s="16" t="str">
        <f t="shared" si="5"/>
        <v xml:space="preserve"> </v>
      </c>
      <c r="H56" s="16" t="str">
        <f t="shared" si="6"/>
        <v xml:space="preserve"> </v>
      </c>
      <c r="I56" s="16" t="str">
        <f t="shared" si="7"/>
        <v xml:space="preserve"> </v>
      </c>
      <c r="J56" s="16">
        <f t="shared" si="1"/>
        <v>2.5701960589279839E-3</v>
      </c>
      <c r="K56" s="16">
        <f t="shared" si="8"/>
        <v>0.14855795145213591</v>
      </c>
      <c r="L56" s="16">
        <f t="shared" si="9"/>
        <v>1.1900538617178153E-2</v>
      </c>
      <c r="M56" s="16">
        <f t="shared" si="10"/>
        <v>2.2947829088542239E-2</v>
      </c>
      <c r="N56" s="16">
        <f t="shared" si="11"/>
        <v>1.7999994184458697E-2</v>
      </c>
      <c r="O56" s="16">
        <f t="shared" si="12"/>
        <v>-1.780743697068627E-2</v>
      </c>
      <c r="R56" s="5">
        <f>IF($T$1, J56, -0.2)</f>
        <v>-0.2</v>
      </c>
    </row>
    <row r="57" spans="2:24" x14ac:dyDescent="0.3">
      <c r="B57" s="16">
        <v>1.5497433403683258E-2</v>
      </c>
      <c r="C57" s="16">
        <f t="shared" si="2"/>
        <v>2.0954773922853363E-2</v>
      </c>
      <c r="D57" s="16">
        <f t="shared" si="3"/>
        <v>2.6516595239368082E-3</v>
      </c>
      <c r="E57" s="16">
        <f t="shared" si="0"/>
        <v>0.148105267904974</v>
      </c>
      <c r="F57" s="16">
        <f t="shared" si="4"/>
        <v>0.14703639580239816</v>
      </c>
      <c r="G57" s="16" t="str">
        <f t="shared" si="5"/>
        <v xml:space="preserve"> </v>
      </c>
      <c r="H57" s="16" t="str">
        <f t="shared" si="6"/>
        <v xml:space="preserve"> </v>
      </c>
      <c r="I57" s="16" t="str">
        <f t="shared" si="7"/>
        <v xml:space="preserve"> </v>
      </c>
      <c r="J57" s="16">
        <f t="shared" si="1"/>
        <v>2.6516595239368082E-3</v>
      </c>
      <c r="K57" s="16">
        <f t="shared" si="8"/>
        <v>0.14703639580239816</v>
      </c>
      <c r="L57" s="16">
        <f t="shared" si="9"/>
        <v>1.2427409105303388E-2</v>
      </c>
      <c r="M57" s="16">
        <f t="shared" si="10"/>
        <v>2.3380323276462018E-2</v>
      </c>
      <c r="N57" s="16">
        <f t="shared" si="11"/>
        <v>1.8567457702063129E-2</v>
      </c>
      <c r="O57" s="16">
        <f t="shared" si="12"/>
        <v>-1.8077004228588402E-2</v>
      </c>
      <c r="R57" s="5">
        <f>IF($T$1, J57, -0.2)</f>
        <v>-0.2</v>
      </c>
    </row>
    <row r="58" spans="2:24" x14ac:dyDescent="0.3">
      <c r="B58" s="16">
        <v>1.605435603287142E-2</v>
      </c>
      <c r="C58" s="16">
        <f t="shared" si="2"/>
        <v>2.1303987749861E-2</v>
      </c>
      <c r="D58" s="16">
        <f t="shared" si="3"/>
        <v>2.7337037187460289E-3</v>
      </c>
      <c r="E58" s="16">
        <f t="shared" si="0"/>
        <v>0.14653014414869051</v>
      </c>
      <c r="F58" s="16">
        <f t="shared" si="4"/>
        <v>0.14549473034245286</v>
      </c>
      <c r="G58" s="16" t="str">
        <f t="shared" si="5"/>
        <v xml:space="preserve"> </v>
      </c>
      <c r="H58" s="16" t="str">
        <f t="shared" si="6"/>
        <v xml:space="preserve"> </v>
      </c>
      <c r="I58" s="16" t="str">
        <f t="shared" si="7"/>
        <v xml:space="preserve"> </v>
      </c>
      <c r="J58" s="16">
        <f t="shared" si="1"/>
        <v>2.7337037187460289E-3</v>
      </c>
      <c r="K58" s="16">
        <f t="shared" si="8"/>
        <v>0.14549473034245286</v>
      </c>
      <c r="L58" s="16">
        <f t="shared" si="9"/>
        <v>1.2965662333266032E-2</v>
      </c>
      <c r="M58" s="16">
        <f t="shared" si="10"/>
        <v>2.3812599925052601E-2</v>
      </c>
      <c r="N58" s="16">
        <f t="shared" si="11"/>
        <v>1.9143049732476807E-2</v>
      </c>
      <c r="O58" s="16">
        <f t="shared" si="12"/>
        <v>-1.8345192487560544E-2</v>
      </c>
      <c r="R58" s="5">
        <f>IF($T$1, J58, -0.2)</f>
        <v>-0.2</v>
      </c>
    </row>
    <row r="59" spans="2:24" x14ac:dyDescent="0.3">
      <c r="B59" s="16">
        <v>1.6621028769728818E-2</v>
      </c>
      <c r="C59" s="16">
        <f t="shared" si="2"/>
        <v>2.1652215738468348E-2</v>
      </c>
      <c r="D59" s="16">
        <f t="shared" si="3"/>
        <v>2.8162861788764183E-3</v>
      </c>
      <c r="E59" s="16">
        <f t="shared" si="0"/>
        <v>0.14493561327003446</v>
      </c>
      <c r="F59" s="16">
        <f t="shared" si="4"/>
        <v>0.14393336025728537</v>
      </c>
      <c r="G59" s="16" t="str">
        <f t="shared" si="5"/>
        <v xml:space="preserve"> </v>
      </c>
      <c r="H59" s="16" t="str">
        <f t="shared" si="6"/>
        <v xml:space="preserve"> </v>
      </c>
      <c r="I59" s="16" t="str">
        <f t="shared" si="7"/>
        <v xml:space="preserve"> </v>
      </c>
      <c r="J59" s="16">
        <f t="shared" si="1"/>
        <v>2.8162861788764183E-3</v>
      </c>
      <c r="K59" s="16">
        <f t="shared" si="8"/>
        <v>0.14393336025728537</v>
      </c>
      <c r="L59" s="16">
        <f t="shared" si="9"/>
        <v>1.3515302035978907E-2</v>
      </c>
      <c r="M59" s="16">
        <f t="shared" si="10"/>
        <v>2.4244606407966881E-2</v>
      </c>
      <c r="N59" s="16">
        <f t="shared" si="11"/>
        <v>1.972675550347873E-2</v>
      </c>
      <c r="O59" s="16">
        <f t="shared" si="12"/>
        <v>-1.8612034050214044E-2</v>
      </c>
      <c r="R59" s="5">
        <f>IF($T$1, J59, -0.2)</f>
        <v>-0.2</v>
      </c>
    </row>
    <row r="60" spans="2:24" x14ac:dyDescent="0.3">
      <c r="B60" s="16">
        <v>1.719744599898565E-2</v>
      </c>
      <c r="C60" s="16">
        <f t="shared" si="2"/>
        <v>2.1999450837236815E-2</v>
      </c>
      <c r="D60" s="16">
        <f t="shared" si="3"/>
        <v>2.8993641302412611E-3</v>
      </c>
      <c r="E60" s="16">
        <f t="shared" si="0"/>
        <v>0.1433221162562571</v>
      </c>
      <c r="F60" s="16">
        <f t="shared" si="4"/>
        <v>0.1423526988430184</v>
      </c>
      <c r="G60" s="16" t="str">
        <f t="shared" si="5"/>
        <v xml:space="preserve"> </v>
      </c>
      <c r="H60" s="16" t="str">
        <f t="shared" si="6"/>
        <v xml:space="preserve"> </v>
      </c>
      <c r="I60" s="16" t="str">
        <f t="shared" si="7"/>
        <v xml:space="preserve"> </v>
      </c>
      <c r="J60" s="16">
        <f t="shared" si="1"/>
        <v>2.8993641302412611E-3</v>
      </c>
      <c r="K60" s="16">
        <f t="shared" si="8"/>
        <v>0.1423526988430184</v>
      </c>
      <c r="L60" s="16">
        <f t="shared" si="9"/>
        <v>1.4076330970880889E-2</v>
      </c>
      <c r="M60" s="16">
        <f t="shared" si="10"/>
        <v>2.4676289489927328E-2</v>
      </c>
      <c r="N60" s="16">
        <f t="shared" si="11"/>
        <v>2.0318561027090409E-2</v>
      </c>
      <c r="O60" s="16">
        <f t="shared" si="12"/>
        <v>-1.8877561229444808E-2</v>
      </c>
      <c r="R60" s="5">
        <f>IF($T$1, J60, -0.2)</f>
        <v>-0.2</v>
      </c>
    </row>
    <row r="61" spans="2:24" x14ac:dyDescent="0.3">
      <c r="B61" s="16">
        <v>1.7783602008812238E-2</v>
      </c>
      <c r="C61" s="16">
        <f t="shared" si="2"/>
        <v>2.2345685911605712E-2</v>
      </c>
      <c r="D61" s="16">
        <f t="shared" si="3"/>
        <v>2.9828945117236975E-3</v>
      </c>
      <c r="E61" s="16">
        <f t="shared" si="0"/>
        <v>0.14169010134275256</v>
      </c>
      <c r="F61" s="16">
        <f t="shared" si="4"/>
        <v>0.14075316752397762</v>
      </c>
      <c r="G61" s="16" t="str">
        <f t="shared" si="5"/>
        <v xml:space="preserve"> </v>
      </c>
      <c r="H61" s="16" t="str">
        <f t="shared" si="6"/>
        <v xml:space="preserve"> </v>
      </c>
      <c r="I61" s="16" t="str">
        <f t="shared" si="7"/>
        <v xml:space="preserve"> </v>
      </c>
      <c r="J61" s="16">
        <f t="shared" si="1"/>
        <v>2.9828945117236975E-3</v>
      </c>
      <c r="K61" s="16">
        <f t="shared" si="8"/>
        <v>0.14075316752397762</v>
      </c>
      <c r="L61" s="16">
        <f t="shared" si="9"/>
        <v>1.4648750904127537E-2</v>
      </c>
      <c r="M61" s="16">
        <f t="shared" si="10"/>
        <v>2.5107595355160908E-2</v>
      </c>
      <c r="N61" s="16">
        <f t="shared" si="11"/>
        <v>2.0918453113496938E-2</v>
      </c>
      <c r="O61" s="16">
        <f t="shared" si="12"/>
        <v>-1.9141806331713512E-2</v>
      </c>
      <c r="R61" s="5">
        <f>IF($T$1, J61, -0.2)</f>
        <v>-0.2</v>
      </c>
    </row>
    <row r="62" spans="2:24" x14ac:dyDescent="0.3">
      <c r="B62" s="16">
        <v>1.8379490990875214E-2</v>
      </c>
      <c r="C62" s="16">
        <f t="shared" si="2"/>
        <v>2.2690913745000877E-2</v>
      </c>
      <c r="D62" s="16">
        <f t="shared" si="3"/>
        <v>3.0668339980877059E-3</v>
      </c>
      <c r="E62" s="16">
        <f t="shared" si="0"/>
        <v>0.14004002399148452</v>
      </c>
      <c r="F62" s="16">
        <f t="shared" si="4"/>
        <v>0.13913519586762207</v>
      </c>
      <c r="G62" s="16" t="str">
        <f t="shared" si="5"/>
        <v xml:space="preserve"> </v>
      </c>
      <c r="H62" s="16" t="str">
        <f t="shared" si="6"/>
        <v xml:space="preserve"> </v>
      </c>
      <c r="I62" s="16" t="str">
        <f t="shared" si="7"/>
        <v xml:space="preserve"> </v>
      </c>
      <c r="J62" s="16">
        <f t="shared" si="1"/>
        <v>3.0668339980877059E-3</v>
      </c>
      <c r="K62" s="16">
        <f t="shared" si="8"/>
        <v>0.13913519586762207</v>
      </c>
      <c r="L62" s="16">
        <f t="shared" si="9"/>
        <v>1.5232562596941068E-2</v>
      </c>
      <c r="M62" s="16">
        <f t="shared" si="10"/>
        <v>2.5538469636521344E-2</v>
      </c>
      <c r="N62" s="16">
        <f t="shared" si="11"/>
        <v>2.1526419384809359E-2</v>
      </c>
      <c r="O62" s="16">
        <f t="shared" si="12"/>
        <v>-1.9404801640345935E-2</v>
      </c>
      <c r="R62" s="5">
        <f>IF($T$1, J62, -0.2)</f>
        <v>-0.2</v>
      </c>
    </row>
    <row r="63" spans="2:24" x14ac:dyDescent="0.3">
      <c r="B63" s="16">
        <v>1.8985107040395466E-2</v>
      </c>
      <c r="C63" s="16">
        <f t="shared" si="2"/>
        <v>2.3035127039958476E-2</v>
      </c>
      <c r="D63" s="16">
        <f t="shared" si="3"/>
        <v>3.1511390232199636E-3</v>
      </c>
      <c r="E63" s="16">
        <f t="shared" si="0"/>
        <v>0.13837234686905978</v>
      </c>
      <c r="F63" s="16">
        <f t="shared" si="4"/>
        <v>0.13749922159725858</v>
      </c>
      <c r="G63" s="16" t="str">
        <f t="shared" si="5"/>
        <v xml:space="preserve"> </v>
      </c>
      <c r="H63" s="16" t="str">
        <f t="shared" si="6"/>
        <v xml:space="preserve"> </v>
      </c>
      <c r="I63" s="16" t="str">
        <f t="shared" si="7"/>
        <v xml:space="preserve"> </v>
      </c>
      <c r="J63" s="16">
        <f t="shared" si="1"/>
        <v>3.1511390232199636E-3</v>
      </c>
      <c r="K63" s="16">
        <f t="shared" si="8"/>
        <v>0.13749922159725858</v>
      </c>
      <c r="L63" s="16">
        <f t="shared" si="9"/>
        <v>1.5827765792135681E-2</v>
      </c>
      <c r="M63" s="16">
        <f t="shared" si="10"/>
        <v>2.5968857445294147E-2</v>
      </c>
      <c r="N63" s="16">
        <f t="shared" si="11"/>
        <v>2.2142448288655251E-2</v>
      </c>
      <c r="O63" s="16">
        <f t="shared" si="12"/>
        <v>-1.9666579398854217E-2</v>
      </c>
      <c r="R63" s="5">
        <f>IF($T$1, J63, -0.2)</f>
        <v>-0.2</v>
      </c>
    </row>
    <row r="64" spans="2:24" x14ac:dyDescent="0.3">
      <c r="B64" s="16">
        <v>1.9600444156206542E-2</v>
      </c>
      <c r="C64" s="16">
        <f t="shared" si="2"/>
        <v>2.3378318419263112E-2</v>
      </c>
      <c r="D64" s="16">
        <f t="shared" si="3"/>
        <v>3.2357658036993703E-3</v>
      </c>
      <c r="E64" s="16">
        <f t="shared" si="0"/>
        <v>0.13668753982445372</v>
      </c>
      <c r="F64" s="16">
        <f t="shared" si="4"/>
        <v>0.1358456906024704</v>
      </c>
      <c r="G64" s="16" t="str">
        <f t="shared" si="5"/>
        <v xml:space="preserve"> </v>
      </c>
      <c r="H64" s="16" t="str">
        <f t="shared" si="6"/>
        <v xml:space="preserve"> </v>
      </c>
      <c r="I64" s="16" t="str">
        <f t="shared" si="7"/>
        <v xml:space="preserve"> </v>
      </c>
      <c r="J64" s="16">
        <f t="shared" si="1"/>
        <v>3.2357658036993703E-3</v>
      </c>
      <c r="K64" s="16">
        <f t="shared" si="8"/>
        <v>0.1358456906024704</v>
      </c>
      <c r="L64" s="16">
        <f t="shared" si="9"/>
        <v>1.6434359200831639E-2</v>
      </c>
      <c r="M64" s="16">
        <f t="shared" si="10"/>
        <v>2.6398703401676996E-2</v>
      </c>
      <c r="N64" s="16">
        <f t="shared" si="11"/>
        <v>2.2766529111581446E-2</v>
      </c>
      <c r="O64" s="16">
        <f t="shared" si="12"/>
        <v>-1.9927171794278258E-2</v>
      </c>
      <c r="R64" s="5">
        <f>IF($T$1, J64, -0.2)</f>
        <v>-0.2</v>
      </c>
    </row>
    <row r="65" spans="2:18" x14ac:dyDescent="0.3">
      <c r="B65" s="16">
        <v>2.0225496240813712E-2</v>
      </c>
      <c r="C65" s="16">
        <f t="shared" si="2"/>
        <v>2.3720480427100014E-2</v>
      </c>
      <c r="D65" s="16">
        <f t="shared" ref="D65:D128" si="15">IF($Q$1=1, IF(B65&lt;$A$8, ($A$10/6)*((B65^3)-3*$A$8*(B65^2)+($A$8^2)*(3-$A$8)*B65), (($A$10*($A$8^3))/6)*(1-B65)), " ")</f>
        <v>3.3206703626912069E-3</v>
      </c>
      <c r="E65" s="16">
        <f t="shared" ref="E65:E128" si="16">IF($Q$1=1,IF(B65&lt;$A$8, ($A$10/6)*(3*(B65^2)-6*$A$8*B65+($A$8^2)*(3-$A$8)), -($A$10*($A$8^3))/6), " ")</f>
        <v>0.13498607986638697</v>
      </c>
      <c r="F65" s="16">
        <f t="shared" ref="F65:F128" si="17">IF($Q$1=1, ATAN(E65), " ")</f>
        <v>0.13417505694718793</v>
      </c>
      <c r="G65" s="16" t="str">
        <f t="shared" si="5"/>
        <v xml:space="preserve"> </v>
      </c>
      <c r="H65" s="16" t="str">
        <f t="shared" si="6"/>
        <v xml:space="preserve"> </v>
      </c>
      <c r="I65" s="16" t="str">
        <f t="shared" si="7"/>
        <v xml:space="preserve"> </v>
      </c>
      <c r="J65" s="16">
        <f t="shared" ref="J65:J128" si="18">IF($Q$1=1, D65, G65)</f>
        <v>3.3206703626912069E-3</v>
      </c>
      <c r="K65" s="16">
        <f t="shared" si="8"/>
        <v>0.13417505694718793</v>
      </c>
      <c r="L65" s="16">
        <f t="shared" si="9"/>
        <v>1.7052340489373281E-2</v>
      </c>
      <c r="M65" s="16">
        <f t="shared" si="10"/>
        <v>2.6827951665928624E-2</v>
      </c>
      <c r="N65" s="16">
        <f t="shared" si="11"/>
        <v>2.3398651992254143E-2</v>
      </c>
      <c r="O65" s="16">
        <f t="shared" si="12"/>
        <v>-2.0186610940546208E-2</v>
      </c>
      <c r="R65" s="5">
        <f>IF($T$1, J65, -0.2)</f>
        <v>-0.2</v>
      </c>
    </row>
    <row r="66" spans="2:18" x14ac:dyDescent="0.3">
      <c r="B66" s="16">
        <v>2.0860257100455248E-2</v>
      </c>
      <c r="C66" s="16">
        <f t="shared" ref="C66:C129" si="19">IF(AND($Q$1=2, $A$3=1), 0, 5*($A$4/100)*(0.2969*SQRT(B66)-0.126*B66-0.3516*(B66^2)+0.2843*(B66^3)-0.1015*(B66^4)))</f>
        <v>2.4061605530222057E-2</v>
      </c>
      <c r="D66" s="16">
        <f t="shared" si="15"/>
        <v>3.4058085541630325E-3</v>
      </c>
      <c r="E66" s="16">
        <f t="shared" si="16"/>
        <v>0.13326845114035138</v>
      </c>
      <c r="F66" s="16">
        <f t="shared" si="17"/>
        <v>0.13248778287533239</v>
      </c>
      <c r="G66" s="16" t="str">
        <f t="shared" ref="G66:G129" si="20">IF($Q$1=2, IF(A68&lt;&gt;1, IF(B66&lt;$A$11, ($A$12/6)*((B66-$A$11)^3-$A$13*((1-$A$11)^3)*B66-($A$11^3)*B66+$A$11^3), ($A$12/6)*($A$13*(B66-$A$11)^3-$A$13*((1-$A$11)^3)*B66-($A$11^3)*B66+$A$11^3)), 0), " ")</f>
        <v xml:space="preserve"> </v>
      </c>
      <c r="H66" s="16" t="str">
        <f t="shared" ref="H66:H129" si="21">IF($Q$1=2, IF(A68&lt;&gt;1, IF(B66&lt;$A$11, ($A$12/6)*(3*(B66-$A$11)^2-$A$13*((1-$A$11)^3)-($A$11^3)), ($A$12/6)*(3*$A$13*(B66-$A$11)^2-$A$13*((1-$A$11)^3)-($A$11^3))),0 ), " ")</f>
        <v xml:space="preserve"> </v>
      </c>
      <c r="I66" s="16" t="str">
        <f t="shared" ref="I66:I129" si="22">IF($Q$1=2, IF(A68&lt;&gt;1,  ATAN(H66), 0), " ")</f>
        <v xml:space="preserve"> </v>
      </c>
      <c r="J66" s="16">
        <f t="shared" si="18"/>
        <v>3.4058085541630325E-3</v>
      </c>
      <c r="K66" s="16">
        <f t="shared" ref="K66:K129" si="23">IF($Q$1=1, F66, I66)</f>
        <v>0.13248778287533239</v>
      </c>
      <c r="L66" s="16">
        <f t="shared" ref="L66:L129" si="24">B66-C66*SIN(K66)</f>
        <v>1.7681706266467506E-2</v>
      </c>
      <c r="M66" s="16">
        <f t="shared" ref="M66:M129" si="25">J66+C66*COS(K66)</f>
        <v>2.7256545970179513E-2</v>
      </c>
      <c r="N66" s="16">
        <f t="shared" ref="N66:N129" si="26">B66+C66*SIN(K66)</f>
        <v>2.4038807934442991E-2</v>
      </c>
      <c r="O66" s="16">
        <f t="shared" ref="O66:O129" si="27">J66-C66*COS(K66)</f>
        <v>-2.0444928861853451E-2</v>
      </c>
      <c r="R66" s="5">
        <f>IF($T$1, J66, -0.2)</f>
        <v>-0.2</v>
      </c>
    </row>
    <row r="67" spans="2:18" x14ac:dyDescent="0.3">
      <c r="B67" s="16">
        <v>2.1504720445162939E-2</v>
      </c>
      <c r="C67" s="16">
        <f t="shared" si="19"/>
        <v>2.4401686119129736E-2</v>
      </c>
      <c r="D67" s="16">
        <f t="shared" si="15"/>
        <v>3.491136087418769E-3</v>
      </c>
      <c r="E67" s="16">
        <f t="shared" si="16"/>
        <v>0.13153514490529283</v>
      </c>
      <c r="F67" s="16">
        <f t="shared" si="17"/>
        <v>0.13078433881397478</v>
      </c>
      <c r="G67" s="16" t="str">
        <f t="shared" si="20"/>
        <v xml:space="preserve"> </v>
      </c>
      <c r="H67" s="16" t="str">
        <f t="shared" si="21"/>
        <v xml:space="preserve"> </v>
      </c>
      <c r="I67" s="16" t="str">
        <f t="shared" si="22"/>
        <v xml:space="preserve"> </v>
      </c>
      <c r="J67" s="16">
        <f t="shared" si="18"/>
        <v>3.491136087418769E-3</v>
      </c>
      <c r="K67" s="16">
        <f t="shared" si="23"/>
        <v>0.13078433881397478</v>
      </c>
      <c r="L67" s="16">
        <f t="shared" si="24"/>
        <v>1.8322452070554919E-2</v>
      </c>
      <c r="M67" s="16">
        <f t="shared" si="25"/>
        <v>2.7684429650894134E-2</v>
      </c>
      <c r="N67" s="16">
        <f t="shared" si="26"/>
        <v>2.4686988819770959E-2</v>
      </c>
      <c r="O67" s="16">
        <f t="shared" si="27"/>
        <v>-2.0702157476056596E-2</v>
      </c>
      <c r="R67" s="5">
        <f>IF($T$1, J67, -0.2)</f>
        <v>-0.2</v>
      </c>
    </row>
    <row r="68" spans="2:18" x14ac:dyDescent="0.3">
      <c r="B68" s="16">
        <v>2.2158879888824812E-2</v>
      </c>
      <c r="C68" s="16">
        <f t="shared" si="19"/>
        <v>2.4740714509265509E-2</v>
      </c>
      <c r="D68" s="16">
        <f t="shared" si="15"/>
        <v>3.576608551948174E-3</v>
      </c>
      <c r="E68" s="16">
        <f t="shared" si="16"/>
        <v>0.12978665950994525</v>
      </c>
      <c r="F68" s="16">
        <f t="shared" si="17"/>
        <v>0.12906520337394517</v>
      </c>
      <c r="G68" s="16" t="str">
        <f t="shared" si="20"/>
        <v xml:space="preserve"> </v>
      </c>
      <c r="H68" s="16" t="str">
        <f t="shared" si="21"/>
        <v xml:space="preserve"> </v>
      </c>
      <c r="I68" s="16" t="str">
        <f t="shared" si="22"/>
        <v xml:space="preserve"> </v>
      </c>
      <c r="J68" s="16">
        <f t="shared" si="18"/>
        <v>3.576608551948174E-3</v>
      </c>
      <c r="K68" s="16">
        <f t="shared" si="23"/>
        <v>0.12906520337394517</v>
      </c>
      <c r="L68" s="16">
        <f t="shared" si="24"/>
        <v>1.8974572357431774E-2</v>
      </c>
      <c r="M68" s="16">
        <f t="shared" si="25"/>
        <v>2.8111545681977556E-2</v>
      </c>
      <c r="N68" s="16">
        <f t="shared" si="26"/>
        <v>2.534318742021785E-2</v>
      </c>
      <c r="O68" s="16">
        <f t="shared" si="27"/>
        <v>-2.095832857808121E-2</v>
      </c>
      <c r="R68" s="5">
        <f>IF($T$1, J68, -0.2)</f>
        <v>-0.2</v>
      </c>
    </row>
    <row r="69" spans="2:18" x14ac:dyDescent="0.3">
      <c r="B69" s="16">
        <v>2.2822728949248527E-2</v>
      </c>
      <c r="C69" s="16">
        <f t="shared" si="19"/>
        <v>2.5078682942221396E-2</v>
      </c>
      <c r="D69" s="16">
        <f t="shared" si="15"/>
        <v>3.6621814425882608E-3</v>
      </c>
      <c r="E69" s="16">
        <f t="shared" si="16"/>
        <v>0.12802350036881982</v>
      </c>
      <c r="F69" s="16">
        <f t="shared" si="17"/>
        <v>0.12733086334784033</v>
      </c>
      <c r="G69" s="16" t="str">
        <f t="shared" si="20"/>
        <v xml:space="preserve"> </v>
      </c>
      <c r="H69" s="16" t="str">
        <f t="shared" si="21"/>
        <v xml:space="preserve"> </v>
      </c>
      <c r="I69" s="16" t="str">
        <f t="shared" si="22"/>
        <v xml:space="preserve"> </v>
      </c>
      <c r="J69" s="16">
        <f t="shared" si="18"/>
        <v>3.6621814425882608E-3</v>
      </c>
      <c r="K69" s="16">
        <f t="shared" si="23"/>
        <v>0.12733086334784033</v>
      </c>
      <c r="L69" s="16">
        <f t="shared" si="24"/>
        <v>1.9638060488136429E-2</v>
      </c>
      <c r="M69" s="16">
        <f t="shared" si="25"/>
        <v>2.8537836708515719E-2</v>
      </c>
      <c r="N69" s="16">
        <f t="shared" si="26"/>
        <v>2.6007397410360625E-2</v>
      </c>
      <c r="O69" s="16">
        <f t="shared" si="27"/>
        <v>-2.1213473823339195E-2</v>
      </c>
      <c r="R69" s="5">
        <f>IF($T$1, J69, -0.2)</f>
        <v>-0.2</v>
      </c>
    </row>
    <row r="70" spans="2:18" x14ac:dyDescent="0.3">
      <c r="B70" s="16">
        <v>2.349626104822522E-2</v>
      </c>
      <c r="C70" s="16">
        <f t="shared" si="19"/>
        <v>2.5415583586959615E-2</v>
      </c>
      <c r="D70" s="16">
        <f t="shared" si="15"/>
        <v>3.7478101849933612E-3</v>
      </c>
      <c r="E70" s="16">
        <f t="shared" si="16"/>
        <v>0.12624617993785167</v>
      </c>
      <c r="F70" s="16">
        <f t="shared" si="17"/>
        <v>0.12558181370537944</v>
      </c>
      <c r="G70" s="16" t="str">
        <f t="shared" si="20"/>
        <v xml:space="preserve"> </v>
      </c>
      <c r="H70" s="16" t="str">
        <f t="shared" si="21"/>
        <v xml:space="preserve"> </v>
      </c>
      <c r="I70" s="16" t="str">
        <f t="shared" si="22"/>
        <v xml:space="preserve"> </v>
      </c>
      <c r="J70" s="16">
        <f t="shared" si="18"/>
        <v>3.7478101849933612E-3</v>
      </c>
      <c r="K70" s="16">
        <f t="shared" si="23"/>
        <v>0.12558181370537944</v>
      </c>
      <c r="L70" s="16">
        <f t="shared" si="24"/>
        <v>2.0312908717115261E-2</v>
      </c>
      <c r="M70" s="16">
        <f t="shared" si="25"/>
        <v>2.8963245081138771E-2</v>
      </c>
      <c r="N70" s="16">
        <f t="shared" si="26"/>
        <v>2.6679613379335179E-2</v>
      </c>
      <c r="O70" s="16">
        <f t="shared" si="27"/>
        <v>-2.1467624711152048E-2</v>
      </c>
      <c r="R70" s="5">
        <f>IF($T$1, J70, -0.2)</f>
        <v>-0.2</v>
      </c>
    </row>
    <row r="71" spans="2:18" x14ac:dyDescent="0.3">
      <c r="B71" s="16">
        <v>2.4179469511595331E-2</v>
      </c>
      <c r="C71" s="16">
        <f t="shared" si="19"/>
        <v>2.5751408541046763E-2</v>
      </c>
      <c r="D71" s="16">
        <f t="shared" si="15"/>
        <v>3.8334501614107042E-3</v>
      </c>
      <c r="E71" s="16">
        <f t="shared" si="16"/>
        <v>0.1244552176897005</v>
      </c>
      <c r="F71" s="16">
        <f t="shared" si="17"/>
        <v>0.12381855758605843</v>
      </c>
      <c r="G71" s="16" t="str">
        <f t="shared" si="20"/>
        <v xml:space="preserve"> </v>
      </c>
      <c r="H71" s="16" t="str">
        <f t="shared" si="21"/>
        <v xml:space="preserve"> </v>
      </c>
      <c r="I71" s="16" t="str">
        <f t="shared" si="22"/>
        <v xml:space="preserve"> </v>
      </c>
      <c r="J71" s="16">
        <f t="shared" si="18"/>
        <v>3.8334501614107042E-3</v>
      </c>
      <c r="K71" s="16">
        <f t="shared" si="23"/>
        <v>0.12381855758605843</v>
      </c>
      <c r="L71" s="16">
        <f t="shared" si="24"/>
        <v>2.0999108180684813E-2</v>
      </c>
      <c r="M71" s="16">
        <f t="shared" si="25"/>
        <v>2.9387712890997428E-2</v>
      </c>
      <c r="N71" s="16">
        <f t="shared" si="26"/>
        <v>2.7359830842505848E-2</v>
      </c>
      <c r="O71" s="16">
        <f t="shared" si="27"/>
        <v>-2.1720812568176023E-2</v>
      </c>
      <c r="R71" s="5">
        <f>IF($T$1, J71, -0.2)</f>
        <v>-0.2</v>
      </c>
    </row>
    <row r="72" spans="2:18" x14ac:dyDescent="0.3">
      <c r="B72" s="16">
        <v>2.487234756931378E-2</v>
      </c>
      <c r="C72" s="16">
        <f t="shared" si="19"/>
        <v>2.6086149831899955E-2</v>
      </c>
      <c r="D72" s="16">
        <f t="shared" si="15"/>
        <v>3.9190567367578012E-3</v>
      </c>
      <c r="E72" s="16">
        <f t="shared" si="16"/>
        <v>0.12265114008871353</v>
      </c>
      <c r="F72" s="16">
        <f t="shared" si="17"/>
        <v>0.12204160628906797</v>
      </c>
      <c r="G72" s="16" t="str">
        <f t="shared" si="20"/>
        <v xml:space="preserve"> </v>
      </c>
      <c r="H72" s="16" t="str">
        <f t="shared" si="21"/>
        <v xml:space="preserve"> </v>
      </c>
      <c r="I72" s="16" t="str">
        <f t="shared" si="22"/>
        <v xml:space="preserve"> </v>
      </c>
      <c r="J72" s="16">
        <f t="shared" si="18"/>
        <v>3.9190567367578012E-3</v>
      </c>
      <c r="K72" s="16">
        <f t="shared" si="23"/>
        <v>0.12204160628906797</v>
      </c>
      <c r="L72" s="16">
        <f t="shared" si="24"/>
        <v>2.1696648885802559E-2</v>
      </c>
      <c r="M72" s="16">
        <f t="shared" si="25"/>
        <v>2.9811182005338575E-2</v>
      </c>
      <c r="N72" s="16">
        <f t="shared" si="26"/>
        <v>2.8048046252825001E-2</v>
      </c>
      <c r="O72" s="16">
        <f t="shared" si="27"/>
        <v>-2.1973068531822973E-2</v>
      </c>
      <c r="R72" s="5">
        <f>IF($T$1, J72, -0.2)</f>
        <v>-0.2</v>
      </c>
    </row>
    <row r="73" spans="2:18" x14ac:dyDescent="0.3">
      <c r="B73" s="16">
        <v>2.5574888355518133E-2</v>
      </c>
      <c r="C73" s="16">
        <f t="shared" si="19"/>
        <v>2.6419799418046539E-2</v>
      </c>
      <c r="D73" s="16">
        <f t="shared" si="15"/>
        <v>4.0045852849987188E-3</v>
      </c>
      <c r="E73" s="16">
        <f t="shared" si="16"/>
        <v>0.12083448056554197</v>
      </c>
      <c r="F73" s="16">
        <f t="shared" si="17"/>
        <v>0.12025147926042948</v>
      </c>
      <c r="G73" s="16" t="str">
        <f t="shared" si="20"/>
        <v xml:space="preserve"> </v>
      </c>
      <c r="H73" s="16" t="str">
        <f t="shared" si="21"/>
        <v xml:space="preserve"> </v>
      </c>
      <c r="I73" s="16" t="str">
        <f t="shared" si="22"/>
        <v xml:space="preserve"> </v>
      </c>
      <c r="J73" s="16">
        <f t="shared" si="18"/>
        <v>4.0045852849987188E-3</v>
      </c>
      <c r="K73" s="16">
        <f t="shared" si="23"/>
        <v>0.12025147926042948</v>
      </c>
      <c r="L73" s="16">
        <f t="shared" si="24"/>
        <v>2.2405519699164964E-2</v>
      </c>
      <c r="M73" s="16">
        <f t="shared" si="25"/>
        <v>3.0233594103670047E-2</v>
      </c>
      <c r="N73" s="16">
        <f t="shared" si="26"/>
        <v>2.8744257011871301E-2</v>
      </c>
      <c r="O73" s="16">
        <f t="shared" si="27"/>
        <v>-2.2224423533672613E-2</v>
      </c>
      <c r="R73" s="5">
        <f>IF($T$1, J73, -0.2)</f>
        <v>-0.2</v>
      </c>
    </row>
    <row r="74" spans="2:18" x14ac:dyDescent="0.3">
      <c r="B74" s="16">
        <v>2.6287084908595659E-2</v>
      </c>
      <c r="C74" s="16">
        <f t="shared" si="19"/>
        <v>2.6752349190395219E-2</v>
      </c>
      <c r="D74" s="16">
        <f t="shared" si="15"/>
        <v>4.0899912158152401E-3</v>
      </c>
      <c r="E74" s="16">
        <f t="shared" si="16"/>
        <v>0.11900577949142276</v>
      </c>
      <c r="F74" s="16">
        <f t="shared" si="17"/>
        <v>0.11844870407732827</v>
      </c>
      <c r="G74" s="16" t="str">
        <f t="shared" si="20"/>
        <v xml:space="preserve"> </v>
      </c>
      <c r="H74" s="16" t="str">
        <f t="shared" si="21"/>
        <v xml:space="preserve"> </v>
      </c>
      <c r="I74" s="16" t="str">
        <f t="shared" si="22"/>
        <v xml:space="preserve"> </v>
      </c>
      <c r="J74" s="16">
        <f t="shared" si="18"/>
        <v>4.0899912158152401E-3</v>
      </c>
      <c r="K74" s="16">
        <f t="shared" si="23"/>
        <v>0.11844870407732827</v>
      </c>
      <c r="L74" s="16">
        <f t="shared" si="24"/>
        <v>2.3125708336643531E-2</v>
      </c>
      <c r="M74" s="16">
        <f t="shared" si="25"/>
        <v>3.0654890714498687E-2</v>
      </c>
      <c r="N74" s="16">
        <f t="shared" si="26"/>
        <v>2.9448461480547788E-2</v>
      </c>
      <c r="O74" s="16">
        <f t="shared" si="27"/>
        <v>-2.2474908282868203E-2</v>
      </c>
      <c r="R74" s="5">
        <f>IF($T$1, J74, -0.2)</f>
        <v>-0.2</v>
      </c>
    </row>
    <row r="75" spans="2:18" x14ac:dyDescent="0.3">
      <c r="B75" s="16">
        <v>2.7008930171253165E-2</v>
      </c>
      <c r="C75" s="16">
        <f t="shared" si="19"/>
        <v>2.708379097352007E-2</v>
      </c>
      <c r="D75" s="16">
        <f t="shared" si="15"/>
        <v>4.1752300015699467E-3</v>
      </c>
      <c r="E75" s="16">
        <f t="shared" si="16"/>
        <v>0.11716558415211691</v>
      </c>
      <c r="F75" s="16">
        <f t="shared" si="17"/>
        <v>0.11663381642960842</v>
      </c>
      <c r="G75" s="16" t="str">
        <f t="shared" si="20"/>
        <v xml:space="preserve"> </v>
      </c>
      <c r="H75" s="16" t="str">
        <f t="shared" si="21"/>
        <v xml:space="preserve"> </v>
      </c>
      <c r="I75" s="16" t="str">
        <f t="shared" si="22"/>
        <v xml:space="preserve"> </v>
      </c>
      <c r="J75" s="16">
        <f t="shared" si="18"/>
        <v>4.1752300015699467E-3</v>
      </c>
      <c r="K75" s="16">
        <f t="shared" si="23"/>
        <v>0.11663381642960842</v>
      </c>
      <c r="L75" s="16">
        <f t="shared" si="24"/>
        <v>2.3857201353077392E-2</v>
      </c>
      <c r="M75" s="16">
        <f t="shared" si="25"/>
        <v>3.1075013252629936E-2</v>
      </c>
      <c r="N75" s="16">
        <f t="shared" si="26"/>
        <v>3.0160658989428938E-2</v>
      </c>
      <c r="O75" s="16">
        <f t="shared" si="27"/>
        <v>-2.2724553249490041E-2</v>
      </c>
      <c r="R75" s="5">
        <f>IF($T$1, J75, -0.2)</f>
        <v>-0.2</v>
      </c>
    </row>
    <row r="76" spans="2:18" x14ac:dyDescent="0.3">
      <c r="B76" s="16">
        <v>2.7740416990586381E-2</v>
      </c>
      <c r="C76" s="16">
        <f t="shared" si="19"/>
        <v>2.7414116526955832E-2</v>
      </c>
      <c r="D76" s="16">
        <f t="shared" si="15"/>
        <v>4.26025720455726E-3</v>
      </c>
      <c r="E76" s="16">
        <f t="shared" si="16"/>
        <v>0.11531444872151331</v>
      </c>
      <c r="F76" s="16">
        <f t="shared" si="17"/>
        <v>0.11480736009841622</v>
      </c>
      <c r="G76" s="16" t="str">
        <f t="shared" si="20"/>
        <v xml:space="preserve"> </v>
      </c>
      <c r="H76" s="16" t="str">
        <f t="shared" si="21"/>
        <v xml:space="preserve"> </v>
      </c>
      <c r="I76" s="16" t="str">
        <f t="shared" si="22"/>
        <v xml:space="preserve"> </v>
      </c>
      <c r="J76" s="16">
        <f t="shared" si="18"/>
        <v>4.26025720455726E-3</v>
      </c>
      <c r="K76" s="16">
        <f t="shared" si="23"/>
        <v>0.11480736009841622</v>
      </c>
      <c r="L76" s="16">
        <f t="shared" si="24"/>
        <v>2.459998413243359E-2</v>
      </c>
      <c r="M76" s="16">
        <f t="shared" si="25"/>
        <v>3.1493903057012398E-2</v>
      </c>
      <c r="N76" s="16">
        <f t="shared" si="26"/>
        <v>3.0880849848739171E-2</v>
      </c>
      <c r="O76" s="16">
        <f t="shared" si="27"/>
        <v>-2.2973388647897882E-2</v>
      </c>
      <c r="R76" s="5">
        <f>IF($T$1, J76, -0.2)</f>
        <v>-0.2</v>
      </c>
    </row>
    <row r="77" spans="2:18" x14ac:dyDescent="0.3">
      <c r="B77" s="16">
        <v>2.8481538118150684E-2</v>
      </c>
      <c r="C77" s="16">
        <f t="shared" si="19"/>
        <v>2.7743317546504994E-2</v>
      </c>
      <c r="D77" s="16">
        <f t="shared" si="15"/>
        <v>4.3450285045391326E-3</v>
      </c>
      <c r="E77" s="16">
        <f t="shared" si="16"/>
        <v>0.11345293423489476</v>
      </c>
      <c r="F77" s="16">
        <f t="shared" si="17"/>
        <v>0.11296988693197338</v>
      </c>
      <c r="G77" s="16" t="str">
        <f t="shared" si="20"/>
        <v xml:space="preserve"> </v>
      </c>
      <c r="H77" s="16" t="str">
        <f t="shared" si="21"/>
        <v xml:space="preserve"> </v>
      </c>
      <c r="I77" s="16" t="str">
        <f t="shared" si="22"/>
        <v xml:space="preserve"> </v>
      </c>
      <c r="J77" s="16">
        <f t="shared" si="18"/>
        <v>4.3450285045391326E-3</v>
      </c>
      <c r="K77" s="16">
        <f t="shared" si="23"/>
        <v>0.11296988693197338</v>
      </c>
      <c r="L77" s="16">
        <f t="shared" si="24"/>
        <v>2.5354040878351011E-2</v>
      </c>
      <c r="M77" s="16">
        <f t="shared" si="25"/>
        <v>3.1911501429112879E-2</v>
      </c>
      <c r="N77" s="16">
        <f t="shared" si="26"/>
        <v>3.1609035357950357E-2</v>
      </c>
      <c r="O77" s="16">
        <f t="shared" si="27"/>
        <v>-2.3221444420034612E-2</v>
      </c>
      <c r="R77" s="5">
        <f>IF($T$1, J77, -0.2)</f>
        <v>-0.2</v>
      </c>
    </row>
    <row r="78" spans="2:18" x14ac:dyDescent="0.3">
      <c r="B78" s="16">
        <v>2.923228621003382E-2</v>
      </c>
      <c r="C78" s="16">
        <f t="shared" si="19"/>
        <v>2.8071385665556833E-2</v>
      </c>
      <c r="D78" s="16">
        <f t="shared" si="15"/>
        <v>4.4294997265618054E-3</v>
      </c>
      <c r="E78" s="16">
        <f t="shared" si="16"/>
        <v>0.11158160856186604</v>
      </c>
      <c r="F78" s="16">
        <f t="shared" si="17"/>
        <v>0.1111219568184694</v>
      </c>
      <c r="G78" s="16" t="str">
        <f t="shared" si="20"/>
        <v xml:space="preserve"> </v>
      </c>
      <c r="H78" s="16" t="str">
        <f t="shared" si="21"/>
        <v xml:space="preserve"> </v>
      </c>
      <c r="I78" s="16" t="str">
        <f t="shared" si="22"/>
        <v xml:space="preserve"> </v>
      </c>
      <c r="J78" s="16">
        <f t="shared" si="18"/>
        <v>4.4294997265618054E-3</v>
      </c>
      <c r="K78" s="16">
        <f t="shared" si="23"/>
        <v>0.1111219568184694</v>
      </c>
      <c r="L78" s="16">
        <f t="shared" si="24"/>
        <v>2.6119354605082468E-2</v>
      </c>
      <c r="M78" s="16">
        <f t="shared" si="25"/>
        <v>3.2327749671806127E-2</v>
      </c>
      <c r="N78" s="16">
        <f t="shared" si="26"/>
        <v>3.2345217814985172E-2</v>
      </c>
      <c r="O78" s="16">
        <f t="shared" si="27"/>
        <v>-2.3468750218682513E-2</v>
      </c>
      <c r="R78" s="5">
        <f>IF($T$1, J78, -0.2)</f>
        <v>-0.2</v>
      </c>
    </row>
    <row r="79" spans="2:18" x14ac:dyDescent="0.3">
      <c r="B79" s="16">
        <v>2.9992653826927507E-2</v>
      </c>
      <c r="C79" s="16">
        <f t="shared" si="19"/>
        <v>2.8398312456416518E-2</v>
      </c>
      <c r="D79" s="16">
        <f t="shared" si="15"/>
        <v>4.5136268690496705E-3</v>
      </c>
      <c r="E79" s="16">
        <f t="shared" si="16"/>
        <v>0.10970104637895219</v>
      </c>
      <c r="F79" s="16">
        <f t="shared" si="17"/>
        <v>0.10926413765607666</v>
      </c>
      <c r="G79" s="16" t="str">
        <f t="shared" si="20"/>
        <v xml:space="preserve"> </v>
      </c>
      <c r="H79" s="16" t="str">
        <f t="shared" si="21"/>
        <v xml:space="preserve"> </v>
      </c>
      <c r="I79" s="16" t="str">
        <f t="shared" si="22"/>
        <v xml:space="preserve"> </v>
      </c>
      <c r="J79" s="16">
        <f t="shared" si="18"/>
        <v>4.5136268690496705E-3</v>
      </c>
      <c r="K79" s="16">
        <f t="shared" si="23"/>
        <v>0.10926413765607666</v>
      </c>
      <c r="L79" s="16">
        <f t="shared" si="24"/>
        <v>2.6895907128845278E-2</v>
      </c>
      <c r="M79" s="16">
        <f t="shared" si="25"/>
        <v>3.2742589128760505E-2</v>
      </c>
      <c r="N79" s="16">
        <f t="shared" si="26"/>
        <v>3.3089400525009735E-2</v>
      </c>
      <c r="O79" s="16">
        <f t="shared" si="27"/>
        <v>-2.371533539066116E-2</v>
      </c>
      <c r="R79" s="5">
        <f>IF($T$1, J79, -0.2)</f>
        <v>-0.2</v>
      </c>
    </row>
    <row r="80" spans="2:18" x14ac:dyDescent="0.3">
      <c r="B80" s="16">
        <v>3.0762633434202158E-2</v>
      </c>
      <c r="C80" s="16">
        <f t="shared" si="19"/>
        <v>2.8724089431646328E-2</v>
      </c>
      <c r="D80" s="16">
        <f t="shared" si="15"/>
        <v>4.5973661321730046E-3</v>
      </c>
      <c r="E80" s="16">
        <f t="shared" si="16"/>
        <v>0.10781182914185822</v>
      </c>
      <c r="F80" s="16">
        <f t="shared" si="17"/>
        <v>0.10739700532008153</v>
      </c>
      <c r="G80" s="16" t="str">
        <f t="shared" si="20"/>
        <v xml:space="preserve"> </v>
      </c>
      <c r="H80" s="16" t="str">
        <f t="shared" si="21"/>
        <v xml:space="preserve"> </v>
      </c>
      <c r="I80" s="16" t="str">
        <f t="shared" si="22"/>
        <v xml:space="preserve"> </v>
      </c>
      <c r="J80" s="16">
        <f t="shared" si="18"/>
        <v>4.5973661321730046E-3</v>
      </c>
      <c r="K80" s="16">
        <f t="shared" si="23"/>
        <v>0.10739700532008153</v>
      </c>
      <c r="L80" s="16">
        <f t="shared" si="24"/>
        <v>2.768367905959776E-2</v>
      </c>
      <c r="M80" s="16">
        <f t="shared" si="25"/>
        <v>3.3155961224304566E-2</v>
      </c>
      <c r="N80" s="16">
        <f t="shared" si="26"/>
        <v>3.3841587808806556E-2</v>
      </c>
      <c r="O80" s="16">
        <f t="shared" si="27"/>
        <v>-2.3961228959958555E-2</v>
      </c>
      <c r="R80" s="5">
        <f>IF($T$1, J80, -0.2)</f>
        <v>-0.2</v>
      </c>
    </row>
    <row r="81" spans="2:18" x14ac:dyDescent="0.3">
      <c r="B81" s="16">
        <v>3.1542217401980821E-2</v>
      </c>
      <c r="C81" s="16">
        <f t="shared" si="19"/>
        <v>2.9048708045416601E-2</v>
      </c>
      <c r="D81" s="16">
        <f t="shared" si="15"/>
        <v>4.6806739464854063E-3</v>
      </c>
      <c r="E81" s="16">
        <f t="shared" si="16"/>
        <v>0.10591454505740079</v>
      </c>
      <c r="F81" s="16">
        <f t="shared" si="17"/>
        <v>0.10552114362714923</v>
      </c>
      <c r="G81" s="16" t="str">
        <f t="shared" si="20"/>
        <v xml:space="preserve"> </v>
      </c>
      <c r="H81" s="16" t="str">
        <f t="shared" si="21"/>
        <v xml:space="preserve"> </v>
      </c>
      <c r="I81" s="16" t="str">
        <f t="shared" si="22"/>
        <v xml:space="preserve"> </v>
      </c>
      <c r="J81" s="16">
        <f t="shared" si="18"/>
        <v>4.6806739464854063E-3</v>
      </c>
      <c r="K81" s="16">
        <f t="shared" si="23"/>
        <v>0.10552114362714923</v>
      </c>
      <c r="L81" s="16">
        <f t="shared" si="24"/>
        <v>2.848264979325037E-2</v>
      </c>
      <c r="M81" s="16">
        <f t="shared" si="25"/>
        <v>3.3567807503753745E-2</v>
      </c>
      <c r="N81" s="16">
        <f t="shared" si="26"/>
        <v>3.4601785010711275E-2</v>
      </c>
      <c r="O81" s="16">
        <f t="shared" si="27"/>
        <v>-2.4206459610782931E-2</v>
      </c>
      <c r="R81" s="5">
        <f>IF($T$1, J81, -0.2)</f>
        <v>-0.2</v>
      </c>
    </row>
    <row r="82" spans="2:18" x14ac:dyDescent="0.3">
      <c r="B82" s="16">
        <v>3.2331398005215228E-2</v>
      </c>
      <c r="C82" s="16">
        <f t="shared" si="19"/>
        <v>2.9372159694867707E-2</v>
      </c>
      <c r="D82" s="16">
        <f t="shared" si="15"/>
        <v>4.7635070018275296E-3</v>
      </c>
      <c r="E82" s="16">
        <f t="shared" si="16"/>
        <v>0.10400978905510599</v>
      </c>
      <c r="F82" s="16">
        <f t="shared" si="17"/>
        <v>0.10363714429673085</v>
      </c>
      <c r="G82" s="16" t="str">
        <f t="shared" si="20"/>
        <v xml:space="preserve"> </v>
      </c>
      <c r="H82" s="16" t="str">
        <f t="shared" si="21"/>
        <v xml:space="preserve"> </v>
      </c>
      <c r="I82" s="16" t="str">
        <f t="shared" si="22"/>
        <v xml:space="preserve"> </v>
      </c>
      <c r="J82" s="16">
        <f t="shared" si="18"/>
        <v>4.7635070018275296E-3</v>
      </c>
      <c r="K82" s="16">
        <f t="shared" si="23"/>
        <v>0.10363714429673085</v>
      </c>
      <c r="L82" s="16">
        <f t="shared" si="24"/>
        <v>2.9292797504326673E-2</v>
      </c>
      <c r="M82" s="16">
        <f t="shared" si="25"/>
        <v>3.397806967418001E-2</v>
      </c>
      <c r="N82" s="16">
        <f t="shared" si="26"/>
        <v>3.5369998506103784E-2</v>
      </c>
      <c r="O82" s="16">
        <f t="shared" si="27"/>
        <v>-2.4451055670524947E-2</v>
      </c>
      <c r="R82" s="5">
        <f>IF($T$1, J82, -0.2)</f>
        <v>-0.2</v>
      </c>
    </row>
    <row r="83" spans="2:18" x14ac:dyDescent="0.3">
      <c r="B83" s="16">
        <v>3.313016742376218E-2</v>
      </c>
      <c r="C83" s="16">
        <f t="shared" si="19"/>
        <v>2.9694435721481963E-2</v>
      </c>
      <c r="D83" s="16">
        <f t="shared" si="15"/>
        <v>4.8458222764930598E-3</v>
      </c>
      <c r="E83" s="16">
        <f t="shared" si="16"/>
        <v>0.10209816275847848</v>
      </c>
      <c r="F83" s="16">
        <f t="shared" si="17"/>
        <v>0.10174560690963773</v>
      </c>
      <c r="G83" s="16" t="str">
        <f t="shared" si="20"/>
        <v xml:space="preserve"> </v>
      </c>
      <c r="H83" s="16" t="str">
        <f t="shared" si="21"/>
        <v xml:space="preserve"> </v>
      </c>
      <c r="I83" s="16" t="str">
        <f t="shared" si="22"/>
        <v xml:space="preserve"> </v>
      </c>
      <c r="J83" s="16">
        <f t="shared" si="18"/>
        <v>4.8458222764930598E-3</v>
      </c>
      <c r="K83" s="16">
        <f t="shared" si="23"/>
        <v>0.10174560690963773</v>
      </c>
      <c r="L83" s="16">
        <f t="shared" si="24"/>
        <v>3.01140991390841E-2</v>
      </c>
      <c r="M83" s="16">
        <f t="shared" si="25"/>
        <v>3.4386689645603652E-2</v>
      </c>
      <c r="N83" s="16">
        <f t="shared" si="26"/>
        <v>3.6146235708440257E-2</v>
      </c>
      <c r="O83" s="16">
        <f t="shared" si="27"/>
        <v>-2.4695045092617534E-2</v>
      </c>
      <c r="R83" s="5">
        <f>IF($T$1, J83, -0.2)</f>
        <v>-0.2</v>
      </c>
    </row>
    <row r="84" spans="2:18" x14ac:dyDescent="0.3">
      <c r="B84" s="16">
        <v>3.3938517742461038E-2</v>
      </c>
      <c r="C84" s="16">
        <f t="shared" si="19"/>
        <v>3.0015527412465451E-2</v>
      </c>
      <c r="D84" s="16">
        <f t="shared" si="15"/>
        <v>4.927577066653221E-3</v>
      </c>
      <c r="E84" s="16">
        <f t="shared" si="16"/>
        <v>0.10018027445594178</v>
      </c>
      <c r="F84" s="16">
        <f t="shared" si="17"/>
        <v>9.9847138863809609E-2</v>
      </c>
      <c r="G84" s="16" t="str">
        <f t="shared" si="20"/>
        <v xml:space="preserve"> </v>
      </c>
      <c r="H84" s="16" t="str">
        <f t="shared" si="21"/>
        <v xml:space="preserve"> </v>
      </c>
      <c r="I84" s="16" t="str">
        <f t="shared" si="22"/>
        <v xml:space="preserve"> </v>
      </c>
      <c r="J84" s="16">
        <f t="shared" si="18"/>
        <v>4.927577066653221E-3</v>
      </c>
      <c r="K84" s="16">
        <f t="shared" si="23"/>
        <v>9.9847138863809609E-2</v>
      </c>
      <c r="L84" s="16">
        <f t="shared" si="24"/>
        <v>3.0946530409106485E-2</v>
      </c>
      <c r="M84" s="16">
        <f t="shared" si="25"/>
        <v>3.4793609572587293E-2</v>
      </c>
      <c r="N84" s="16">
        <f t="shared" si="26"/>
        <v>3.6930505075815592E-2</v>
      </c>
      <c r="O84" s="16">
        <f t="shared" si="27"/>
        <v>-2.4938455439280853E-2</v>
      </c>
      <c r="R84" s="5">
        <f>IF($T$1, J84, -0.2)</f>
        <v>-0.2</v>
      </c>
    </row>
    <row r="85" spans="2:18" x14ac:dyDescent="0.3">
      <c r="B85" s="16">
        <v>3.475644095121222E-2</v>
      </c>
      <c r="C85" s="16">
        <f t="shared" si="19"/>
        <v>3.0335426002139648E-2</v>
      </c>
      <c r="D85" s="16">
        <f t="shared" si="15"/>
        <v>5.0087290160359182E-3</v>
      </c>
      <c r="E85" s="16">
        <f t="shared" si="16"/>
        <v>9.8256739071450813E-2</v>
      </c>
      <c r="F85" s="16">
        <f t="shared" si="17"/>
        <v>9.7942355327310424E-2</v>
      </c>
      <c r="G85" s="16" t="str">
        <f t="shared" si="20"/>
        <v xml:space="preserve"> </v>
      </c>
      <c r="H85" s="16" t="str">
        <f t="shared" si="21"/>
        <v xml:space="preserve"> </v>
      </c>
      <c r="I85" s="16" t="str">
        <f t="shared" si="22"/>
        <v xml:space="preserve"> </v>
      </c>
      <c r="J85" s="16">
        <f t="shared" si="18"/>
        <v>5.0087290160359182E-3</v>
      </c>
      <c r="K85" s="16">
        <f t="shared" si="23"/>
        <v>9.7942355327310424E-2</v>
      </c>
      <c r="L85" s="16">
        <f t="shared" si="24"/>
        <v>3.1790065785378935E-2</v>
      </c>
      <c r="M85" s="16">
        <f t="shared" si="25"/>
        <v>3.519877189621113E-2</v>
      </c>
      <c r="N85" s="16">
        <f t="shared" si="26"/>
        <v>3.7722816117045505E-2</v>
      </c>
      <c r="O85" s="16">
        <f t="shared" si="27"/>
        <v>-2.5181313864139292E-2</v>
      </c>
      <c r="R85" s="5">
        <f>IF($T$1, J85, -0.2)</f>
        <v>-0.2</v>
      </c>
    </row>
    <row r="86" spans="2:18" x14ac:dyDescent="0.3">
      <c r="B86" s="16">
        <v>3.5583928945056353E-2</v>
      </c>
      <c r="C86" s="16">
        <f t="shared" si="19"/>
        <v>3.0654122673342339E-2</v>
      </c>
      <c r="D86" s="16">
        <f t="shared" si="15"/>
        <v>5.0892361458555304E-3</v>
      </c>
      <c r="E86" s="16">
        <f t="shared" si="16"/>
        <v>9.632817813477855E-2</v>
      </c>
      <c r="F86" s="16">
        <f t="shared" si="17"/>
        <v>9.6031879188593017E-2</v>
      </c>
      <c r="G86" s="16" t="str">
        <f t="shared" si="20"/>
        <v xml:space="preserve"> </v>
      </c>
      <c r="H86" s="16" t="str">
        <f t="shared" si="21"/>
        <v xml:space="preserve"> </v>
      </c>
      <c r="I86" s="16" t="str">
        <f t="shared" si="22"/>
        <v xml:space="preserve"> </v>
      </c>
      <c r="J86" s="16">
        <f t="shared" si="18"/>
        <v>5.0892361458555304E-3</v>
      </c>
      <c r="K86" s="16">
        <f t="shared" si="23"/>
        <v>9.6031879188593017E-2</v>
      </c>
      <c r="L86" s="16">
        <f t="shared" si="24"/>
        <v>3.2644678492854767E-2</v>
      </c>
      <c r="M86" s="16">
        <f t="shared" si="25"/>
        <v>3.5602119386407442E-2</v>
      </c>
      <c r="N86" s="16">
        <f t="shared" si="26"/>
        <v>3.8523179397257939E-2</v>
      </c>
      <c r="O86" s="16">
        <f t="shared" si="27"/>
        <v>-2.5423647094696383E-2</v>
      </c>
      <c r="R86" s="5">
        <f>IF($T$1, J86, -0.2)</f>
        <v>-0.2</v>
      </c>
    </row>
    <row r="87" spans="2:18" x14ac:dyDescent="0.3">
      <c r="B87" s="16">
        <v>3.6420973524254996E-2</v>
      </c>
      <c r="C87" s="16">
        <f t="shared" si="19"/>
        <v>3.0971608558837942E-2</v>
      </c>
      <c r="D87" s="16">
        <f t="shared" si="15"/>
        <v>5.1690568849895478E-3</v>
      </c>
      <c r="E87" s="16">
        <f t="shared" si="16"/>
        <v>9.4395219751476536E-2</v>
      </c>
      <c r="F87" s="16">
        <f t="shared" si="17"/>
        <v>9.4116341004078202E-2</v>
      </c>
      <c r="G87" s="16" t="str">
        <f t="shared" si="20"/>
        <v xml:space="preserve"> </v>
      </c>
      <c r="H87" s="16" t="str">
        <f t="shared" si="21"/>
        <v xml:space="preserve"> </v>
      </c>
      <c r="I87" s="16" t="str">
        <f t="shared" si="22"/>
        <v xml:space="preserve"> </v>
      </c>
      <c r="J87" s="16">
        <f t="shared" si="18"/>
        <v>5.1690568849895478E-3</v>
      </c>
      <c r="K87" s="16">
        <f t="shared" si="23"/>
        <v>9.4116341004078202E-2</v>
      </c>
      <c r="L87" s="16">
        <f t="shared" si="24"/>
        <v>3.3510340505524858E-2</v>
      </c>
      <c r="M87" s="16">
        <f t="shared" si="25"/>
        <v>3.6003595184632718E-2</v>
      </c>
      <c r="N87" s="16">
        <f t="shared" si="26"/>
        <v>3.9331606542985134E-2</v>
      </c>
      <c r="O87" s="16">
        <f t="shared" si="27"/>
        <v>-2.5665481414653624E-2</v>
      </c>
      <c r="R87" s="5">
        <f>IF($T$1, J87, -0.2)</f>
        <v>-0.2</v>
      </c>
    </row>
    <row r="88" spans="2:18" x14ac:dyDescent="0.3">
      <c r="B88" s="16">
        <v>3.7267566394371454E-2</v>
      </c>
      <c r="C88" s="16">
        <f t="shared" si="19"/>
        <v>3.128787474273638E-2</v>
      </c>
      <c r="D88" s="16">
        <f t="shared" si="15"/>
        <v>5.2481501003978723E-3</v>
      </c>
      <c r="E88" s="16">
        <f t="shared" si="16"/>
        <v>9.2458498572513273E-2</v>
      </c>
      <c r="F88" s="16">
        <f t="shared" si="17"/>
        <v>9.2196378943104326E-2</v>
      </c>
      <c r="G88" s="16" t="str">
        <f t="shared" si="20"/>
        <v xml:space="preserve"> </v>
      </c>
      <c r="H88" s="16" t="str">
        <f t="shared" si="21"/>
        <v xml:space="preserve"> </v>
      </c>
      <c r="I88" s="16" t="str">
        <f t="shared" si="22"/>
        <v xml:space="preserve"> </v>
      </c>
      <c r="J88" s="16">
        <f t="shared" si="18"/>
        <v>5.2481501003978723E-3</v>
      </c>
      <c r="K88" s="16">
        <f t="shared" si="23"/>
        <v>9.2196378943104326E-2</v>
      </c>
      <c r="L88" s="16">
        <f t="shared" si="24"/>
        <v>3.4387022541996617E-2</v>
      </c>
      <c r="M88" s="16">
        <f t="shared" si="25"/>
        <v>3.6403142846853559E-2</v>
      </c>
      <c r="N88" s="16">
        <f t="shared" si="26"/>
        <v>4.0148110246746291E-2</v>
      </c>
      <c r="O88" s="16">
        <f t="shared" si="27"/>
        <v>-2.5906842646057818E-2</v>
      </c>
      <c r="R88" s="5">
        <f>IF($T$1, J88, -0.2)</f>
        <v>-0.2</v>
      </c>
    </row>
    <row r="89" spans="2:18" x14ac:dyDescent="0.3">
      <c r="B89" s="16">
        <v>3.8123699166353275E-2</v>
      </c>
      <c r="C89" s="16">
        <f t="shared" si="19"/>
        <v>3.1602912261920968E-2</v>
      </c>
      <c r="D89" s="16">
        <f t="shared" si="15"/>
        <v>5.3264751277809471E-3</v>
      </c>
      <c r="E89" s="16">
        <f t="shared" si="16"/>
        <v>9.0518655763588404E-2</v>
      </c>
      <c r="F89" s="16">
        <f t="shared" si="17"/>
        <v>9.0272638730303958E-2</v>
      </c>
      <c r="G89" s="16" t="str">
        <f t="shared" si="20"/>
        <v xml:space="preserve"> </v>
      </c>
      <c r="H89" s="16" t="str">
        <f t="shared" si="21"/>
        <v xml:space="preserve"> </v>
      </c>
      <c r="I89" s="16" t="str">
        <f t="shared" si="22"/>
        <v xml:space="preserve"> </v>
      </c>
      <c r="J89" s="16">
        <f t="shared" si="18"/>
        <v>5.3264751277809471E-3</v>
      </c>
      <c r="K89" s="16">
        <f t="shared" si="23"/>
        <v>9.0272638730303958E-2</v>
      </c>
      <c r="L89" s="16">
        <f t="shared" si="24"/>
        <v>3.5274694061592386E-2</v>
      </c>
      <c r="M89" s="16">
        <f t="shared" si="25"/>
        <v>3.6800706386823971E-2</v>
      </c>
      <c r="N89" s="16">
        <f t="shared" si="26"/>
        <v>4.0972704271114165E-2</v>
      </c>
      <c r="O89" s="16">
        <f t="shared" si="27"/>
        <v>-2.6147756131262075E-2</v>
      </c>
      <c r="R89" s="5">
        <f>IF($T$1, J89, -0.2)</f>
        <v>-0.2</v>
      </c>
    </row>
    <row r="90" spans="2:18" x14ac:dyDescent="0.3">
      <c r="B90" s="16">
        <v>3.8989363356615403E-2</v>
      </c>
      <c r="C90" s="16">
        <f t="shared" si="19"/>
        <v>3.191671210748457E-2</v>
      </c>
      <c r="D90" s="16">
        <f t="shared" si="15"/>
        <v>5.4039918024725376E-3</v>
      </c>
      <c r="E90" s="16">
        <f t="shared" si="16"/>
        <v>8.8576338974126173E-2</v>
      </c>
      <c r="F90" s="16">
        <f t="shared" si="17"/>
        <v>8.8345773585476128E-2</v>
      </c>
      <c r="G90" s="16" t="str">
        <f t="shared" si="20"/>
        <v xml:space="preserve"> </v>
      </c>
      <c r="H90" s="16" t="str">
        <f t="shared" si="21"/>
        <v xml:space="preserve"> </v>
      </c>
      <c r="I90" s="16" t="str">
        <f t="shared" si="22"/>
        <v xml:space="preserve"> </v>
      </c>
      <c r="J90" s="16">
        <f t="shared" si="18"/>
        <v>5.4039918024725376E-3</v>
      </c>
      <c r="K90" s="16">
        <f t="shared" si="23"/>
        <v>8.8345773585476128E-2</v>
      </c>
      <c r="L90" s="16">
        <f t="shared" si="24"/>
        <v>3.6173323260973451E-2</v>
      </c>
      <c r="M90" s="16">
        <f t="shared" si="25"/>
        <v>3.7196230319629348E-2</v>
      </c>
      <c r="N90" s="16">
        <f t="shared" si="26"/>
        <v>4.1805403452257354E-2</v>
      </c>
      <c r="O90" s="16">
        <f t="shared" si="27"/>
        <v>-2.6388246714684274E-2</v>
      </c>
      <c r="R90" s="5">
        <f>IF($T$1, J90, -0.2)</f>
        <v>-0.2</v>
      </c>
    </row>
    <row r="91" spans="2:18" x14ac:dyDescent="0.3">
      <c r="B91" s="16">
        <v>3.9864550387123776E-2</v>
      </c>
      <c r="C91" s="16">
        <f t="shared" si="19"/>
        <v>3.2229265226173677E-2</v>
      </c>
      <c r="D91" s="16">
        <f t="shared" si="15"/>
        <v>5.480660490563059E-3</v>
      </c>
      <c r="E91" s="16">
        <f t="shared" si="16"/>
        <v>8.6632202305950076E-2</v>
      </c>
      <c r="F91" s="16">
        <f t="shared" si="17"/>
        <v>8.6416444161027284E-2</v>
      </c>
      <c r="G91" s="16" t="str">
        <f t="shared" si="20"/>
        <v xml:space="preserve"> </v>
      </c>
      <c r="H91" s="16" t="str">
        <f t="shared" si="21"/>
        <v xml:space="preserve"> </v>
      </c>
      <c r="I91" s="16" t="str">
        <f t="shared" si="22"/>
        <v xml:space="preserve"> </v>
      </c>
      <c r="J91" s="16">
        <f t="shared" si="18"/>
        <v>5.480660490563059E-3</v>
      </c>
      <c r="K91" s="16">
        <f t="shared" si="23"/>
        <v>8.6416444161027284E-2</v>
      </c>
      <c r="L91" s="16">
        <f t="shared" si="24"/>
        <v>3.7082877071296143E-2</v>
      </c>
      <c r="M91" s="16">
        <f t="shared" si="25"/>
        <v>3.7589659705472581E-2</v>
      </c>
      <c r="N91" s="16">
        <f t="shared" si="26"/>
        <v>4.2646223702951409E-2</v>
      </c>
      <c r="O91" s="16">
        <f t="shared" si="27"/>
        <v>-2.6628338724346459E-2</v>
      </c>
      <c r="R91" s="5">
        <f>IF($T$1, J91, -0.2)</f>
        <v>-0.2</v>
      </c>
    </row>
    <row r="92" spans="2:18" x14ac:dyDescent="0.3">
      <c r="B92" s="16">
        <v>4.0749251585480817E-2</v>
      </c>
      <c r="C92" s="16">
        <f t="shared" si="19"/>
        <v>3.2540562521840719E-2</v>
      </c>
      <c r="D92" s="16">
        <f t="shared" si="15"/>
        <v>5.5564421202494701E-3</v>
      </c>
      <c r="E92" s="16">
        <f t="shared" si="16"/>
        <v>8.4686906281636623E-2</v>
      </c>
      <c r="F92" s="16">
        <f t="shared" si="17"/>
        <v>8.4485318477056509E-2</v>
      </c>
      <c r="G92" s="16" t="str">
        <f t="shared" si="20"/>
        <v xml:space="preserve"> </v>
      </c>
      <c r="H92" s="16" t="str">
        <f t="shared" si="21"/>
        <v xml:space="preserve"> </v>
      </c>
      <c r="I92" s="16" t="str">
        <f t="shared" si="22"/>
        <v xml:space="preserve"> </v>
      </c>
      <c r="J92" s="16">
        <f t="shared" si="18"/>
        <v>5.5564421202494701E-3</v>
      </c>
      <c r="K92" s="16">
        <f t="shared" si="23"/>
        <v>8.4485318477056509E-2</v>
      </c>
      <c r="L92" s="16">
        <f t="shared" si="24"/>
        <v>3.8003321155907273E-2</v>
      </c>
      <c r="M92" s="16">
        <f t="shared" si="25"/>
        <v>3.7980940193677946E-2</v>
      </c>
      <c r="N92" s="16">
        <f t="shared" si="26"/>
        <v>4.3495182015054361E-2</v>
      </c>
      <c r="O92" s="16">
        <f t="shared" si="27"/>
        <v>-2.6868055953179003E-2</v>
      </c>
      <c r="R92" s="5">
        <f>IF($T$1, J92, -0.2)</f>
        <v>-0.2</v>
      </c>
    </row>
    <row r="93" spans="2:18" x14ac:dyDescent="0.3">
      <c r="B93" s="16">
        <v>4.1643458185011473E-2</v>
      </c>
      <c r="C93" s="16">
        <f t="shared" si="19"/>
        <v>3.2850594856903843E-2</v>
      </c>
      <c r="D93" s="16">
        <f t="shared" si="15"/>
        <v>5.6312982134074201E-3</v>
      </c>
      <c r="E93" s="16">
        <f t="shared" si="16"/>
        <v>8.2741117812552459E-2</v>
      </c>
      <c r="F93" s="16">
        <f t="shared" si="17"/>
        <v>8.2553071854173168E-2</v>
      </c>
      <c r="G93" s="16" t="str">
        <f t="shared" si="20"/>
        <v xml:space="preserve"> </v>
      </c>
      <c r="H93" s="16" t="str">
        <f t="shared" si="21"/>
        <v xml:space="preserve"> </v>
      </c>
      <c r="I93" s="16" t="str">
        <f t="shared" si="22"/>
        <v xml:space="preserve"> </v>
      </c>
      <c r="J93" s="16">
        <f t="shared" si="18"/>
        <v>5.6312982134074201E-3</v>
      </c>
      <c r="K93" s="16">
        <f t="shared" si="23"/>
        <v>8.2553071854173168E-2</v>
      </c>
      <c r="L93" s="16">
        <f t="shared" si="24"/>
        <v>3.8934619908582602E-2</v>
      </c>
      <c r="M93" s="16">
        <f t="shared" si="25"/>
        <v>3.8370018066886585E-2</v>
      </c>
      <c r="N93" s="16">
        <f t="shared" si="26"/>
        <v>4.4352296461440344E-2</v>
      </c>
      <c r="O93" s="16">
        <f t="shared" si="27"/>
        <v>-2.7107421640071749E-2</v>
      </c>
      <c r="R93" s="5">
        <f>IF($T$1, J93, -0.2)</f>
        <v>-0.2</v>
      </c>
    </row>
    <row r="94" spans="2:18" x14ac:dyDescent="0.3">
      <c r="B94" s="16">
        <v>4.2547161324849481E-2</v>
      </c>
      <c r="C94" s="16">
        <f t="shared" si="19"/>
        <v>3.3159353053813845E-2</v>
      </c>
      <c r="D94" s="16">
        <f t="shared" si="15"/>
        <v>5.7051909173814535E-3</v>
      </c>
      <c r="E94" s="16">
        <f t="shared" si="16"/>
        <v>8.079551016657717E-2</v>
      </c>
      <c r="F94" s="16">
        <f t="shared" si="17"/>
        <v>8.0620386844138692E-2</v>
      </c>
      <c r="G94" s="16" t="str">
        <f t="shared" si="20"/>
        <v xml:space="preserve"> </v>
      </c>
      <c r="H94" s="16" t="str">
        <f t="shared" si="21"/>
        <v xml:space="preserve"> </v>
      </c>
      <c r="I94" s="16" t="str">
        <f t="shared" si="22"/>
        <v xml:space="preserve"> </v>
      </c>
      <c r="J94" s="16">
        <f t="shared" si="18"/>
        <v>5.7051909173814535E-3</v>
      </c>
      <c r="K94" s="16">
        <f t="shared" si="23"/>
        <v>8.0620386844138692E-2</v>
      </c>
      <c r="L94" s="16">
        <f t="shared" si="24"/>
        <v>3.987673645231217E-2</v>
      </c>
      <c r="M94" s="16">
        <f t="shared" si="25"/>
        <v>3.8756840285417649E-2</v>
      </c>
      <c r="N94" s="16">
        <f t="shared" si="26"/>
        <v>4.5217586197386792E-2</v>
      </c>
      <c r="O94" s="16">
        <f t="shared" si="27"/>
        <v>-2.734645845065474E-2</v>
      </c>
      <c r="R94" s="5">
        <f>IF($T$1, J94, -0.2)</f>
        <v>-0.2</v>
      </c>
    </row>
    <row r="95" spans="2:18" x14ac:dyDescent="0.3">
      <c r="B95" s="16">
        <v>4.346035205002563E-2</v>
      </c>
      <c r="C95" s="16">
        <f t="shared" si="19"/>
        <v>3.3466827896528425E-2</v>
      </c>
      <c r="D95" s="16">
        <f t="shared" si="15"/>
        <v>5.7780830369891893E-3</v>
      </c>
      <c r="E95" s="16">
        <f t="shared" si="16"/>
        <v>7.8850762935508772E-2</v>
      </c>
      <c r="F95" s="16">
        <f t="shared" si="17"/>
        <v>7.8687953158425708E-2</v>
      </c>
      <c r="G95" s="16" t="str">
        <f t="shared" si="20"/>
        <v xml:space="preserve"> </v>
      </c>
      <c r="H95" s="16" t="str">
        <f t="shared" si="21"/>
        <v xml:space="preserve"> </v>
      </c>
      <c r="I95" s="16" t="str">
        <f t="shared" si="22"/>
        <v xml:space="preserve"> </v>
      </c>
      <c r="J95" s="16">
        <f t="shared" si="18"/>
        <v>5.7780830369891893E-3</v>
      </c>
      <c r="K95" s="16">
        <f t="shared" si="23"/>
        <v>7.8687953158425708E-2</v>
      </c>
      <c r="L95" s="16">
        <f t="shared" si="24"/>
        <v>4.0829632638637717E-2</v>
      </c>
      <c r="M95" s="16">
        <f t="shared" si="25"/>
        <v>3.9141354531769201E-2</v>
      </c>
      <c r="N95" s="16">
        <f t="shared" si="26"/>
        <v>4.6091071461413544E-2</v>
      </c>
      <c r="O95" s="16">
        <f t="shared" si="27"/>
        <v>-2.7585188457790819E-2</v>
      </c>
      <c r="R95" s="5">
        <f>IF($T$1, J95, -0.2)</f>
        <v>-0.2</v>
      </c>
    </row>
    <row r="96" spans="2:18" x14ac:dyDescent="0.3">
      <c r="B96" s="16">
        <v>4.4383021311556581E-2</v>
      </c>
      <c r="C96" s="16">
        <f t="shared" si="19"/>
        <v>3.3773010131993193E-2</v>
      </c>
      <c r="D96" s="16">
        <f t="shared" si="15"/>
        <v>5.8499380667350765E-3</v>
      </c>
      <c r="E96" s="16">
        <f t="shared" si="16"/>
        <v>7.6907562002156746E-2</v>
      </c>
      <c r="F96" s="16">
        <f t="shared" si="17"/>
        <v>7.6756467594800606E-2</v>
      </c>
      <c r="G96" s="16" t="str">
        <f t="shared" si="20"/>
        <v xml:space="preserve"> </v>
      </c>
      <c r="H96" s="16" t="str">
        <f t="shared" si="21"/>
        <v xml:space="preserve"> </v>
      </c>
      <c r="I96" s="16" t="str">
        <f t="shared" si="22"/>
        <v xml:space="preserve"> </v>
      </c>
      <c r="J96" s="16">
        <f t="shared" si="18"/>
        <v>5.8499380667350765E-3</v>
      </c>
      <c r="K96" s="16">
        <f t="shared" si="23"/>
        <v>7.6756467594800606E-2</v>
      </c>
      <c r="L96" s="16">
        <f t="shared" si="24"/>
        <v>4.1793269047543234E-2</v>
      </c>
      <c r="M96" s="16">
        <f t="shared" si="25"/>
        <v>3.9523509255231737E-2</v>
      </c>
      <c r="N96" s="16">
        <f t="shared" si="26"/>
        <v>4.6972773575569927E-2</v>
      </c>
      <c r="O96" s="16">
        <f t="shared" si="27"/>
        <v>-2.7823633121761587E-2</v>
      </c>
      <c r="R96" s="5">
        <f>IF($T$1, J96, -0.2)</f>
        <v>-0.2</v>
      </c>
    </row>
    <row r="97" spans="2:18" x14ac:dyDescent="0.3">
      <c r="B97" s="16">
        <v>4.5315159966534124E-2</v>
      </c>
      <c r="C97" s="16">
        <f t="shared" si="19"/>
        <v>3.4077890471629076E-2</v>
      </c>
      <c r="D97" s="16">
        <f t="shared" si="15"/>
        <v>5.9207202232294696E-3</v>
      </c>
      <c r="E97" s="16">
        <f t="shared" si="16"/>
        <v>7.4966599507124157E-2</v>
      </c>
      <c r="F97" s="16">
        <f t="shared" si="17"/>
        <v>7.482663396203823E-2</v>
      </c>
      <c r="G97" s="16" t="str">
        <f t="shared" si="20"/>
        <v xml:space="preserve"> </v>
      </c>
      <c r="H97" s="16" t="str">
        <f t="shared" si="21"/>
        <v xml:space="preserve"> </v>
      </c>
      <c r="I97" s="16" t="str">
        <f t="shared" si="22"/>
        <v xml:space="preserve"> </v>
      </c>
      <c r="J97" s="16">
        <f t="shared" si="18"/>
        <v>5.9207202232294696E-3</v>
      </c>
      <c r="K97" s="16">
        <f t="shared" si="23"/>
        <v>7.482663396203823E-2</v>
      </c>
      <c r="L97" s="16">
        <f t="shared" si="24"/>
        <v>4.2767604987900137E-2</v>
      </c>
      <c r="M97" s="16">
        <f t="shared" si="25"/>
        <v>3.9903253716587275E-2</v>
      </c>
      <c r="N97" s="16">
        <f t="shared" si="26"/>
        <v>4.7862714945168111E-2</v>
      </c>
      <c r="O97" s="16">
        <f t="shared" si="27"/>
        <v>-2.8061813270128338E-2</v>
      </c>
      <c r="R97" s="5">
        <f>IF($T$1, J97, -0.2)</f>
        <v>-0.2</v>
      </c>
    </row>
    <row r="98" spans="2:18" x14ac:dyDescent="0.3">
      <c r="B98" s="16">
        <v>4.625675877821589E-2</v>
      </c>
      <c r="C98" s="16">
        <f t="shared" si="19"/>
        <v>3.4381459592826014E-2</v>
      </c>
      <c r="D98" s="16">
        <f t="shared" si="15"/>
        <v>5.9903944778087132E-3</v>
      </c>
      <c r="E98" s="16">
        <f t="shared" si="16"/>
        <v>7.3028573815277859E-2</v>
      </c>
      <c r="F98" s="16">
        <f t="shared" si="17"/>
        <v>7.289916300288031E-2</v>
      </c>
      <c r="G98" s="16" t="str">
        <f t="shared" si="20"/>
        <v xml:space="preserve"> </v>
      </c>
      <c r="H98" s="16" t="str">
        <f t="shared" si="21"/>
        <v xml:space="preserve"> </v>
      </c>
      <c r="I98" s="16" t="str">
        <f t="shared" si="22"/>
        <v xml:space="preserve"> </v>
      </c>
      <c r="J98" s="16">
        <f t="shared" si="18"/>
        <v>5.9903944778087132E-3</v>
      </c>
      <c r="K98" s="16">
        <f t="shared" si="23"/>
        <v>7.289916300288031E-2</v>
      </c>
      <c r="L98" s="16">
        <f t="shared" si="24"/>
        <v>4.3752598498468881E-2</v>
      </c>
      <c r="M98" s="16">
        <f t="shared" si="25"/>
        <v>4.0280538032866416E-2</v>
      </c>
      <c r="N98" s="16">
        <f t="shared" si="26"/>
        <v>4.8760919057962898E-2</v>
      </c>
      <c r="O98" s="16">
        <f t="shared" si="27"/>
        <v>-2.8299749077248991E-2</v>
      </c>
      <c r="R98" s="5">
        <f>IF($T$1, J98, -0.2)</f>
        <v>-0.2</v>
      </c>
    </row>
    <row r="99" spans="2:18" x14ac:dyDescent="0.3">
      <c r="B99" s="16">
        <v>4.7207808416117381E-2</v>
      </c>
      <c r="C99" s="16">
        <f t="shared" si="19"/>
        <v>3.468370814044297E-2</v>
      </c>
      <c r="D99" s="16">
        <f t="shared" si="15"/>
        <v>6.0589265893519414E-3</v>
      </c>
      <c r="E99" s="16">
        <f t="shared" si="16"/>
        <v>7.1094189481908807E-2</v>
      </c>
      <c r="F99" s="16">
        <f t="shared" si="17"/>
        <v>7.097477231535726E-2</v>
      </c>
      <c r="G99" s="16" t="str">
        <f t="shared" si="20"/>
        <v xml:space="preserve"> </v>
      </c>
      <c r="H99" s="16" t="str">
        <f t="shared" si="21"/>
        <v xml:space="preserve"> </v>
      </c>
      <c r="I99" s="16" t="str">
        <f t="shared" si="22"/>
        <v xml:space="preserve"> </v>
      </c>
      <c r="J99" s="16">
        <f t="shared" si="18"/>
        <v>6.0589265893519414E-3</v>
      </c>
      <c r="K99" s="16">
        <f t="shared" si="23"/>
        <v>7.097477231535726E-2</v>
      </c>
      <c r="L99" s="16">
        <f t="shared" si="24"/>
        <v>4.4748206349456823E-2</v>
      </c>
      <c r="M99" s="16">
        <f t="shared" si="25"/>
        <v>4.0655313222136426E-2</v>
      </c>
      <c r="N99" s="16">
        <f t="shared" si="26"/>
        <v>4.9667410482777938E-2</v>
      </c>
      <c r="O99" s="16">
        <f t="shared" si="27"/>
        <v>-2.8537460043432543E-2</v>
      </c>
      <c r="R99" s="5">
        <f>IF($T$1, J99, -0.2)</f>
        <v>-0.2</v>
      </c>
    </row>
    <row r="100" spans="2:18" x14ac:dyDescent="0.3">
      <c r="B100" s="16">
        <v>4.8168299456103791E-2</v>
      </c>
      <c r="C100" s="16">
        <f t="shared" si="19"/>
        <v>3.4984626728313123E-2</v>
      </c>
      <c r="D100" s="16">
        <f t="shared" si="15"/>
        <v>6.1262831372900194E-3</v>
      </c>
      <c r="E100" s="16">
        <f t="shared" si="16"/>
        <v>6.9164157218586569E-2</v>
      </c>
      <c r="F100" s="16">
        <f t="shared" si="17"/>
        <v>6.9054186272600362E-2</v>
      </c>
      <c r="G100" s="16" t="str">
        <f t="shared" si="20"/>
        <v xml:space="preserve"> </v>
      </c>
      <c r="H100" s="16" t="str">
        <f t="shared" si="21"/>
        <v xml:space="preserve"> </v>
      </c>
      <c r="I100" s="16" t="str">
        <f t="shared" si="22"/>
        <v xml:space="preserve"> </v>
      </c>
      <c r="J100" s="16">
        <f t="shared" si="18"/>
        <v>6.1262831372900194E-3</v>
      </c>
      <c r="K100" s="16">
        <f t="shared" si="23"/>
        <v>6.9054186272600362E-2</v>
      </c>
      <c r="L100" s="16">
        <f t="shared" si="24"/>
        <v>4.5754384044629622E-2</v>
      </c>
      <c r="M100" s="16">
        <f t="shared" si="25"/>
        <v>4.1027531248290991E-2</v>
      </c>
      <c r="N100" s="16">
        <f t="shared" si="26"/>
        <v>5.0582214867577961E-2</v>
      </c>
      <c r="O100" s="16">
        <f t="shared" si="27"/>
        <v>-2.8774964973710949E-2</v>
      </c>
      <c r="R100" s="5">
        <f>IF($T$1, J100, -0.2)</f>
        <v>-0.2</v>
      </c>
    </row>
    <row r="101" spans="2:18" x14ac:dyDescent="0.3">
      <c r="B101" s="16">
        <v>4.9138222380483598E-2</v>
      </c>
      <c r="C101" s="16">
        <f t="shared" si="19"/>
        <v>3.5284205940754841E-2</v>
      </c>
      <c r="D101" s="16">
        <f t="shared" si="15"/>
        <v>6.1924315548024279E-3</v>
      </c>
      <c r="E101" s="16">
        <f t="shared" si="16"/>
        <v>6.7239193858706053E-2</v>
      </c>
      <c r="F101" s="16">
        <f t="shared" si="17"/>
        <v>6.7138135941269453E-2</v>
      </c>
      <c r="G101" s="16" t="str">
        <f t="shared" si="20"/>
        <v xml:space="preserve"> </v>
      </c>
      <c r="H101" s="16" t="str">
        <f t="shared" si="21"/>
        <v xml:space="preserve"> </v>
      </c>
      <c r="I101" s="16" t="str">
        <f t="shared" si="22"/>
        <v xml:space="preserve"> </v>
      </c>
      <c r="J101" s="16">
        <f t="shared" si="18"/>
        <v>6.1924315548024279E-3</v>
      </c>
      <c r="K101" s="16">
        <f t="shared" si="23"/>
        <v>6.7138135941269453E-2</v>
      </c>
      <c r="L101" s="16">
        <f t="shared" si="24"/>
        <v>4.677108582397644E-2</v>
      </c>
      <c r="M101" s="16">
        <f t="shared" si="25"/>
        <v>4.1397145065814656E-2</v>
      </c>
      <c r="N101" s="16">
        <f t="shared" si="26"/>
        <v>5.1505358936990757E-2</v>
      </c>
      <c r="O101" s="16">
        <f t="shared" si="27"/>
        <v>-2.9012281956209796E-2</v>
      </c>
      <c r="R101" s="5">
        <f>IF($T$1, J101, -0.2)</f>
        <v>-0.2</v>
      </c>
    </row>
    <row r="102" spans="2:18" x14ac:dyDescent="0.3">
      <c r="B102" s="16">
        <v>5.0117567578102928E-2</v>
      </c>
      <c r="C102" s="16">
        <f t="shared" si="19"/>
        <v>3.5582436334087787E-2</v>
      </c>
      <c r="D102" s="16">
        <f t="shared" si="15"/>
        <v>6.2573401621975099E-3</v>
      </c>
      <c r="E102" s="16">
        <f t="shared" si="16"/>
        <v>6.5320022322729293E-2</v>
      </c>
      <c r="F102" s="16">
        <f t="shared" si="17"/>
        <v>6.5227358998731166E-2</v>
      </c>
      <c r="G102" s="16" t="str">
        <f t="shared" si="20"/>
        <v xml:space="preserve"> </v>
      </c>
      <c r="H102" s="16" t="str">
        <f t="shared" si="21"/>
        <v xml:space="preserve"> </v>
      </c>
      <c r="I102" s="16" t="str">
        <f t="shared" si="22"/>
        <v xml:space="preserve"> </v>
      </c>
      <c r="J102" s="16">
        <f t="shared" si="18"/>
        <v>6.2573401621975099E-3</v>
      </c>
      <c r="K102" s="16">
        <f t="shared" si="23"/>
        <v>6.5227358998731166E-2</v>
      </c>
      <c r="L102" s="16">
        <f t="shared" si="24"/>
        <v>4.7798264666924994E-2</v>
      </c>
      <c r="M102" s="16">
        <f t="shared" si="25"/>
        <v>4.1764108664493135E-2</v>
      </c>
      <c r="N102" s="16">
        <f t="shared" si="26"/>
        <v>5.2436870489280862E-2</v>
      </c>
      <c r="O102" s="16">
        <f t="shared" si="27"/>
        <v>-2.9249428340098114E-2</v>
      </c>
      <c r="R102" s="5">
        <f>IF($T$1, J102, -0.2)</f>
        <v>-0.2</v>
      </c>
    </row>
    <row r="103" spans="2:18" x14ac:dyDescent="0.3">
      <c r="B103" s="16">
        <v>5.1106325344440817E-2</v>
      </c>
      <c r="C103" s="16">
        <f t="shared" si="19"/>
        <v>3.587930843815381E-2</v>
      </c>
      <c r="D103" s="16">
        <f t="shared" si="15"/>
        <v>6.3209782004716485E-3</v>
      </c>
      <c r="E103" s="16">
        <f t="shared" si="16"/>
        <v>6.3407371583123512E-2</v>
      </c>
      <c r="F103" s="16">
        <f t="shared" si="17"/>
        <v>6.3322599649124789E-2</v>
      </c>
      <c r="G103" s="16" t="str">
        <f t="shared" si="20"/>
        <v xml:space="preserve"> </v>
      </c>
      <c r="H103" s="16" t="str">
        <f t="shared" si="21"/>
        <v xml:space="preserve"> </v>
      </c>
      <c r="I103" s="16" t="str">
        <f t="shared" si="22"/>
        <v xml:space="preserve"> </v>
      </c>
      <c r="J103" s="16">
        <f t="shared" si="18"/>
        <v>6.3209782004716485E-3</v>
      </c>
      <c r="K103" s="16">
        <f t="shared" si="23"/>
        <v>6.3322599649124789E-2</v>
      </c>
      <c r="L103" s="16">
        <f t="shared" si="24"/>
        <v>4.8835872296103006E-2</v>
      </c>
      <c r="M103" s="16">
        <f t="shared" si="25"/>
        <v>4.2128377114040737E-2</v>
      </c>
      <c r="N103" s="16">
        <f t="shared" si="26"/>
        <v>5.3376778392778629E-2</v>
      </c>
      <c r="O103" s="16">
        <f t="shared" si="27"/>
        <v>-2.9486420713097438E-2</v>
      </c>
      <c r="R103" s="5">
        <f>IF($T$1, J103, -0.2)</f>
        <v>-0.2</v>
      </c>
    </row>
    <row r="104" spans="2:18" x14ac:dyDescent="0.3">
      <c r="B104" s="16">
        <v>5.2104485881705465E-2</v>
      </c>
      <c r="C104" s="16">
        <f t="shared" si="19"/>
        <v>3.6174812757842595E-2</v>
      </c>
      <c r="D104" s="16">
        <f t="shared" si="15"/>
        <v>6.3833158650428677E-3</v>
      </c>
      <c r="E104" s="16">
        <f t="shared" si="16"/>
        <v>6.1501976628997472E-2</v>
      </c>
      <c r="F104" s="16">
        <f t="shared" si="17"/>
        <v>6.1424608538457659E-2</v>
      </c>
      <c r="G104" s="16" t="str">
        <f t="shared" si="20"/>
        <v xml:space="preserve"> </v>
      </c>
      <c r="H104" s="16" t="str">
        <f t="shared" si="21"/>
        <v xml:space="preserve"> </v>
      </c>
      <c r="I104" s="16" t="str">
        <f t="shared" si="22"/>
        <v xml:space="preserve"> </v>
      </c>
      <c r="J104" s="16">
        <f t="shared" si="18"/>
        <v>6.3833158650428677E-3</v>
      </c>
      <c r="K104" s="16">
        <f t="shared" si="23"/>
        <v>6.1424608538457659E-2</v>
      </c>
      <c r="L104" s="16">
        <f t="shared" si="24"/>
        <v>4.9883859181641406E-2</v>
      </c>
      <c r="M104" s="16">
        <f t="shared" si="25"/>
        <v>4.2489906608616734E-2</v>
      </c>
      <c r="N104" s="16">
        <f t="shared" si="26"/>
        <v>5.4325112581769523E-2</v>
      </c>
      <c r="O104" s="16">
        <f t="shared" si="27"/>
        <v>-2.9723274878530995E-2</v>
      </c>
      <c r="R104" s="5">
        <f>IF($T$1, J104, -0.2)</f>
        <v>-0.2</v>
      </c>
    </row>
    <row r="105" spans="2:18" x14ac:dyDescent="0.3">
      <c r="B105" s="16">
        <v>5.3112039298931046E-2</v>
      </c>
      <c r="C105" s="16">
        <f t="shared" si="19"/>
        <v>3.646893977462138E-2</v>
      </c>
      <c r="D105" s="16">
        <f t="shared" si="15"/>
        <v>6.444324339654286E-3</v>
      </c>
      <c r="E105" s="16">
        <f t="shared" si="16"/>
        <v>5.9604578430437434E-2</v>
      </c>
      <c r="F105" s="16">
        <f t="shared" si="17"/>
        <v>5.9534142668874891E-2</v>
      </c>
      <c r="G105" s="16" t="str">
        <f t="shared" si="20"/>
        <v xml:space="preserve"> </v>
      </c>
      <c r="H105" s="16" t="str">
        <f t="shared" si="21"/>
        <v xml:space="preserve"> </v>
      </c>
      <c r="I105" s="16" t="str">
        <f t="shared" si="22"/>
        <v xml:space="preserve"> </v>
      </c>
      <c r="J105" s="16">
        <f t="shared" si="18"/>
        <v>6.444324339654286E-3</v>
      </c>
      <c r="K105" s="16">
        <f t="shared" si="23"/>
        <v>5.9534142668874891E-2</v>
      </c>
      <c r="L105" s="16">
        <f t="shared" si="24"/>
        <v>5.0942174546013533E-2</v>
      </c>
      <c r="M105" s="16">
        <f t="shared" si="25"/>
        <v>4.284865451120129E-2</v>
      </c>
      <c r="N105" s="16">
        <f t="shared" si="26"/>
        <v>5.528190405184856E-2</v>
      </c>
      <c r="O105" s="16">
        <f t="shared" si="27"/>
        <v>-2.9960005831892719E-2</v>
      </c>
      <c r="R105" s="5">
        <f>IF($T$1, J105, -0.2)</f>
        <v>-0.2</v>
      </c>
    </row>
    <row r="106" spans="2:18" x14ac:dyDescent="0.3">
      <c r="B106" s="16">
        <v>5.4128975612075858E-2</v>
      </c>
      <c r="C106" s="16">
        <f t="shared" si="19"/>
        <v>3.6761679948068983E-2</v>
      </c>
      <c r="D106" s="16">
        <f t="shared" si="15"/>
        <v>6.5039758304429205E-3</v>
      </c>
      <c r="E106" s="16">
        <f t="shared" si="16"/>
        <v>5.7715923902543188E-2</v>
      </c>
      <c r="F106" s="16">
        <f t="shared" si="17"/>
        <v>5.765196531225044E-2</v>
      </c>
      <c r="G106" s="16" t="str">
        <f t="shared" si="20"/>
        <v xml:space="preserve"> </v>
      </c>
      <c r="H106" s="16" t="str">
        <f t="shared" si="21"/>
        <v xml:space="preserve"> </v>
      </c>
      <c r="I106" s="16" t="str">
        <f t="shared" si="22"/>
        <v xml:space="preserve"> </v>
      </c>
      <c r="J106" s="16">
        <f t="shared" si="18"/>
        <v>6.5039758304429205E-3</v>
      </c>
      <c r="K106" s="16">
        <f t="shared" si="23"/>
        <v>5.765196531225044E-2</v>
      </c>
      <c r="L106" s="16">
        <f t="shared" si="24"/>
        <v>5.2010766369404701E-2</v>
      </c>
      <c r="M106" s="16">
        <f t="shared" si="25"/>
        <v>4.3204579397802943E-2</v>
      </c>
      <c r="N106" s="16">
        <f t="shared" si="26"/>
        <v>5.6247184854747015E-2</v>
      </c>
      <c r="O106" s="16">
        <f t="shared" si="27"/>
        <v>-3.0196627736917104E-2</v>
      </c>
      <c r="R106" s="5">
        <f>IF($T$1, J106, -0.2)</f>
        <v>-0.2</v>
      </c>
    </row>
    <row r="107" spans="2:18" x14ac:dyDescent="0.3">
      <c r="B107" s="16">
        <v>5.5155284744121347E-2</v>
      </c>
      <c r="C107" s="16">
        <f t="shared" si="19"/>
        <v>3.7053023717413508E-2</v>
      </c>
      <c r="D107" s="16">
        <f t="shared" si="15"/>
        <v>6.5622436001692239E-3</v>
      </c>
      <c r="E107" s="16">
        <f t="shared" si="16"/>
        <v>5.5836765869166659E-2</v>
      </c>
      <c r="F107" s="16">
        <f t="shared" si="17"/>
        <v>5.5778845923251351E-2</v>
      </c>
      <c r="G107" s="16" t="str">
        <f t="shared" si="20"/>
        <v xml:space="preserve"> </v>
      </c>
      <c r="H107" s="16" t="str">
        <f t="shared" si="21"/>
        <v xml:space="preserve"> </v>
      </c>
      <c r="I107" s="16" t="str">
        <f t="shared" si="22"/>
        <v xml:space="preserve"> </v>
      </c>
      <c r="J107" s="16">
        <f t="shared" si="18"/>
        <v>6.5622436001692239E-3</v>
      </c>
      <c r="K107" s="16">
        <f t="shared" si="23"/>
        <v>5.5778845923251351E-2</v>
      </c>
      <c r="L107" s="16">
        <f t="shared" si="24"/>
        <v>5.3089581395604553E-2</v>
      </c>
      <c r="M107" s="16">
        <f t="shared" si="25"/>
        <v>4.3557641101468411E-2</v>
      </c>
      <c r="N107" s="16">
        <f t="shared" si="26"/>
        <v>5.7220988092638141E-2</v>
      </c>
      <c r="O107" s="16">
        <f t="shared" si="27"/>
        <v>-3.0433153901129967E-2</v>
      </c>
      <c r="R107" s="5">
        <f>IF($T$1, J107, -0.2)</f>
        <v>-0.2</v>
      </c>
    </row>
    <row r="108" spans="2:18" x14ac:dyDescent="0.3">
      <c r="B108" s="16">
        <v>5.6190956525171698E-2</v>
      </c>
      <c r="C108" s="16">
        <f t="shared" si="19"/>
        <v>3.7342961503073403E-2</v>
      </c>
      <c r="D108" s="16">
        <f t="shared" si="15"/>
        <v>6.6191020026027036E-3</v>
      </c>
      <c r="E108" s="16">
        <f t="shared" si="16"/>
        <v>5.396786302635493E-2</v>
      </c>
      <c r="F108" s="16">
        <f t="shared" si="17"/>
        <v>5.3915560052028973E-2</v>
      </c>
      <c r="G108" s="16" t="str">
        <f t="shared" si="20"/>
        <v xml:space="preserve"> </v>
      </c>
      <c r="H108" s="16" t="str">
        <f t="shared" si="21"/>
        <v xml:space="preserve"> </v>
      </c>
      <c r="I108" s="16" t="str">
        <f t="shared" si="22"/>
        <v xml:space="preserve"> </v>
      </c>
      <c r="J108" s="16">
        <f t="shared" si="18"/>
        <v>6.6191020026027036E-3</v>
      </c>
      <c r="K108" s="16">
        <f t="shared" si="23"/>
        <v>5.3915560052028973E-2</v>
      </c>
      <c r="L108" s="16">
        <f t="shared" si="24"/>
        <v>5.4178565138413785E-2</v>
      </c>
      <c r="M108" s="16">
        <f t="shared" si="25"/>
        <v>4.390780075606586E-2</v>
      </c>
      <c r="N108" s="16">
        <f t="shared" si="26"/>
        <v>5.8203347911929611E-2</v>
      </c>
      <c r="O108" s="16">
        <f t="shared" si="27"/>
        <v>-3.0669596750860451E-2</v>
      </c>
      <c r="R108" s="5">
        <f>IF($T$1, J108, -0.2)</f>
        <v>-0.2</v>
      </c>
    </row>
    <row r="109" spans="2:18" x14ac:dyDescent="0.3">
      <c r="B109" s="16">
        <v>5.7235980692555199E-2</v>
      </c>
      <c r="C109" s="16">
        <f t="shared" si="19"/>
        <v>3.7631483708202074E-2</v>
      </c>
      <c r="D109" s="16">
        <f t="shared" si="15"/>
        <v>6.6745265170590779E-3</v>
      </c>
      <c r="E109" s="16">
        <f t="shared" si="16"/>
        <v>5.2109979905496734E-2</v>
      </c>
      <c r="F109" s="16">
        <f t="shared" si="17"/>
        <v>5.2062889256689789E-2</v>
      </c>
      <c r="G109" s="16" t="str">
        <f t="shared" si="20"/>
        <v xml:space="preserve"> </v>
      </c>
      <c r="H109" s="16" t="str">
        <f t="shared" si="21"/>
        <v xml:space="preserve"> </v>
      </c>
      <c r="I109" s="16" t="str">
        <f t="shared" si="22"/>
        <v xml:space="preserve"> </v>
      </c>
      <c r="J109" s="16">
        <f t="shared" si="18"/>
        <v>6.6745265170590779E-3</v>
      </c>
      <c r="K109" s="16">
        <f t="shared" si="23"/>
        <v>5.2062889256689789E-2</v>
      </c>
      <c r="L109" s="16">
        <f t="shared" si="24"/>
        <v>5.5277661888557823E-2</v>
      </c>
      <c r="M109" s="16">
        <f t="shared" si="25"/>
        <v>4.4255020839813648E-2</v>
      </c>
      <c r="N109" s="16">
        <f t="shared" si="26"/>
        <v>5.9194299496552576E-2</v>
      </c>
      <c r="O109" s="16">
        <f t="shared" si="27"/>
        <v>-3.0905967805695496E-2</v>
      </c>
      <c r="R109" s="5">
        <f>IF($T$1, J109, -0.2)</f>
        <v>-0.2</v>
      </c>
    </row>
    <row r="110" spans="2:18" x14ac:dyDescent="0.3">
      <c r="B110" s="16">
        <v>5.8290346890925049E-2</v>
      </c>
      <c r="C110" s="16">
        <f t="shared" si="19"/>
        <v>3.7918580720234879E-2</v>
      </c>
      <c r="D110" s="16">
        <f t="shared" si="15"/>
        <v>6.7284937830841178E-3</v>
      </c>
      <c r="E110" s="16">
        <f t="shared" si="16"/>
        <v>5.0263886836179134E-2</v>
      </c>
      <c r="F110" s="16">
        <f t="shared" si="17"/>
        <v>5.022162101570829E-2</v>
      </c>
      <c r="G110" s="16" t="str">
        <f t="shared" si="20"/>
        <v xml:space="preserve"> </v>
      </c>
      <c r="H110" s="16" t="str">
        <f t="shared" si="21"/>
        <v xml:space="preserve"> </v>
      </c>
      <c r="I110" s="16" t="str">
        <f t="shared" si="22"/>
        <v xml:space="preserve"> </v>
      </c>
      <c r="J110" s="16">
        <f t="shared" si="18"/>
        <v>6.7284937830841178E-3</v>
      </c>
      <c r="K110" s="16">
        <f t="shared" si="23"/>
        <v>5.022162101570829E-2</v>
      </c>
      <c r="L110" s="16">
        <f t="shared" si="24"/>
        <v>5.6386814721095253E-2</v>
      </c>
      <c r="M110" s="16">
        <f t="shared" si="25"/>
        <v>4.4599265218524822E-2</v>
      </c>
      <c r="N110" s="16">
        <f t="shared" si="26"/>
        <v>6.0193879060754844E-2</v>
      </c>
      <c r="O110" s="16">
        <f t="shared" si="27"/>
        <v>-3.1142277652356585E-2</v>
      </c>
      <c r="R110" s="5">
        <f>IF($T$1, J110, -0.2)</f>
        <v>-0.2</v>
      </c>
    </row>
    <row r="111" spans="2:18" x14ac:dyDescent="0.3">
      <c r="B111" s="16">
        <v>5.9354044672362938E-2</v>
      </c>
      <c r="C111" s="16">
        <f t="shared" si="19"/>
        <v>3.8204242912439346E-2</v>
      </c>
      <c r="D111" s="16">
        <f t="shared" si="15"/>
        <v>6.7809816352797404E-3</v>
      </c>
      <c r="E111" s="16">
        <f t="shared" si="16"/>
        <v>4.843035990874852E-2</v>
      </c>
      <c r="F111" s="16">
        <f t="shared" si="17"/>
        <v>4.8392548640432326E-2</v>
      </c>
      <c r="G111" s="16" t="str">
        <f t="shared" si="20"/>
        <v xml:space="preserve"> </v>
      </c>
      <c r="H111" s="16" t="str">
        <f t="shared" si="21"/>
        <v xml:space="preserve"> </v>
      </c>
      <c r="I111" s="16" t="str">
        <f t="shared" si="22"/>
        <v xml:space="preserve"> </v>
      </c>
      <c r="J111" s="16">
        <f t="shared" si="18"/>
        <v>6.7809816352797404E-3</v>
      </c>
      <c r="K111" s="16">
        <f t="shared" si="23"/>
        <v>4.8392548640432326E-2</v>
      </c>
      <c r="L111" s="16">
        <f t="shared" si="24"/>
        <v>5.750596550331432E-2</v>
      </c>
      <c r="M111" s="16">
        <f t="shared" si="25"/>
        <v>4.4940499188540289E-2</v>
      </c>
      <c r="N111" s="16">
        <f t="shared" si="26"/>
        <v>6.1202123841411556E-2</v>
      </c>
      <c r="O111" s="16">
        <f t="shared" si="27"/>
        <v>-3.1378535917980815E-2</v>
      </c>
      <c r="R111" s="5">
        <f>IF($T$1, J111, -0.2)</f>
        <v>-0.2</v>
      </c>
    </row>
    <row r="112" spans="2:18" x14ac:dyDescent="0.3">
      <c r="B112" s="16">
        <v>6.0427063496481526E-2</v>
      </c>
      <c r="C112" s="16">
        <f t="shared" si="19"/>
        <v>3.8488460645467161E-2</v>
      </c>
      <c r="D112" s="16">
        <f t="shared" si="15"/>
        <v>6.8319691382673327E-3</v>
      </c>
      <c r="E112" s="16">
        <f t="shared" si="16"/>
        <v>4.6610180936585505E-2</v>
      </c>
      <c r="F112" s="16">
        <f t="shared" si="17"/>
        <v>4.6576471187848023E-2</v>
      </c>
      <c r="G112" s="16" t="str">
        <f t="shared" si="20"/>
        <v xml:space="preserve"> </v>
      </c>
      <c r="H112" s="16" t="str">
        <f t="shared" si="21"/>
        <v xml:space="preserve"> </v>
      </c>
      <c r="I112" s="16" t="str">
        <f t="shared" si="22"/>
        <v xml:space="preserve"> </v>
      </c>
      <c r="J112" s="16">
        <f t="shared" si="18"/>
        <v>6.8319691382673327E-3</v>
      </c>
      <c r="K112" s="16">
        <f t="shared" si="23"/>
        <v>4.6576471187848023E-2</v>
      </c>
      <c r="L112" s="16">
        <f t="shared" si="24"/>
        <v>5.86350549031023E-2</v>
      </c>
      <c r="M112" s="16">
        <f t="shared" si="25"/>
        <v>4.5278689519321028E-2</v>
      </c>
      <c r="N112" s="16">
        <f t="shared" si="26"/>
        <v>6.2219072089860751E-2</v>
      </c>
      <c r="O112" s="16">
        <f t="shared" si="27"/>
        <v>-3.1614751242786357E-2</v>
      </c>
      <c r="R112" s="5">
        <f>IF($T$1, J112, -0.2)</f>
        <v>-0.2</v>
      </c>
    </row>
    <row r="113" spans="2:18" x14ac:dyDescent="0.3">
      <c r="B113" s="16">
        <v>6.1509392730530021E-2</v>
      </c>
      <c r="C113" s="16">
        <f t="shared" si="19"/>
        <v>3.8771224268908874E-2</v>
      </c>
      <c r="D113" s="16">
        <f t="shared" si="15"/>
        <v>6.8814366217838643E-3</v>
      </c>
      <c r="E113" s="16">
        <f t="shared" si="16"/>
        <v>4.4804137418087815E-2</v>
      </c>
      <c r="F113" s="16">
        <f t="shared" si="17"/>
        <v>4.4774193373755773E-2</v>
      </c>
      <c r="G113" s="16" t="str">
        <f t="shared" si="20"/>
        <v xml:space="preserve"> </v>
      </c>
      <c r="H113" s="16" t="str">
        <f t="shared" si="21"/>
        <v xml:space="preserve"> </v>
      </c>
      <c r="I113" s="16" t="str">
        <f t="shared" si="22"/>
        <v xml:space="preserve"> </v>
      </c>
      <c r="J113" s="16">
        <f t="shared" si="18"/>
        <v>6.8814366217838643E-3</v>
      </c>
      <c r="K113" s="16">
        <f t="shared" si="23"/>
        <v>4.4774193373755773E-2</v>
      </c>
      <c r="L113" s="16">
        <f t="shared" si="24"/>
        <v>5.9774022397780388E-2</v>
      </c>
      <c r="M113" s="16">
        <f t="shared" si="25"/>
        <v>4.5613804495672504E-2</v>
      </c>
      <c r="N113" s="16">
        <f t="shared" si="26"/>
        <v>6.3244763063279655E-2</v>
      </c>
      <c r="O113" s="16">
        <f t="shared" si="27"/>
        <v>-3.1850931252104774E-2</v>
      </c>
      <c r="R113" s="5">
        <f>IF($T$1, J113, -0.2)</f>
        <v>-0.2</v>
      </c>
    </row>
    <row r="114" spans="2:18" x14ac:dyDescent="0.3">
      <c r="B114" s="16">
        <v>6.2601021649498656E-2</v>
      </c>
      <c r="C114" s="16">
        <f t="shared" si="19"/>
        <v>3.9052524122849722E-2</v>
      </c>
      <c r="D114" s="16">
        <f t="shared" si="15"/>
        <v>6.9293657159057408E-3</v>
      </c>
      <c r="E114" s="16">
        <f t="shared" si="16"/>
        <v>4.3013022498369004E-2</v>
      </c>
      <c r="F114" s="16">
        <f t="shared" si="17"/>
        <v>4.2986525486522466E-2</v>
      </c>
      <c r="G114" s="16" t="str">
        <f t="shared" si="20"/>
        <v xml:space="preserve"> </v>
      </c>
      <c r="H114" s="16" t="str">
        <f t="shared" si="21"/>
        <v xml:space="preserve"> </v>
      </c>
      <c r="I114" s="16" t="str">
        <f t="shared" si="22"/>
        <v xml:space="preserve"> </v>
      </c>
      <c r="J114" s="16">
        <f t="shared" si="18"/>
        <v>6.9293657159057408E-3</v>
      </c>
      <c r="K114" s="16">
        <f t="shared" si="23"/>
        <v>4.2986525486522466E-2</v>
      </c>
      <c r="L114" s="16">
        <f t="shared" si="24"/>
        <v>6.0922806283387379E-2</v>
      </c>
      <c r="M114" s="16">
        <f t="shared" si="25"/>
        <v>4.5945813959572257E-2</v>
      </c>
      <c r="N114" s="16">
        <f t="shared" si="26"/>
        <v>6.4279237015609933E-2</v>
      </c>
      <c r="O114" s="16">
        <f t="shared" si="27"/>
        <v>-3.2087082527760769E-2</v>
      </c>
      <c r="R114" s="5">
        <f>IF($T$1, J114, -0.2)</f>
        <v>-0.2</v>
      </c>
    </row>
    <row r="115" spans="2:18" x14ac:dyDescent="0.3">
      <c r="B115" s="16">
        <v>6.3701939436225374E-2</v>
      </c>
      <c r="C115" s="16">
        <f t="shared" si="19"/>
        <v>3.933235053942738E-2</v>
      </c>
      <c r="D115" s="16">
        <f t="shared" si="15"/>
        <v>6.9757393863958024E-3</v>
      </c>
      <c r="E115" s="16">
        <f t="shared" si="16"/>
        <v>4.1237634930670217E-2</v>
      </c>
      <c r="F115" s="16">
        <f t="shared" si="17"/>
        <v>4.1214283301563785E-2</v>
      </c>
      <c r="G115" s="16" t="str">
        <f t="shared" si="20"/>
        <v xml:space="preserve"> </v>
      </c>
      <c r="H115" s="16" t="str">
        <f t="shared" si="21"/>
        <v xml:space="preserve"> </v>
      </c>
      <c r="I115" s="16" t="str">
        <f t="shared" si="22"/>
        <v xml:space="preserve"> </v>
      </c>
      <c r="J115" s="16">
        <f t="shared" si="18"/>
        <v>6.9757393863958024E-3</v>
      </c>
      <c r="K115" s="16">
        <f t="shared" si="23"/>
        <v>4.1214283301563785E-2</v>
      </c>
      <c r="L115" s="16">
        <f t="shared" si="24"/>
        <v>6.2081343684402684E-2</v>
      </c>
      <c r="M115" s="16">
        <f t="shared" si="25"/>
        <v>4.6274689351573847E-2</v>
      </c>
      <c r="N115" s="16">
        <f t="shared" si="26"/>
        <v>6.5322535188048064E-2</v>
      </c>
      <c r="O115" s="16">
        <f t="shared" si="27"/>
        <v>-3.2323210578782249E-2</v>
      </c>
      <c r="R115" s="5">
        <f>IF($T$1, J115, -0.2)</f>
        <v>-0.2</v>
      </c>
    </row>
    <row r="116" spans="2:18" x14ac:dyDescent="0.3">
      <c r="B116" s="16">
        <v>6.4812135181502861E-2</v>
      </c>
      <c r="C116" s="16">
        <f t="shared" si="19"/>
        <v>3.9610693844390844E-2</v>
      </c>
      <c r="D116" s="16">
        <f t="shared" si="15"/>
        <v>7.0205419701685695E-3</v>
      </c>
      <c r="E116" s="16">
        <f t="shared" si="16"/>
        <v>3.9478779037489128E-2</v>
      </c>
      <c r="F116" s="16">
        <f t="shared" si="17"/>
        <v>3.9458287996715871E-2</v>
      </c>
      <c r="G116" s="16" t="str">
        <f t="shared" si="20"/>
        <v xml:space="preserve"> </v>
      </c>
      <c r="H116" s="16" t="str">
        <f t="shared" si="21"/>
        <v xml:space="preserve"> </v>
      </c>
      <c r="I116" s="16" t="str">
        <f t="shared" si="22"/>
        <v xml:space="preserve"> </v>
      </c>
      <c r="J116" s="16">
        <f t="shared" si="18"/>
        <v>7.0205419701685695E-3</v>
      </c>
      <c r="K116" s="16">
        <f t="shared" si="23"/>
        <v>3.9458287996715871E-2</v>
      </c>
      <c r="L116" s="16">
        <f t="shared" si="24"/>
        <v>6.3249570563893062E-2</v>
      </c>
      <c r="M116" s="16">
        <f t="shared" si="25"/>
        <v>4.6600403751759681E-2</v>
      </c>
      <c r="N116" s="16">
        <f t="shared" si="26"/>
        <v>6.637469979911266E-2</v>
      </c>
      <c r="O116" s="16">
        <f t="shared" si="27"/>
        <v>-3.2559319811422544E-2</v>
      </c>
      <c r="R116" s="5">
        <f>IF($T$1, J116, -0.2)</f>
        <v>-0.2</v>
      </c>
    </row>
    <row r="117" spans="2:18" x14ac:dyDescent="0.3">
      <c r="B117" s="16">
        <v>6.5931597884186899E-2</v>
      </c>
      <c r="C117" s="16">
        <f t="shared" si="19"/>
        <v>3.9887544358660099E-2</v>
      </c>
      <c r="D117" s="16">
        <f t="shared" si="15"/>
        <v>7.0637592108688946E-3</v>
      </c>
      <c r="E117" s="16">
        <f t="shared" si="16"/>
        <v>3.7737264671425866E-2</v>
      </c>
      <c r="F117" s="16">
        <f t="shared" si="17"/>
        <v>3.7719366068649902E-2</v>
      </c>
      <c r="G117" s="16" t="str">
        <f t="shared" si="20"/>
        <v xml:space="preserve"> </v>
      </c>
      <c r="H117" s="16" t="str">
        <f t="shared" si="21"/>
        <v xml:space="preserve"> </v>
      </c>
      <c r="I117" s="16" t="str">
        <f t="shared" si="22"/>
        <v xml:space="preserve"> </v>
      </c>
      <c r="J117" s="16">
        <f t="shared" si="18"/>
        <v>7.0637592108688946E-3</v>
      </c>
      <c r="K117" s="16">
        <f t="shared" si="23"/>
        <v>3.7719366068649902E-2</v>
      </c>
      <c r="L117" s="16">
        <f t="shared" si="24"/>
        <v>6.442742173407022E-2</v>
      </c>
      <c r="M117" s="16">
        <f t="shared" si="25"/>
        <v>4.6922931920215197E-2</v>
      </c>
      <c r="N117" s="16">
        <f t="shared" si="26"/>
        <v>6.7435774034303578E-2</v>
      </c>
      <c r="O117" s="16">
        <f t="shared" si="27"/>
        <v>-3.2795413498477408E-2</v>
      </c>
      <c r="R117" s="5">
        <f>IF($T$1, J117, -0.2)</f>
        <v>-0.2</v>
      </c>
    </row>
    <row r="118" spans="2:18" x14ac:dyDescent="0.3">
      <c r="B118" s="16">
        <v>6.7060316451305058E-2</v>
      </c>
      <c r="C118" s="16">
        <f t="shared" si="19"/>
        <v>4.0162892399886595E-2</v>
      </c>
      <c r="D118" s="16">
        <f t="shared" si="15"/>
        <v>7.1053782945591729E-3</v>
      </c>
      <c r="E118" s="16">
        <f t="shared" si="16"/>
        <v>3.6013907175749572E-2</v>
      </c>
      <c r="F118" s="16">
        <f t="shared" si="17"/>
        <v>3.599834925048425E-2</v>
      </c>
      <c r="G118" s="16" t="str">
        <f t="shared" si="20"/>
        <v xml:space="preserve"> </v>
      </c>
      <c r="H118" s="16" t="str">
        <f t="shared" si="21"/>
        <v xml:space="preserve"> </v>
      </c>
      <c r="I118" s="16" t="str">
        <f t="shared" si="22"/>
        <v xml:space="preserve"> </v>
      </c>
      <c r="J118" s="16">
        <f t="shared" si="18"/>
        <v>7.1053782945591729E-3</v>
      </c>
      <c r="K118" s="16">
        <f t="shared" si="23"/>
        <v>3.599834925048425E-2</v>
      </c>
      <c r="L118" s="16">
        <f t="shared" si="24"/>
        <v>6.5614830867243706E-2</v>
      </c>
      <c r="M118" s="16">
        <f t="shared" si="25"/>
        <v>4.7242250336998394E-2</v>
      </c>
      <c r="N118" s="16">
        <f t="shared" si="26"/>
        <v>6.8505802035366409E-2</v>
      </c>
      <c r="O118" s="16">
        <f t="shared" si="27"/>
        <v>-3.3031493747880052E-2</v>
      </c>
      <c r="R118" s="5">
        <f>IF($T$1, J118, -0.2)</f>
        <v>-0.2</v>
      </c>
    </row>
    <row r="119" spans="2:18" x14ac:dyDescent="0.3">
      <c r="B119" s="16">
        <v>6.8198279698166608E-2</v>
      </c>
      <c r="C119" s="16">
        <f t="shared" si="19"/>
        <v>4.0436728284013887E-2</v>
      </c>
      <c r="D119" s="16">
        <f t="shared" si="15"/>
        <v>7.1453878855102272E-3</v>
      </c>
      <c r="E119" s="16">
        <f t="shared" si="16"/>
        <v>3.4309527344685294E-2</v>
      </c>
      <c r="F119" s="16">
        <f t="shared" si="17"/>
        <v>3.4296074430742479E-2</v>
      </c>
      <c r="G119" s="16" t="str">
        <f t="shared" si="20"/>
        <v xml:space="preserve"> </v>
      </c>
      <c r="H119" s="16" t="str">
        <f t="shared" si="21"/>
        <v xml:space="preserve"> </v>
      </c>
      <c r="I119" s="16" t="str">
        <f t="shared" si="22"/>
        <v xml:space="preserve"> </v>
      </c>
      <c r="J119" s="16">
        <f t="shared" si="18"/>
        <v>7.1453878855102272E-3</v>
      </c>
      <c r="K119" s="16">
        <f t="shared" si="23"/>
        <v>3.4296074430742479E-2</v>
      </c>
      <c r="L119" s="16">
        <f t="shared" si="24"/>
        <v>6.6811730507155234E-2</v>
      </c>
      <c r="M119" s="16">
        <f t="shared" si="25"/>
        <v>4.7558337241577694E-2</v>
      </c>
      <c r="N119" s="16">
        <f t="shared" si="26"/>
        <v>6.9584828889177983E-2</v>
      </c>
      <c r="O119" s="16">
        <f t="shared" si="27"/>
        <v>-3.3267561470557247E-2</v>
      </c>
      <c r="R119" s="5">
        <f>IF($T$1, J119, -0.2)</f>
        <v>-0.2</v>
      </c>
    </row>
    <row r="120" spans="2:18" x14ac:dyDescent="0.3">
      <c r="B120" s="16">
        <v>6.9345476348473767E-2</v>
      </c>
      <c r="C120" s="16">
        <f t="shared" si="19"/>
        <v>4.0709042326838557E-2</v>
      </c>
      <c r="D120" s="16">
        <f t="shared" si="15"/>
        <v>7.1837781620909631E-3</v>
      </c>
      <c r="E120" s="16">
        <f t="shared" si="16"/>
        <v>3.2624951383423736E-2</v>
      </c>
      <c r="F120" s="16">
        <f t="shared" si="17"/>
        <v>3.2613383573804493E-2</v>
      </c>
      <c r="G120" s="16" t="str">
        <f t="shared" si="20"/>
        <v xml:space="preserve"> </v>
      </c>
      <c r="H120" s="16" t="str">
        <f t="shared" si="21"/>
        <v xml:space="preserve"> </v>
      </c>
      <c r="I120" s="16" t="str">
        <f t="shared" si="22"/>
        <v xml:space="preserve"> </v>
      </c>
      <c r="J120" s="16">
        <f t="shared" si="18"/>
        <v>7.1837781620909631E-3</v>
      </c>
      <c r="K120" s="16">
        <f t="shared" si="23"/>
        <v>3.2613383573804493E-2</v>
      </c>
      <c r="L120" s="16">
        <f t="shared" si="24"/>
        <v>6.8018052080679167E-2</v>
      </c>
      <c r="M120" s="16">
        <f t="shared" si="25"/>
        <v>4.7871172671712772E-2</v>
      </c>
      <c r="N120" s="16">
        <f t="shared" si="26"/>
        <v>7.0672900616268367E-2</v>
      </c>
      <c r="O120" s="16">
        <f t="shared" si="27"/>
        <v>-3.3503616347530851E-2</v>
      </c>
      <c r="R120" s="5">
        <f>IF($T$1, J120, -0.2)</f>
        <v>-0.2</v>
      </c>
    </row>
    <row r="121" spans="2:18" x14ac:dyDescent="0.3">
      <c r="B121" s="16">
        <v>7.050189503443316E-2</v>
      </c>
      <c r="C121" s="16">
        <f t="shared" si="19"/>
        <v>4.097982484557082E-2</v>
      </c>
      <c r="D121" s="16">
        <f t="shared" si="15"/>
        <v>7.2205408527518684E-3</v>
      </c>
      <c r="E121" s="16">
        <f t="shared" si="16"/>
        <v>3.0961010867855552E-2</v>
      </c>
      <c r="F121" s="16">
        <f t="shared" si="17"/>
        <v>3.0951123641993619E-2</v>
      </c>
      <c r="G121" s="16" t="str">
        <f t="shared" si="20"/>
        <v xml:space="preserve"> </v>
      </c>
      <c r="H121" s="16" t="str">
        <f t="shared" si="21"/>
        <v xml:space="preserve"> </v>
      </c>
      <c r="I121" s="16" t="str">
        <f t="shared" si="22"/>
        <v xml:space="preserve"> </v>
      </c>
      <c r="J121" s="16">
        <f t="shared" si="18"/>
        <v>7.2205408527518684E-3</v>
      </c>
      <c r="K121" s="16">
        <f t="shared" si="23"/>
        <v>3.0951123641993619E-2</v>
      </c>
      <c r="L121" s="16">
        <f t="shared" si="24"/>
        <v>6.9233725909872951E-2</v>
      </c>
      <c r="M121" s="16">
        <f t="shared" si="25"/>
        <v>4.8180738501752238E-2</v>
      </c>
      <c r="N121" s="16">
        <f t="shared" si="26"/>
        <v>7.1770064158993369E-2</v>
      </c>
      <c r="O121" s="16">
        <f t="shared" si="27"/>
        <v>-3.3739656796248504E-2</v>
      </c>
      <c r="R121" s="5">
        <f>IF($T$1, J121, -0.2)</f>
        <v>-0.2</v>
      </c>
    </row>
    <row r="122" spans="2:18" x14ac:dyDescent="0.3">
      <c r="B122" s="16">
        <v>7.1667524296868401E-2</v>
      </c>
      <c r="C122" s="16">
        <f t="shared" si="19"/>
        <v>4.1249066160394414E-2</v>
      </c>
      <c r="D122" s="16">
        <f t="shared" si="15"/>
        <v>7.2556692720973908E-3</v>
      </c>
      <c r="E122" s="16">
        <f t="shared" si="16"/>
        <v>2.9318542704032304E-2</v>
      </c>
      <c r="F122" s="16">
        <f t="shared" si="17"/>
        <v>2.9310146519438071E-2</v>
      </c>
      <c r="G122" s="16" t="str">
        <f t="shared" si="20"/>
        <v xml:space="preserve"> </v>
      </c>
      <c r="H122" s="16" t="str">
        <f t="shared" si="21"/>
        <v xml:space="preserve"> </v>
      </c>
      <c r="I122" s="16" t="str">
        <f t="shared" si="22"/>
        <v xml:space="preserve"> </v>
      </c>
      <c r="J122" s="16">
        <f t="shared" si="18"/>
        <v>7.2556692720973908E-3</v>
      </c>
      <c r="K122" s="16">
        <f t="shared" si="23"/>
        <v>2.9310146519438071E-2</v>
      </c>
      <c r="L122" s="16">
        <f t="shared" si="24"/>
        <v>7.0458681224362163E-2</v>
      </c>
      <c r="M122" s="16">
        <f t="shared" si="25"/>
        <v>4.8487018480323038E-2</v>
      </c>
      <c r="N122" s="16">
        <f t="shared" si="26"/>
        <v>7.2876367369374639E-2</v>
      </c>
      <c r="O122" s="16">
        <f t="shared" si="27"/>
        <v>-3.3975679936128253E-2</v>
      </c>
      <c r="R122" s="5">
        <f>IF($T$1, J122, -0.2)</f>
        <v>-0.2</v>
      </c>
    </row>
    <row r="123" spans="2:18" x14ac:dyDescent="0.3">
      <c r="B123" s="16">
        <v>7.2842352585333559E-2</v>
      </c>
      <c r="C123" s="16">
        <f t="shared" si="19"/>
        <v>4.151675659602605E-2</v>
      </c>
      <c r="D123" s="16">
        <f t="shared" si="15"/>
        <v>7.2891583570422564E-3</v>
      </c>
      <c r="E123" s="16">
        <f t="shared" si="16"/>
        <v>2.7698389087354638E-2</v>
      </c>
      <c r="F123" s="16">
        <f t="shared" si="17"/>
        <v>2.7691308937838582E-2</v>
      </c>
      <c r="G123" s="16" t="str">
        <f t="shared" si="20"/>
        <v xml:space="preserve"> </v>
      </c>
      <c r="H123" s="16" t="str">
        <f t="shared" si="21"/>
        <v xml:space="preserve"> </v>
      </c>
      <c r="I123" s="16" t="str">
        <f t="shared" si="22"/>
        <v xml:space="preserve"> </v>
      </c>
      <c r="J123" s="16">
        <f t="shared" si="18"/>
        <v>7.2891583570422564E-3</v>
      </c>
      <c r="K123" s="16">
        <f t="shared" si="23"/>
        <v>2.7691308937838582E-2</v>
      </c>
      <c r="L123" s="16">
        <f t="shared" si="24"/>
        <v>7.1692846174044811E-2</v>
      </c>
      <c r="M123" s="16">
        <f t="shared" si="25"/>
        <v>4.8789998267387183E-2</v>
      </c>
      <c r="N123" s="16">
        <f t="shared" si="26"/>
        <v>7.3991858996622306E-2</v>
      </c>
      <c r="O123" s="16">
        <f t="shared" si="27"/>
        <v>-3.4211681553302675E-2</v>
      </c>
      <c r="R123" s="5">
        <f>IF($T$1, J123, -0.2)</f>
        <v>-0.2</v>
      </c>
    </row>
    <row r="124" spans="2:18" x14ac:dyDescent="0.3">
      <c r="B124" s="16">
        <v>7.4026368258227948E-2</v>
      </c>
      <c r="C124" s="16">
        <f t="shared" si="19"/>
        <v>4.1782886483273531E-2</v>
      </c>
      <c r="D124" s="16">
        <f t="shared" si="15"/>
        <v>7.3210047030467353E-3</v>
      </c>
      <c r="E124" s="16">
        <f t="shared" si="16"/>
        <v>2.6101397461489751E-2</v>
      </c>
      <c r="F124" s="16">
        <f t="shared" si="17"/>
        <v>2.60954724042698E-2</v>
      </c>
      <c r="G124" s="16" t="str">
        <f t="shared" si="20"/>
        <v xml:space="preserve"> </v>
      </c>
      <c r="H124" s="16" t="str">
        <f t="shared" si="21"/>
        <v xml:space="preserve"> </v>
      </c>
      <c r="I124" s="16" t="str">
        <f t="shared" si="22"/>
        <v xml:space="preserve"> </v>
      </c>
      <c r="J124" s="16">
        <f t="shared" si="18"/>
        <v>7.3210047030467353E-3</v>
      </c>
      <c r="K124" s="16">
        <f t="shared" si="23"/>
        <v>2.60954724042698E-2</v>
      </c>
      <c r="L124" s="16">
        <f t="shared" si="24"/>
        <v>7.2936147842098828E-2</v>
      </c>
      <c r="M124" s="16">
        <f t="shared" si="25"/>
        <v>4.9089665470641107E-2</v>
      </c>
      <c r="N124" s="16">
        <f t="shared" si="26"/>
        <v>7.5116588674357068E-2</v>
      </c>
      <c r="O124" s="16">
        <f t="shared" si="27"/>
        <v>-3.4447656064547631E-2</v>
      </c>
      <c r="R124" s="5">
        <f>IF($T$1, J124, -0.2)</f>
        <v>-0.2</v>
      </c>
    </row>
    <row r="125" spans="2:18" x14ac:dyDescent="0.3">
      <c r="B125" s="16">
        <v>7.5219559582911377E-2</v>
      </c>
      <c r="C125" s="16">
        <f t="shared" si="19"/>
        <v>4.204744616059259E-2</v>
      </c>
      <c r="D125" s="16">
        <f t="shared" si="15"/>
        <v>7.351206600425853E-3</v>
      </c>
      <c r="E125" s="16">
        <f t="shared" si="16"/>
        <v>2.4528420477020519E-2</v>
      </c>
      <c r="F125" s="16">
        <f t="shared" si="17"/>
        <v>2.4523503131136878E-2</v>
      </c>
      <c r="G125" s="16" t="str">
        <f t="shared" si="20"/>
        <v xml:space="preserve"> </v>
      </c>
      <c r="H125" s="16" t="str">
        <f t="shared" si="21"/>
        <v xml:space="preserve"> </v>
      </c>
      <c r="I125" s="16" t="str">
        <f t="shared" si="22"/>
        <v xml:space="preserve"> </v>
      </c>
      <c r="J125" s="16">
        <f t="shared" si="18"/>
        <v>7.351206600425853E-3</v>
      </c>
      <c r="K125" s="16">
        <f t="shared" si="23"/>
        <v>2.4523503131136878E-2</v>
      </c>
      <c r="L125" s="16">
        <f t="shared" si="24"/>
        <v>7.4188512258276565E-2</v>
      </c>
      <c r="M125" s="16">
        <f t="shared" si="25"/>
        <v>4.9386009681233738E-2</v>
      </c>
      <c r="N125" s="16">
        <f t="shared" si="26"/>
        <v>7.625060690754619E-2</v>
      </c>
      <c r="O125" s="16">
        <f t="shared" si="27"/>
        <v>-3.468359648038203E-2</v>
      </c>
      <c r="R125" s="5">
        <f>IF($T$1, J125, -0.2)</f>
        <v>-0.2</v>
      </c>
    </row>
    <row r="126" spans="2:18" x14ac:dyDescent="0.3">
      <c r="B126" s="16">
        <v>7.6421914735820273E-2</v>
      </c>
      <c r="C126" s="16">
        <f t="shared" si="19"/>
        <v>4.2310425975642031E-2</v>
      </c>
      <c r="D126" s="16">
        <f t="shared" si="15"/>
        <v>7.3797640707275007E-3</v>
      </c>
      <c r="E126" s="16">
        <f t="shared" si="16"/>
        <v>2.2980315949827683E-2</v>
      </c>
      <c r="F126" s="16">
        <f t="shared" si="17"/>
        <v>2.2976271968400797E-2</v>
      </c>
      <c r="G126" s="16" t="str">
        <f t="shared" si="20"/>
        <v xml:space="preserve"> </v>
      </c>
      <c r="H126" s="16" t="str">
        <f t="shared" si="21"/>
        <v xml:space="preserve"> </v>
      </c>
      <c r="I126" s="16" t="str">
        <f t="shared" si="22"/>
        <v xml:space="preserve"> </v>
      </c>
      <c r="J126" s="16">
        <f t="shared" si="18"/>
        <v>7.3797640707275007E-3</v>
      </c>
      <c r="K126" s="16">
        <f t="shared" si="23"/>
        <v>2.2976271968400797E-2</v>
      </c>
      <c r="L126" s="16">
        <f t="shared" si="24"/>
        <v>7.544986441247041E-2</v>
      </c>
      <c r="M126" s="16">
        <f t="shared" si="25"/>
        <v>4.9679022508780049E-2</v>
      </c>
      <c r="N126" s="16">
        <f t="shared" si="26"/>
        <v>7.7393965059170136E-2</v>
      </c>
      <c r="O126" s="16">
        <f t="shared" si="27"/>
        <v>-3.4919494367325041E-2</v>
      </c>
      <c r="R126" s="5">
        <f>IF($T$1, J126, -0.2)</f>
        <v>-0.2</v>
      </c>
    </row>
    <row r="127" spans="2:18" x14ac:dyDescent="0.3">
      <c r="B127" s="16">
        <v>7.7633421802584812E-2</v>
      </c>
      <c r="C127" s="16">
        <f t="shared" si="19"/>
        <v>4.2571816286836921E-2</v>
      </c>
      <c r="D127" s="16">
        <f t="shared" si="15"/>
        <v>7.4066789031744336E-3</v>
      </c>
      <c r="E127" s="16">
        <f t="shared" si="16"/>
        <v>2.1457946819206337E-2</v>
      </c>
      <c r="F127" s="16">
        <f t="shared" si="17"/>
        <v>2.145465433817818E-2</v>
      </c>
      <c r="G127" s="16" t="str">
        <f t="shared" si="20"/>
        <v xml:space="preserve"> </v>
      </c>
      <c r="H127" s="16" t="str">
        <f t="shared" si="21"/>
        <v xml:space="preserve"> </v>
      </c>
      <c r="I127" s="16" t="str">
        <f t="shared" si="22"/>
        <v xml:space="preserve"> </v>
      </c>
      <c r="J127" s="16">
        <f t="shared" si="18"/>
        <v>7.4066789031744336E-3</v>
      </c>
      <c r="K127" s="16">
        <f t="shared" si="23"/>
        <v>2.145465433817818E-2</v>
      </c>
      <c r="L127" s="16">
        <f t="shared" si="24"/>
        <v>7.6720128268534513E-2</v>
      </c>
      <c r="M127" s="16">
        <f t="shared" si="25"/>
        <v>4.9968697615646887E-2</v>
      </c>
      <c r="N127" s="16">
        <f t="shared" si="26"/>
        <v>7.8546715336635112E-2</v>
      </c>
      <c r="O127" s="16">
        <f t="shared" si="27"/>
        <v>-3.5155339809298025E-2</v>
      </c>
      <c r="R127" s="5">
        <f>IF($T$1, J127, -0.2)</f>
        <v>-0.2</v>
      </c>
    </row>
    <row r="128" spans="2:18" x14ac:dyDescent="0.3">
      <c r="B128" s="16">
        <v>7.8854068778147268E-2</v>
      </c>
      <c r="C128" s="16">
        <f t="shared" si="19"/>
        <v>4.283160746489962E-2</v>
      </c>
      <c r="D128" s="16">
        <f t="shared" si="15"/>
        <v>7.4319546911651071E-3</v>
      </c>
      <c r="E128" s="16">
        <f t="shared" si="16"/>
        <v>1.9962181105718568E-2</v>
      </c>
      <c r="F128" s="16">
        <f t="shared" si="17"/>
        <v>1.9959530171813691E-2</v>
      </c>
      <c r="G128" s="16" t="str">
        <f t="shared" si="20"/>
        <v xml:space="preserve"> </v>
      </c>
      <c r="H128" s="16" t="str">
        <f t="shared" si="21"/>
        <v xml:space="preserve"> </v>
      </c>
      <c r="I128" s="16" t="str">
        <f t="shared" si="22"/>
        <v xml:space="preserve"> </v>
      </c>
      <c r="J128" s="16">
        <f t="shared" si="18"/>
        <v>7.4319546911651071E-3</v>
      </c>
      <c r="K128" s="16">
        <f t="shared" si="23"/>
        <v>1.9959530171813691E-2</v>
      </c>
      <c r="L128" s="16">
        <f t="shared" si="24"/>
        <v>7.7999226778347086E-2</v>
      </c>
      <c r="M128" s="16">
        <f t="shared" si="25"/>
        <v>5.0255030750488802E-2</v>
      </c>
      <c r="N128" s="16">
        <f t="shared" si="26"/>
        <v>7.970891077794745E-2</v>
      </c>
      <c r="O128" s="16">
        <f t="shared" si="27"/>
        <v>-3.5391121368158585E-2</v>
      </c>
      <c r="R128" s="5">
        <f>IF($T$1, J128, -0.2)</f>
        <v>-0.2</v>
      </c>
    </row>
    <row r="129" spans="2:18" x14ac:dyDescent="0.3">
      <c r="B129" s="16">
        <v>8.0083843566880586E-2</v>
      </c>
      <c r="C129" s="16">
        <f t="shared" si="19"/>
        <v>4.3089789894408134E-2</v>
      </c>
      <c r="D129" s="16">
        <f t="shared" ref="D129:D192" si="28">IF($Q$1=1, IF(B129&lt;$A$8, ($A$10/6)*((B129^3)-3*$A$8*(B129^2)+($A$8^2)*(3-$A$8)*B129), (($A$10*($A$8^3))/6)*(1-B129)), " ")</f>
        <v>7.4555968688282343E-3</v>
      </c>
      <c r="E129" s="16">
        <f t="shared" ref="E129:E192" si="29">IF($Q$1=1,IF(B129&lt;$A$8, ($A$10/6)*(3*(B129^2)-6*$A$8*B129+($A$8^2)*(3-$A$8)), -($A$10*($A$8^3))/6), " ")</f>
        <v>1.8493891868785202E-2</v>
      </c>
      <c r="F129" s="16">
        <f t="shared" ref="F129:F192" si="30">IF($Q$1=1, ATAN(E129), " ")</f>
        <v>1.8491783849515348E-2</v>
      </c>
      <c r="G129" s="16" t="str">
        <f t="shared" si="20"/>
        <v xml:space="preserve"> </v>
      </c>
      <c r="H129" s="16" t="str">
        <f t="shared" si="21"/>
        <v xml:space="preserve"> </v>
      </c>
      <c r="I129" s="16" t="str">
        <f t="shared" si="22"/>
        <v xml:space="preserve"> </v>
      </c>
      <c r="J129" s="16">
        <f t="shared" ref="J129:J192" si="31">IF($Q$1=1, D129, G129)</f>
        <v>7.4555968688282343E-3</v>
      </c>
      <c r="K129" s="16">
        <f t="shared" si="23"/>
        <v>1.8491783849515348E-2</v>
      </c>
      <c r="L129" s="16">
        <f t="shared" si="24"/>
        <v>7.92870818960974E-2</v>
      </c>
      <c r="M129" s="16">
        <f t="shared" si="25"/>
        <v>5.0538019781011433E-2</v>
      </c>
      <c r="N129" s="16">
        <f t="shared" si="26"/>
        <v>8.0880605237663772E-2</v>
      </c>
      <c r="O129" s="16">
        <f t="shared" si="27"/>
        <v>-3.5626826043354966E-2</v>
      </c>
      <c r="R129" s="5">
        <f>IF($T$1, J129, -0.2)</f>
        <v>-0.2</v>
      </c>
    </row>
    <row r="130" spans="2:18" x14ac:dyDescent="0.3">
      <c r="B130" s="16">
        <v>8.1322733982708617E-2</v>
      </c>
      <c r="C130" s="16">
        <f t="shared" ref="C130:C193" si="32">IF(AND($Q$1=2, $A$3=1), 0, 5*($A$4/100)*(0.2969*SQRT(B130)-0.126*B130-0.3516*(B130^2)+0.2843*(B130^3)-0.1015*(B130^4)))</f>
        <v>4.3346353975341922E-2</v>
      </c>
      <c r="D130" s="16">
        <f t="shared" si="28"/>
        <v>7.4776127476260373E-3</v>
      </c>
      <c r="E130" s="16">
        <f t="shared" si="29"/>
        <v>1.7053957164016066E-2</v>
      </c>
      <c r="F130" s="16">
        <f t="shared" si="30"/>
        <v>1.7052304142629985E-2</v>
      </c>
      <c r="G130" s="16" t="str">
        <f t="shared" ref="G130:G193" si="33">IF($Q$1=2, IF(A132&lt;&gt;1, IF(B130&lt;$A$11, ($A$12/6)*((B130-$A$11)^3-$A$13*((1-$A$11)^3)*B130-($A$11^3)*B130+$A$11^3), ($A$12/6)*($A$13*(B130-$A$11)^3-$A$13*((1-$A$11)^3)*B130-($A$11^3)*B130+$A$11^3)), 0), " ")</f>
        <v xml:space="preserve"> </v>
      </c>
      <c r="H130" s="16" t="str">
        <f t="shared" ref="H130:H193" si="34">IF($Q$1=2, IF(A132&lt;&gt;1, IF(B130&lt;$A$11, ($A$12/6)*(3*(B130-$A$11)^2-$A$13*((1-$A$11)^3)-($A$11^3)), ($A$12/6)*(3*$A$13*(B130-$A$11)^2-$A$13*((1-$A$11)^3)-($A$11^3))),0 ), " ")</f>
        <v xml:space="preserve"> </v>
      </c>
      <c r="I130" s="16" t="str">
        <f t="shared" ref="I130:I193" si="35">IF($Q$1=2, IF(A132&lt;&gt;1,  ATAN(H130), 0), " ")</f>
        <v xml:space="preserve"> </v>
      </c>
      <c r="J130" s="16">
        <f t="shared" si="31"/>
        <v>7.4776127476260373E-3</v>
      </c>
      <c r="K130" s="16">
        <f t="shared" ref="K130:K193" si="36">IF($Q$1=1, F130, I130)</f>
        <v>1.7052304142629985E-2</v>
      </c>
      <c r="L130" s="16">
        <f t="shared" ref="L130:L193" si="37">B130-C130*SIN(K130)</f>
        <v>8.0583614592784195E-2</v>
      </c>
      <c r="M130" s="16">
        <f t="shared" ref="M130:M193" si="38">J130+C130*COS(K130)</f>
        <v>5.081766472594141E-2</v>
      </c>
      <c r="N130" s="16">
        <f t="shared" ref="N130:N193" si="39">B130+C130*SIN(K130)</f>
        <v>8.206185337263304E-2</v>
      </c>
      <c r="O130" s="16">
        <f t="shared" ref="O130:O193" si="40">J130-C130*COS(K130)</f>
        <v>-3.5862439230689332E-2</v>
      </c>
      <c r="R130" s="5">
        <f>IF($T$1, J130, -0.2)</f>
        <v>-0.2</v>
      </c>
    </row>
    <row r="131" spans="2:18" x14ac:dyDescent="0.3">
      <c r="B131" s="16">
        <v>8.2570727749226691E-2</v>
      </c>
      <c r="C131" s="16">
        <f t="shared" si="32"/>
        <v>4.3601290124624319E-2</v>
      </c>
      <c r="D131" s="16">
        <f t="shared" si="28"/>
        <v>7.4980115530010188E-3</v>
      </c>
      <c r="E131" s="16">
        <f t="shared" si="29"/>
        <v>1.5643260000283054E-2</v>
      </c>
      <c r="F131" s="16">
        <f t="shared" si="30"/>
        <v>1.5641984158630828E-2</v>
      </c>
      <c r="G131" s="16" t="str">
        <f t="shared" si="33"/>
        <v xml:space="preserve"> </v>
      </c>
      <c r="H131" s="16" t="str">
        <f t="shared" si="34"/>
        <v xml:space="preserve"> </v>
      </c>
      <c r="I131" s="16" t="str">
        <f t="shared" si="35"/>
        <v xml:space="preserve"> </v>
      </c>
      <c r="J131" s="16">
        <f t="shared" si="31"/>
        <v>7.4980115530010188E-3</v>
      </c>
      <c r="K131" s="16">
        <f t="shared" si="36"/>
        <v>1.5641984158630828E-2</v>
      </c>
      <c r="L131" s="16">
        <f t="shared" si="37"/>
        <v>8.1888744870910093E-2</v>
      </c>
      <c r="M131" s="16">
        <f t="shared" si="38"/>
        <v>5.1093967786181006E-2</v>
      </c>
      <c r="N131" s="16">
        <f t="shared" si="39"/>
        <v>8.3252710627543289E-2</v>
      </c>
      <c r="O131" s="16">
        <f t="shared" si="40"/>
        <v>-3.6097944680178969E-2</v>
      </c>
      <c r="R131" s="5">
        <f>IF($T$1, J131, -0.2)</f>
        <v>-0.2</v>
      </c>
    </row>
    <row r="132" spans="2:18" x14ac:dyDescent="0.3">
      <c r="B132" s="16">
        <v>8.3827812499823295E-2</v>
      </c>
      <c r="C132" s="16">
        <f t="shared" si="32"/>
        <v>4.3854588777661768E-2</v>
      </c>
      <c r="D132" s="16">
        <f t="shared" si="28"/>
        <v>7.5168044610611842E-3</v>
      </c>
      <c r="E132" s="16">
        <f t="shared" si="29"/>
        <v>1.4262688296536336E-2</v>
      </c>
      <c r="F132" s="16">
        <f t="shared" si="30"/>
        <v>1.4261721288874249E-2</v>
      </c>
      <c r="G132" s="16" t="str">
        <f t="shared" si="33"/>
        <v xml:space="preserve"> </v>
      </c>
      <c r="H132" s="16" t="str">
        <f t="shared" si="34"/>
        <v xml:space="preserve"> </v>
      </c>
      <c r="I132" s="16" t="str">
        <f t="shared" si="35"/>
        <v xml:space="preserve"> </v>
      </c>
      <c r="J132" s="16">
        <f t="shared" si="31"/>
        <v>7.5168044610611842E-3</v>
      </c>
      <c r="K132" s="16">
        <f t="shared" si="36"/>
        <v>1.4261721288874249E-2</v>
      </c>
      <c r="L132" s="16">
        <f t="shared" si="37"/>
        <v>8.3202391779359036E-2</v>
      </c>
      <c r="M132" s="16">
        <f t="shared" si="38"/>
        <v>5.136693337512746E-2</v>
      </c>
      <c r="N132" s="16">
        <f t="shared" si="39"/>
        <v>8.4453233220287555E-2</v>
      </c>
      <c r="O132" s="16">
        <f t="shared" si="40"/>
        <v>-3.6333324453005092E-2</v>
      </c>
      <c r="R132" s="5">
        <f>IF($T$1, J132, -0.2)</f>
        <v>-0.2</v>
      </c>
    </row>
    <row r="133" spans="2:18" x14ac:dyDescent="0.3">
      <c r="B133" s="16">
        <v>8.5093975777802311E-2</v>
      </c>
      <c r="C133" s="16">
        <f t="shared" si="32"/>
        <v>4.4106240389879349E-2</v>
      </c>
      <c r="D133" s="16">
        <f t="shared" si="28"/>
        <v>7.5340046352985754E-3</v>
      </c>
      <c r="E133" s="16">
        <f t="shared" si="29"/>
        <v>1.2913134838365722E-2</v>
      </c>
      <c r="F133" s="16">
        <f t="shared" si="30"/>
        <v>1.2912417159172981E-2</v>
      </c>
      <c r="G133" s="16" t="str">
        <f t="shared" si="33"/>
        <v xml:space="preserve"> </v>
      </c>
      <c r="H133" s="16" t="str">
        <f t="shared" si="34"/>
        <v xml:space="preserve"> </v>
      </c>
      <c r="I133" s="16" t="str">
        <f t="shared" si="35"/>
        <v xml:space="preserve"> </v>
      </c>
      <c r="J133" s="16">
        <f t="shared" si="31"/>
        <v>7.5340046352985754E-3</v>
      </c>
      <c r="K133" s="16">
        <f t="shared" si="36"/>
        <v>1.2912417159172981E-2</v>
      </c>
      <c r="L133" s="16">
        <f t="shared" si="37"/>
        <v>8.452447342844345E-2</v>
      </c>
      <c r="M133" s="16">
        <f t="shared" si="38"/>
        <v>5.1636568148136455E-2</v>
      </c>
      <c r="N133" s="16">
        <f t="shared" si="39"/>
        <v>8.5663478127161172E-2</v>
      </c>
      <c r="O133" s="16">
        <f t="shared" si="40"/>
        <v>-3.6568558877539306E-2</v>
      </c>
      <c r="R133" s="5">
        <f>IF($T$1, J133, -0.2)</f>
        <v>-0.2</v>
      </c>
    </row>
    <row r="134" spans="2:18" x14ac:dyDescent="0.3">
      <c r="B134" s="16">
        <v>8.6369205036507135E-2</v>
      </c>
      <c r="C134" s="16">
        <f t="shared" si="32"/>
        <v>4.435623543825238E-2</v>
      </c>
      <c r="D134" s="16">
        <f t="shared" si="28"/>
        <v>7.5496272633359413E-3</v>
      </c>
      <c r="E134" s="16">
        <f t="shared" si="29"/>
        <v>1.1595497234308595E-2</v>
      </c>
      <c r="F134" s="16">
        <f t="shared" si="30"/>
        <v>1.1594977583220263E-2</v>
      </c>
      <c r="G134" s="16" t="str">
        <f t="shared" si="33"/>
        <v xml:space="preserve"> </v>
      </c>
      <c r="H134" s="16" t="str">
        <f t="shared" si="34"/>
        <v xml:space="preserve"> </v>
      </c>
      <c r="I134" s="16" t="str">
        <f t="shared" si="35"/>
        <v xml:space="preserve"> </v>
      </c>
      <c r="J134" s="16">
        <f t="shared" si="31"/>
        <v>7.5496272633359413E-3</v>
      </c>
      <c r="K134" s="16">
        <f t="shared" si="36"/>
        <v>1.1594977583220263E-2</v>
      </c>
      <c r="L134" s="16">
        <f t="shared" si="37"/>
        <v>8.5854907005110323E-2</v>
      </c>
      <c r="M134" s="16">
        <f t="shared" si="38"/>
        <v>5.1902881031110154E-2</v>
      </c>
      <c r="N134" s="16">
        <f t="shared" si="39"/>
        <v>8.6883503067903947E-2</v>
      </c>
      <c r="O134" s="16">
        <f t="shared" si="40"/>
        <v>-3.6803626504438275E-2</v>
      </c>
      <c r="R134" s="5">
        <f>IF($T$1, J134, -0.2)</f>
        <v>-0.2</v>
      </c>
    </row>
    <row r="135" spans="2:18" x14ac:dyDescent="0.3">
      <c r="B135" s="16">
        <v>8.7653487639444361E-2</v>
      </c>
      <c r="C135" s="16">
        <f t="shared" si="32"/>
        <v>4.4604564422833705E-2</v>
      </c>
      <c r="D135" s="16">
        <f t="shared" si="28"/>
        <v>7.5636895936963926E-3</v>
      </c>
      <c r="E135" s="16">
        <f t="shared" si="29"/>
        <v>1.0310677871907687E-2</v>
      </c>
      <c r="F135" s="16">
        <f t="shared" si="30"/>
        <v>1.0310312518888285E-2</v>
      </c>
      <c r="G135" s="16" t="str">
        <f t="shared" si="33"/>
        <v xml:space="preserve"> </v>
      </c>
      <c r="H135" s="16" t="str">
        <f t="shared" si="34"/>
        <v xml:space="preserve"> </v>
      </c>
      <c r="I135" s="16" t="str">
        <f t="shared" si="35"/>
        <v xml:space="preserve"> </v>
      </c>
      <c r="J135" s="16">
        <f t="shared" si="31"/>
        <v>7.5636895936963926E-3</v>
      </c>
      <c r="K135" s="16">
        <f t="shared" si="36"/>
        <v>1.0310312518888285E-2</v>
      </c>
      <c r="L135" s="16">
        <f t="shared" si="37"/>
        <v>8.7193608788292423E-2</v>
      </c>
      <c r="M135" s="16">
        <f t="shared" si="38"/>
        <v>5.2165883248190395E-2</v>
      </c>
      <c r="N135" s="16">
        <f t="shared" si="39"/>
        <v>8.8113366490596298E-2</v>
      </c>
      <c r="O135" s="16">
        <f t="shared" si="40"/>
        <v>-3.7038504060797617E-2</v>
      </c>
      <c r="R135" s="5">
        <f>IF($T$1, J135, -0.2)</f>
        <v>-0.2</v>
      </c>
    </row>
    <row r="136" spans="2:18" x14ac:dyDescent="0.3">
      <c r="B136" s="16">
        <v>8.8946810860409342E-2</v>
      </c>
      <c r="C136" s="16">
        <f t="shared" si="32"/>
        <v>4.485121786827663E-2</v>
      </c>
      <c r="D136" s="16">
        <f t="shared" si="28"/>
        <v>7.5762109725909053E-3</v>
      </c>
      <c r="E136" s="16">
        <f t="shared" si="29"/>
        <v>9.0595838735189442E-3</v>
      </c>
      <c r="F136" s="16">
        <f t="shared" si="30"/>
        <v>9.0593360274077595E-3</v>
      </c>
      <c r="G136" s="16" t="str">
        <f t="shared" si="33"/>
        <v xml:space="preserve"> </v>
      </c>
      <c r="H136" s="16" t="str">
        <f t="shared" si="34"/>
        <v xml:space="preserve"> </v>
      </c>
      <c r="I136" s="16" t="str">
        <f t="shared" si="35"/>
        <v xml:space="preserve"> </v>
      </c>
      <c r="J136" s="16">
        <f t="shared" si="31"/>
        <v>7.5762109725909053E-3</v>
      </c>
      <c r="K136" s="16">
        <f t="shared" si="36"/>
        <v>9.0593360274077595E-3</v>
      </c>
      <c r="L136" s="16">
        <f t="shared" si="37"/>
        <v>8.8540494164396841E-2</v>
      </c>
      <c r="M136" s="16">
        <f t="shared" si="38"/>
        <v>5.2425588348538478E-2</v>
      </c>
      <c r="N136" s="16">
        <f t="shared" si="39"/>
        <v>8.9353127556421844E-2</v>
      </c>
      <c r="O136" s="16">
        <f t="shared" si="40"/>
        <v>-3.7273166403356671E-2</v>
      </c>
      <c r="R136" s="5">
        <f>IF($T$1, J136, -0.2)</f>
        <v>-0.2</v>
      </c>
    </row>
    <row r="137" spans="2:18" x14ac:dyDescent="0.3">
      <c r="B137" s="16">
        <v>9.0249161883612206E-2</v>
      </c>
      <c r="C137" s="16">
        <f t="shared" si="32"/>
        <v>4.5096186325352901E-2</v>
      </c>
      <c r="D137" s="16">
        <f t="shared" si="28"/>
        <v>7.5872128807184013E-3</v>
      </c>
      <c r="E137" s="16">
        <f t="shared" si="29"/>
        <v>7.8431270518716251E-3</v>
      </c>
      <c r="F137" s="16">
        <f t="shared" si="30"/>
        <v>7.8429662354229969E-3</v>
      </c>
      <c r="G137" s="16" t="str">
        <f t="shared" si="33"/>
        <v xml:space="preserve"> </v>
      </c>
      <c r="H137" s="16" t="str">
        <f t="shared" si="34"/>
        <v xml:space="preserve"> </v>
      </c>
      <c r="I137" s="16" t="str">
        <f t="shared" si="35"/>
        <v xml:space="preserve"> </v>
      </c>
      <c r="J137" s="16">
        <f t="shared" si="31"/>
        <v>7.5872128807184013E-3</v>
      </c>
      <c r="K137" s="16">
        <f t="shared" si="36"/>
        <v>7.8429662354229969E-3</v>
      </c>
      <c r="L137" s="16">
        <f t="shared" si="37"/>
        <v>8.989547764292001E-2</v>
      </c>
      <c r="M137" s="16">
        <f t="shared" si="38"/>
        <v>5.268201223218278E-2</v>
      </c>
      <c r="N137" s="16">
        <f t="shared" si="39"/>
        <v>9.0602846124304401E-2</v>
      </c>
      <c r="O137" s="16">
        <f t="shared" si="40"/>
        <v>-3.7507586470745972E-2</v>
      </c>
      <c r="R137" s="5">
        <f>IF($T$1, J137, -0.2)</f>
        <v>-0.2</v>
      </c>
    </row>
    <row r="138" spans="2:18" x14ac:dyDescent="0.3">
      <c r="B138" s="16">
        <v>9.1560527803804637E-2</v>
      </c>
      <c r="C138" s="16">
        <f t="shared" si="32"/>
        <v>4.5339460372465674E-2</v>
      </c>
      <c r="D138" s="16">
        <f t="shared" si="28"/>
        <v>7.5967189700733182E-3</v>
      </c>
      <c r="E138" s="16">
        <f t="shared" si="29"/>
        <v>6.662223865383789E-3</v>
      </c>
      <c r="F138" s="16">
        <f t="shared" si="30"/>
        <v>6.6621252999028617E-3</v>
      </c>
      <c r="G138" s="16" t="str">
        <f t="shared" si="33"/>
        <v xml:space="preserve"> </v>
      </c>
      <c r="H138" s="16" t="str">
        <f t="shared" si="34"/>
        <v xml:space="preserve"> </v>
      </c>
      <c r="I138" s="16" t="str">
        <f t="shared" si="35"/>
        <v xml:space="preserve"> </v>
      </c>
      <c r="J138" s="16">
        <f t="shared" si="31"/>
        <v>7.5967189700733182E-3</v>
      </c>
      <c r="K138" s="16">
        <f t="shared" si="36"/>
        <v>6.6621252999028617E-3</v>
      </c>
      <c r="L138" s="16">
        <f t="shared" si="37"/>
        <v>9.1258472872181515E-2</v>
      </c>
      <c r="M138" s="16">
        <f t="shared" si="38"/>
        <v>5.2935173174916549E-2</v>
      </c>
      <c r="N138" s="16">
        <f t="shared" si="39"/>
        <v>9.1862582735427759E-2</v>
      </c>
      <c r="O138" s="16">
        <f t="shared" si="40"/>
        <v>-3.7741735234769917E-2</v>
      </c>
      <c r="R138" s="5">
        <f>IF($T$1, J138, -0.2)</f>
        <v>-0.2</v>
      </c>
    </row>
    <row r="139" spans="2:18" x14ac:dyDescent="0.3">
      <c r="B139" s="16">
        <v>9.2880895626408333E-2</v>
      </c>
      <c r="C139" s="16">
        <f t="shared" si="32"/>
        <v>4.5581030617157244E-2</v>
      </c>
      <c r="D139" s="16">
        <f t="shared" si="28"/>
        <v>7.6047551007553454E-3</v>
      </c>
      <c r="E139" s="16">
        <f t="shared" si="29"/>
        <v>5.5177953732327596E-3</v>
      </c>
      <c r="F139" s="16">
        <f t="shared" si="30"/>
        <v>5.5177393758687292E-3</v>
      </c>
      <c r="G139" s="16" t="str">
        <f t="shared" si="33"/>
        <v xml:space="preserve"> </v>
      </c>
      <c r="H139" s="16" t="str">
        <f t="shared" si="34"/>
        <v xml:space="preserve"> </v>
      </c>
      <c r="I139" s="16" t="str">
        <f t="shared" si="35"/>
        <v xml:space="preserve"> </v>
      </c>
      <c r="J139" s="16">
        <f t="shared" si="31"/>
        <v>7.6047551007553454E-3</v>
      </c>
      <c r="K139" s="16">
        <f t="shared" si="36"/>
        <v>5.5177393758687292E-3</v>
      </c>
      <c r="L139" s="16">
        <f t="shared" si="37"/>
        <v>9.2629392655170659E-2</v>
      </c>
      <c r="M139" s="16">
        <f t="shared" si="38"/>
        <v>5.3185091852228396E-2</v>
      </c>
      <c r="N139" s="16">
        <f t="shared" si="39"/>
        <v>9.3132398597646007E-2</v>
      </c>
      <c r="O139" s="16">
        <f t="shared" si="40"/>
        <v>-3.7975581650717703E-2</v>
      </c>
      <c r="R139" s="5">
        <f>IF($T$1, J139, -0.2)</f>
        <v>-0.2</v>
      </c>
    </row>
    <row r="140" spans="2:18" x14ac:dyDescent="0.3">
      <c r="B140" s="16">
        <v>9.4210252267643013E-2</v>
      </c>
      <c r="C140" s="16">
        <f t="shared" si="32"/>
        <v>4.5820887697610869E-2</v>
      </c>
      <c r="D140" s="16">
        <f t="shared" si="28"/>
        <v>7.6113493777761974E-3</v>
      </c>
      <c r="E140" s="16">
        <f t="shared" si="29"/>
        <v>4.4107671901844883E-3</v>
      </c>
      <c r="F140" s="16">
        <f t="shared" si="30"/>
        <v>4.4107385868883842E-3</v>
      </c>
      <c r="G140" s="16" t="str">
        <f t="shared" si="33"/>
        <v xml:space="preserve"> </v>
      </c>
      <c r="H140" s="16" t="str">
        <f t="shared" si="34"/>
        <v xml:space="preserve"> </v>
      </c>
      <c r="I140" s="16" t="str">
        <f t="shared" si="35"/>
        <v xml:space="preserve"> </v>
      </c>
      <c r="J140" s="16">
        <f t="shared" si="31"/>
        <v>7.6113493777761974E-3</v>
      </c>
      <c r="K140" s="16">
        <f t="shared" si="36"/>
        <v>4.4107385868883842E-3</v>
      </c>
      <c r="L140" s="16">
        <f t="shared" si="37"/>
        <v>9.4008148965498153E-2</v>
      </c>
      <c r="M140" s="16">
        <f t="shared" si="38"/>
        <v>5.3431791362247814E-2</v>
      </c>
      <c r="N140" s="16">
        <f t="shared" si="39"/>
        <v>9.4412355569787873E-2</v>
      </c>
      <c r="O140" s="16">
        <f t="shared" si="40"/>
        <v>-3.8209092606695423E-2</v>
      </c>
      <c r="R140" s="5">
        <f>IF($T$1, J140, -0.2)</f>
        <v>-0.2</v>
      </c>
    </row>
    <row r="141" spans="2:18" x14ac:dyDescent="0.3">
      <c r="B141" s="16">
        <v>9.5548584554656757E-2</v>
      </c>
      <c r="C141" s="16">
        <f t="shared" si="32"/>
        <v>4.6059022284147058E-2</v>
      </c>
      <c r="D141" s="16">
        <f t="shared" si="28"/>
        <v>7.6165321878581306E-3</v>
      </c>
      <c r="E141" s="16">
        <f t="shared" si="29"/>
        <v>3.3420694411827592E-3</v>
      </c>
      <c r="F141" s="16">
        <f t="shared" si="30"/>
        <v>3.3420569982646493E-3</v>
      </c>
      <c r="G141" s="16" t="str">
        <f t="shared" si="33"/>
        <v xml:space="preserve"> </v>
      </c>
      <c r="H141" s="16" t="str">
        <f t="shared" si="34"/>
        <v xml:space="preserve"> </v>
      </c>
      <c r="I141" s="16" t="str">
        <f t="shared" si="35"/>
        <v xml:space="preserve"> </v>
      </c>
      <c r="J141" s="16">
        <f t="shared" si="31"/>
        <v>7.6165321878581306E-3</v>
      </c>
      <c r="K141" s="16">
        <f t="shared" si="36"/>
        <v>3.3420569982646493E-3</v>
      </c>
      <c r="L141" s="16">
        <f t="shared" si="37"/>
        <v>9.5394652963451676E-2</v>
      </c>
      <c r="M141" s="16">
        <f t="shared" si="38"/>
        <v>5.3675297247689949E-2</v>
      </c>
      <c r="N141" s="16">
        <f t="shared" si="39"/>
        <v>9.5702516145861838E-2</v>
      </c>
      <c r="O141" s="16">
        <f t="shared" si="40"/>
        <v>-3.8442232871973694E-2</v>
      </c>
      <c r="R141" s="5">
        <f>IF($T$1, J141, -0.2)</f>
        <v>-0.2</v>
      </c>
    </row>
    <row r="142" spans="2:18" x14ac:dyDescent="0.3">
      <c r="B142" s="16">
        <v>9.6895879225656123E-2</v>
      </c>
      <c r="C142" s="16">
        <f t="shared" si="32"/>
        <v>4.6295425080713277E-2</v>
      </c>
      <c r="D142" s="16">
        <f t="shared" si="28"/>
        <v>7.6203362362190072E-3</v>
      </c>
      <c r="E142" s="16">
        <f t="shared" si="29"/>
        <v>2.3126367156999614E-3</v>
      </c>
      <c r="F142" s="16">
        <f t="shared" si="30"/>
        <v>2.3126325928303471E-3</v>
      </c>
      <c r="G142" s="16" t="str">
        <f t="shared" si="33"/>
        <v xml:space="preserve"> </v>
      </c>
      <c r="H142" s="16" t="str">
        <f t="shared" si="34"/>
        <v xml:space="preserve"> </v>
      </c>
      <c r="I142" s="16" t="str">
        <f t="shared" si="35"/>
        <v xml:space="preserve"> </v>
      </c>
      <c r="J142" s="16">
        <f t="shared" si="31"/>
        <v>7.6203362362190072E-3</v>
      </c>
      <c r="K142" s="16">
        <f t="shared" si="36"/>
        <v>2.3126325928303471E-3</v>
      </c>
      <c r="L142" s="16">
        <f t="shared" si="37"/>
        <v>9.6788815012150295E-2</v>
      </c>
      <c r="M142" s="16">
        <f t="shared" si="38"/>
        <v>5.3915637516782265E-2</v>
      </c>
      <c r="N142" s="16">
        <f t="shared" si="39"/>
        <v>9.7002943439161951E-2</v>
      </c>
      <c r="O142" s="16">
        <f t="shared" si="40"/>
        <v>-3.8674965044344249E-2</v>
      </c>
      <c r="R142" s="5">
        <f>IF($T$1, J142, -0.2)</f>
        <v>-0.2</v>
      </c>
    </row>
    <row r="143" spans="2:18" x14ac:dyDescent="0.3">
      <c r="B143" s="16">
        <v>9.8252122930037711E-2</v>
      </c>
      <c r="C143" s="16">
        <f t="shared" si="32"/>
        <v>4.6530086826367452E-2</v>
      </c>
      <c r="D143" s="16">
        <f t="shared" si="28"/>
        <v>7.6227965833386259E-3</v>
      </c>
      <c r="E143" s="16">
        <f t="shared" si="29"/>
        <v>1.3234080218518906E-3</v>
      </c>
      <c r="F143" s="16">
        <f t="shared" si="30"/>
        <v>1.3234072492432206E-3</v>
      </c>
      <c r="G143" s="16" t="str">
        <f t="shared" si="33"/>
        <v xml:space="preserve"> </v>
      </c>
      <c r="H143" s="16" t="str">
        <f t="shared" si="34"/>
        <v xml:space="preserve"> </v>
      </c>
      <c r="I143" s="16" t="str">
        <f t="shared" si="35"/>
        <v xml:space="preserve"> </v>
      </c>
      <c r="J143" s="16">
        <f t="shared" si="31"/>
        <v>7.6227965833386259E-3</v>
      </c>
      <c r="K143" s="16">
        <f t="shared" si="36"/>
        <v>1.3234072492432206E-3</v>
      </c>
      <c r="L143" s="16">
        <f t="shared" si="37"/>
        <v>9.8190544693798537E-2</v>
      </c>
      <c r="M143" s="16">
        <f t="shared" si="38"/>
        <v>5.4152842663158014E-2</v>
      </c>
      <c r="N143" s="16">
        <f t="shared" si="39"/>
        <v>9.8313701166276884E-2</v>
      </c>
      <c r="O143" s="16">
        <f t="shared" si="40"/>
        <v>-3.8907249496480757E-2</v>
      </c>
      <c r="R143" s="5">
        <f>IF($T$1, J143, -0.2)</f>
        <v>-0.2</v>
      </c>
    </row>
    <row r="144" spans="2:18" x14ac:dyDescent="0.3">
      <c r="B144" s="16">
        <v>9.9617302228520166E-2</v>
      </c>
      <c r="C144" s="16">
        <f t="shared" si="32"/>
        <v>4.6762998296754621E-2</v>
      </c>
      <c r="D144" s="16">
        <f t="shared" si="28"/>
        <v>7.6239506817010732E-3</v>
      </c>
      <c r="E144" s="16">
        <f t="shared" si="29"/>
        <v>3.7532674027827113E-4</v>
      </c>
      <c r="F144" s="16">
        <f t="shared" si="30"/>
        <v>3.753267226541597E-4</v>
      </c>
      <c r="G144" s="16" t="str">
        <f t="shared" si="33"/>
        <v xml:space="preserve"> </v>
      </c>
      <c r="H144" s="16" t="str">
        <f t="shared" si="34"/>
        <v xml:space="preserve"> </v>
      </c>
      <c r="I144" s="16" t="str">
        <f t="shared" si="35"/>
        <v xml:space="preserve"> </v>
      </c>
      <c r="J144" s="16">
        <f t="shared" si="31"/>
        <v>7.6239506817010732E-3</v>
      </c>
      <c r="K144" s="16">
        <f t="shared" si="36"/>
        <v>3.753267226541597E-4</v>
      </c>
      <c r="L144" s="16">
        <f t="shared" si="37"/>
        <v>9.9599750826040043E-2</v>
      </c>
      <c r="M144" s="16">
        <f t="shared" si="38"/>
        <v>5.4386945684700469E-2</v>
      </c>
      <c r="N144" s="16">
        <f t="shared" si="39"/>
        <v>9.9634853631000289E-2</v>
      </c>
      <c r="O144" s="16">
        <f t="shared" si="40"/>
        <v>-3.9139044321298319E-2</v>
      </c>
      <c r="R144" s="5">
        <f>IF($T$1, J144, -0.2)</f>
        <v>-0.2</v>
      </c>
    </row>
    <row r="145" spans="2:18" x14ac:dyDescent="0.3">
      <c r="B145" s="16">
        <v>0.10099140359327796</v>
      </c>
      <c r="C145" s="16">
        <f t="shared" si="32"/>
        <v>4.6994150305576667E-2</v>
      </c>
      <c r="D145" s="16">
        <f t="shared" si="28"/>
        <v>7.6238384125078221E-3</v>
      </c>
      <c r="E145" s="16">
        <f t="shared" si="29"/>
        <v>-5.3065942220978585E-4</v>
      </c>
      <c r="F145" s="16">
        <f t="shared" si="30"/>
        <v>-5.3065937239866535E-4</v>
      </c>
      <c r="G145" s="16" t="str">
        <f t="shared" si="33"/>
        <v xml:space="preserve"> </v>
      </c>
      <c r="H145" s="16" t="str">
        <f t="shared" si="34"/>
        <v xml:space="preserve"> </v>
      </c>
      <c r="I145" s="16" t="str">
        <f t="shared" si="35"/>
        <v xml:space="preserve"> </v>
      </c>
      <c r="J145" s="16">
        <f t="shared" si="31"/>
        <v>7.6238384125078221E-3</v>
      </c>
      <c r="K145" s="16">
        <f t="shared" si="36"/>
        <v>-5.3065937239866535E-4</v>
      </c>
      <c r="L145" s="16">
        <f t="shared" si="37"/>
        <v>0.10101634147841511</v>
      </c>
      <c r="M145" s="16">
        <f t="shared" si="38"/>
        <v>5.4617982101323091E-2</v>
      </c>
      <c r="N145" s="16">
        <f t="shared" si="39"/>
        <v>0.10096646570814082</v>
      </c>
      <c r="O145" s="16">
        <f t="shared" si="40"/>
        <v>-3.937030527630745E-2</v>
      </c>
      <c r="R145" s="5">
        <f>IF($T$1, J145, -0.2)</f>
        <v>-0.2</v>
      </c>
    </row>
    <row r="146" spans="2:18" x14ac:dyDescent="0.3">
      <c r="B146" s="16">
        <v>0.10237441340807496</v>
      </c>
      <c r="C146" s="16">
        <f t="shared" si="32"/>
        <v>4.7223533706054678E-2</v>
      </c>
      <c r="D146" s="16">
        <f t="shared" si="28"/>
        <v>7.622502122356347E-3</v>
      </c>
      <c r="E146" s="16">
        <f t="shared" si="29"/>
        <v>-1.3935984792118547E-3</v>
      </c>
      <c r="F146" s="16">
        <f t="shared" si="30"/>
        <v>-1.3935975770359363E-3</v>
      </c>
      <c r="G146" s="16" t="str">
        <f t="shared" si="33"/>
        <v xml:space="preserve"> </v>
      </c>
      <c r="H146" s="16" t="str">
        <f t="shared" si="34"/>
        <v xml:space="preserve"> </v>
      </c>
      <c r="I146" s="16" t="str">
        <f t="shared" si="35"/>
        <v xml:space="preserve"> </v>
      </c>
      <c r="J146" s="16">
        <f t="shared" si="31"/>
        <v>7.622502122356347E-3</v>
      </c>
      <c r="K146" s="16">
        <f t="shared" si="36"/>
        <v>-1.3935975770359363E-3</v>
      </c>
      <c r="L146" s="16">
        <f t="shared" si="37"/>
        <v>0.10244022398892484</v>
      </c>
      <c r="M146" s="16">
        <f t="shared" si="38"/>
        <v>5.4845989971670603E-2</v>
      </c>
      <c r="N146" s="16">
        <f t="shared" si="39"/>
        <v>0.10230860282722508</v>
      </c>
      <c r="O146" s="16">
        <f t="shared" si="40"/>
        <v>-3.9600985726957902E-2</v>
      </c>
      <c r="R146" s="5">
        <f>IF($T$1, J146, -0.2)</f>
        <v>-0.2</v>
      </c>
    </row>
    <row r="147" spans="2:18" x14ac:dyDescent="0.3">
      <c r="B147" s="16">
        <v>0.1037663179683993</v>
      </c>
      <c r="C147" s="16">
        <f t="shared" si="32"/>
        <v>4.7451139392383629E-2</v>
      </c>
      <c r="D147" s="16">
        <f t="shared" si="28"/>
        <v>7.6199866598788812E-3</v>
      </c>
      <c r="E147" s="16">
        <f t="shared" si="29"/>
        <v>-2.2125342115497408E-3</v>
      </c>
      <c r="F147" s="16">
        <f t="shared" si="30"/>
        <v>-2.212530601215137E-3</v>
      </c>
      <c r="G147" s="16" t="str">
        <f t="shared" si="33"/>
        <v xml:space="preserve"> </v>
      </c>
      <c r="H147" s="16" t="str">
        <f t="shared" si="34"/>
        <v xml:space="preserve"> </v>
      </c>
      <c r="I147" s="16" t="str">
        <f t="shared" si="35"/>
        <v xml:space="preserve"> </v>
      </c>
      <c r="J147" s="16">
        <f t="shared" si="31"/>
        <v>7.6199866598788812E-3</v>
      </c>
      <c r="K147" s="16">
        <f t="shared" si="36"/>
        <v>-2.212530601215137E-3</v>
      </c>
      <c r="L147" s="16">
        <f t="shared" si="37"/>
        <v>0.10387130498071041</v>
      </c>
      <c r="M147" s="16">
        <f t="shared" si="38"/>
        <v>5.5071009908726397E-2</v>
      </c>
      <c r="N147" s="16">
        <f t="shared" si="39"/>
        <v>0.10366133095608819</v>
      </c>
      <c r="O147" s="16">
        <f t="shared" si="40"/>
        <v>-3.9831036588968631E-2</v>
      </c>
      <c r="R147" s="5">
        <f>IF($T$1, J147, -0.2)</f>
        <v>-0.2</v>
      </c>
    </row>
    <row r="148" spans="2:18" x14ac:dyDescent="0.3">
      <c r="B148" s="16">
        <v>0.10516710348159974</v>
      </c>
      <c r="C148" s="16">
        <f t="shared" si="32"/>
        <v>4.7676958301179587E-2</v>
      </c>
      <c r="D148" s="16">
        <f t="shared" si="28"/>
        <v>7.6163394123361415E-3</v>
      </c>
      <c r="E148" s="16">
        <f t="shared" si="29"/>
        <v>-2.9865062143049066E-3</v>
      </c>
      <c r="F148" s="16">
        <f t="shared" si="30"/>
        <v>-2.9864973352510668E-3</v>
      </c>
      <c r="G148" s="16" t="str">
        <f t="shared" si="33"/>
        <v xml:space="preserve"> </v>
      </c>
      <c r="H148" s="16" t="str">
        <f t="shared" si="34"/>
        <v xml:space="preserve"> </v>
      </c>
      <c r="I148" s="16" t="str">
        <f t="shared" si="35"/>
        <v xml:space="preserve"> </v>
      </c>
      <c r="J148" s="16">
        <f t="shared" si="31"/>
        <v>7.6163394123361415E-3</v>
      </c>
      <c r="K148" s="16">
        <f t="shared" si="36"/>
        <v>-2.9864973352510668E-3</v>
      </c>
      <c r="L148" s="16">
        <f t="shared" si="37"/>
        <v>0.1053094903788568</v>
      </c>
      <c r="M148" s="16">
        <f t="shared" si="38"/>
        <v>5.5293085094313084E-2</v>
      </c>
      <c r="N148" s="16">
        <f t="shared" si="39"/>
        <v>0.10502471658434269</v>
      </c>
      <c r="O148" s="16">
        <f t="shared" si="40"/>
        <v>-4.0060406269640796E-2</v>
      </c>
      <c r="R148" s="5">
        <f>IF($T$1, J148, -0.2)</f>
        <v>-0.2</v>
      </c>
    </row>
    <row r="149" spans="2:18" x14ac:dyDescent="0.3">
      <c r="B149" s="16">
        <v>0.10657675606702155</v>
      </c>
      <c r="C149" s="16">
        <f t="shared" si="32"/>
        <v>4.7900981412918368E-2</v>
      </c>
      <c r="D149" s="16">
        <f t="shared" si="28"/>
        <v>7.6116103421606371E-3</v>
      </c>
      <c r="E149" s="16">
        <f t="shared" si="29"/>
        <v>-3.7145499440811875E-3</v>
      </c>
      <c r="F149" s="16">
        <f t="shared" si="30"/>
        <v>-3.7145328599162346E-3</v>
      </c>
      <c r="G149" s="16" t="str">
        <f t="shared" si="33"/>
        <v xml:space="preserve"> </v>
      </c>
      <c r="H149" s="16" t="str">
        <f t="shared" si="34"/>
        <v xml:space="preserve"> </v>
      </c>
      <c r="I149" s="16" t="str">
        <f t="shared" si="35"/>
        <v xml:space="preserve"> </v>
      </c>
      <c r="J149" s="16">
        <f t="shared" si="31"/>
        <v>7.6116103421606371E-3</v>
      </c>
      <c r="K149" s="16">
        <f t="shared" si="36"/>
        <v>-3.7145328599162346E-3</v>
      </c>
      <c r="L149" s="16">
        <f t="shared" si="37"/>
        <v>0.10675468542733048</v>
      </c>
      <c r="M149" s="16">
        <f t="shared" si="38"/>
        <v>5.5512261292471228E-2</v>
      </c>
      <c r="N149" s="16">
        <f t="shared" si="39"/>
        <v>0.10639882670671262</v>
      </c>
      <c r="O149" s="16">
        <f t="shared" si="40"/>
        <v>-4.0289040608149952E-2</v>
      </c>
      <c r="R149" s="5">
        <f>IF($T$1, J149, -0.2)</f>
        <v>-0.2</v>
      </c>
    </row>
    <row r="150" spans="2:18" x14ac:dyDescent="0.3">
      <c r="B150" s="16">
        <v>0.10799526175614471</v>
      </c>
      <c r="C150" s="16">
        <f t="shared" si="32"/>
        <v>4.8123199753366236E-2</v>
      </c>
      <c r="D150" s="16">
        <f t="shared" si="28"/>
        <v>7.6058520234443365E-3</v>
      </c>
      <c r="E150" s="16">
        <f t="shared" si="29"/>
        <v>-4.395696766489857E-3</v>
      </c>
      <c r="F150" s="16">
        <f t="shared" si="30"/>
        <v>-4.3956684553805572E-3</v>
      </c>
      <c r="G150" s="16" t="str">
        <f t="shared" si="33"/>
        <v xml:space="preserve"> </v>
      </c>
      <c r="H150" s="16" t="str">
        <f t="shared" si="34"/>
        <v xml:space="preserve"> </v>
      </c>
      <c r="I150" s="16" t="str">
        <f t="shared" si="35"/>
        <v xml:space="preserve"> </v>
      </c>
      <c r="J150" s="16">
        <f t="shared" si="31"/>
        <v>7.6058520234443365E-3</v>
      </c>
      <c r="K150" s="16">
        <f t="shared" si="36"/>
        <v>-4.3956684553805572E-3</v>
      </c>
      <c r="L150" s="16">
        <f t="shared" si="37"/>
        <v>0.10820679470606789</v>
      </c>
      <c r="M150" s="16">
        <f t="shared" si="38"/>
        <v>5.5728586861704357E-2</v>
      </c>
      <c r="N150" s="16">
        <f t="shared" si="39"/>
        <v>0.10778372880622153</v>
      </c>
      <c r="O150" s="16">
        <f t="shared" si="40"/>
        <v>-4.0516882814815691E-2</v>
      </c>
      <c r="R150" s="5">
        <f>IF($T$1, J150, -0.2)</f>
        <v>-0.2</v>
      </c>
    </row>
    <row r="151" spans="2:18" x14ac:dyDescent="0.3">
      <c r="B151" s="16">
        <v>0.10942260649272206</v>
      </c>
      <c r="C151" s="16">
        <f t="shared" si="32"/>
        <v>4.8343604395001634E-2</v>
      </c>
      <c r="D151" s="16">
        <f t="shared" si="28"/>
        <v>7.5991196783653263E-3</v>
      </c>
      <c r="E151" s="16">
        <f t="shared" si="29"/>
        <v>-5.0289740038554978E-3</v>
      </c>
      <c r="F151" s="16">
        <f t="shared" si="30"/>
        <v>-5.0289316092764708E-3</v>
      </c>
      <c r="G151" s="16" t="str">
        <f t="shared" si="33"/>
        <v xml:space="preserve"> </v>
      </c>
      <c r="H151" s="16" t="str">
        <f t="shared" si="34"/>
        <v xml:space="preserve"> </v>
      </c>
      <c r="I151" s="16" t="str">
        <f t="shared" si="35"/>
        <v xml:space="preserve"> </v>
      </c>
      <c r="J151" s="16">
        <f t="shared" si="31"/>
        <v>7.5991196783653263E-3</v>
      </c>
      <c r="K151" s="16">
        <f t="shared" si="36"/>
        <v>-5.0289316092764708E-3</v>
      </c>
      <c r="L151" s="16">
        <f t="shared" si="37"/>
        <v>0.10966572214822873</v>
      </c>
      <c r="M151" s="16">
        <f t="shared" si="38"/>
        <v>5.5942112766076274E-2</v>
      </c>
      <c r="N151" s="16">
        <f t="shared" si="39"/>
        <v>0.1091794908372154</v>
      </c>
      <c r="O151" s="16">
        <f t="shared" si="40"/>
        <v>-4.0743873409345627E-2</v>
      </c>
      <c r="R151" s="5">
        <f>IF($T$1, J151, -0.2)</f>
        <v>-0.2</v>
      </c>
    </row>
    <row r="152" spans="2:18" x14ac:dyDescent="0.3">
      <c r="B152" s="16">
        <v>0.11085877613291861</v>
      </c>
      <c r="C152" s="16">
        <f t="shared" si="32"/>
        <v>4.8562186458428247E-2</v>
      </c>
      <c r="D152" s="16">
        <f t="shared" si="28"/>
        <v>7.5914712135481842E-3</v>
      </c>
      <c r="E152" s="16">
        <f t="shared" si="29"/>
        <v>-5.6134049831405497E-3</v>
      </c>
      <c r="F152" s="16">
        <f t="shared" si="30"/>
        <v>-5.6133460242012096E-3</v>
      </c>
      <c r="G152" s="16" t="str">
        <f t="shared" si="33"/>
        <v xml:space="preserve"> </v>
      </c>
      <c r="H152" s="16" t="str">
        <f t="shared" si="34"/>
        <v xml:space="preserve"> </v>
      </c>
      <c r="I152" s="16" t="str">
        <f t="shared" si="35"/>
        <v xml:space="preserve"> </v>
      </c>
      <c r="J152" s="16">
        <f t="shared" si="31"/>
        <v>7.5914712135481842E-3</v>
      </c>
      <c r="K152" s="16">
        <f t="shared" si="36"/>
        <v>-5.6133460242012096E-3</v>
      </c>
      <c r="L152" s="16">
        <f t="shared" si="37"/>
        <v>0.11113137105763435</v>
      </c>
      <c r="M152" s="16">
        <f t="shared" si="38"/>
        <v>5.6152892585149022E-2</v>
      </c>
      <c r="N152" s="16">
        <f t="shared" si="39"/>
        <v>0.11058618120820288</v>
      </c>
      <c r="O152" s="16">
        <f t="shared" si="40"/>
        <v>-4.0969950158052659E-2</v>
      </c>
      <c r="R152" s="5">
        <f>IF($T$1, J152, -0.2)</f>
        <v>-0.2</v>
      </c>
    </row>
    <row r="153" spans="2:18" x14ac:dyDescent="0.3">
      <c r="B153" s="16">
        <v>0.11230375644545154</v>
      </c>
      <c r="C153" s="16">
        <f t="shared" si="32"/>
        <v>4.8778937113778703E-2</v>
      </c>
      <c r="D153" s="16">
        <f t="shared" si="28"/>
        <v>7.5829672563528126E-3</v>
      </c>
      <c r="E153" s="16">
        <f t="shared" si="29"/>
        <v>-6.1480090840868844E-3</v>
      </c>
      <c r="F153" s="16">
        <f t="shared" si="30"/>
        <v>-6.1479316249955993E-3</v>
      </c>
      <c r="G153" s="16" t="str">
        <f t="shared" si="33"/>
        <v xml:space="preserve"> </v>
      </c>
      <c r="H153" s="16" t="str">
        <f t="shared" si="34"/>
        <v xml:space="preserve"> </v>
      </c>
      <c r="I153" s="16" t="str">
        <f t="shared" si="35"/>
        <v xml:space="preserve"> </v>
      </c>
      <c r="J153" s="16">
        <f t="shared" si="31"/>
        <v>7.5829672563528126E-3</v>
      </c>
      <c r="K153" s="16">
        <f t="shared" si="36"/>
        <v>-6.1479316249955993E-3</v>
      </c>
      <c r="L153" s="16">
        <f t="shared" si="37"/>
        <v>0.11260364412641308</v>
      </c>
      <c r="M153" s="16">
        <f t="shared" si="38"/>
        <v>5.6360982522749056E-2</v>
      </c>
      <c r="N153" s="16">
        <f t="shared" si="39"/>
        <v>0.11200386876449001</v>
      </c>
      <c r="O153" s="16">
        <f t="shared" si="40"/>
        <v>-4.1195048010043436E-2</v>
      </c>
      <c r="R153" s="5">
        <f>IF($T$1, J153, -0.2)</f>
        <v>-0.2</v>
      </c>
    </row>
    <row r="154" spans="2:18" x14ac:dyDescent="0.3">
      <c r="B154" s="16">
        <v>0.11375753311173153</v>
      </c>
      <c r="C154" s="16">
        <f t="shared" si="32"/>
        <v>4.8993847582109069E-2</v>
      </c>
      <c r="D154" s="16">
        <f t="shared" si="28"/>
        <v>7.573671191086268E-3</v>
      </c>
      <c r="E154" s="16">
        <f t="shared" si="29"/>
        <v>-6.6318017875717054E-3</v>
      </c>
      <c r="F154" s="16">
        <f t="shared" si="30"/>
        <v>-6.6317045661656955E-3</v>
      </c>
      <c r="G154" s="16" t="str">
        <f t="shared" si="33"/>
        <v xml:space="preserve"> </v>
      </c>
      <c r="H154" s="16" t="str">
        <f t="shared" si="34"/>
        <v xml:space="preserve"> </v>
      </c>
      <c r="I154" s="16" t="str">
        <f t="shared" si="35"/>
        <v xml:space="preserve"> </v>
      </c>
      <c r="J154" s="16">
        <f t="shared" si="31"/>
        <v>7.573671191086268E-3</v>
      </c>
      <c r="K154" s="16">
        <f t="shared" si="36"/>
        <v>-6.6317045661656955E-3</v>
      </c>
      <c r="L154" s="16">
        <f t="shared" si="37"/>
        <v>0.11408244345287759</v>
      </c>
      <c r="M154" s="16">
        <f t="shared" si="38"/>
        <v>5.6566441414550375E-2</v>
      </c>
      <c r="N154" s="16">
        <f t="shared" si="39"/>
        <v>0.11343262277058548</v>
      </c>
      <c r="O154" s="16">
        <f t="shared" si="40"/>
        <v>-4.1419099032377837E-2</v>
      </c>
      <c r="R154" s="5">
        <f>IF($T$1, J154, -0.2)</f>
        <v>-0.2</v>
      </c>
    </row>
    <row r="155" spans="2:18" x14ac:dyDescent="0.3">
      <c r="B155" s="16">
        <v>0.11522009172600445</v>
      </c>
      <c r="C155" s="16">
        <f t="shared" si="32"/>
        <v>4.9206909136783446E-2</v>
      </c>
      <c r="D155" s="16">
        <f t="shared" si="28"/>
        <v>7.5636491951324809E-3</v>
      </c>
      <c r="E155" s="16">
        <f t="shared" si="29"/>
        <v>-7.0637947241766431E-3</v>
      </c>
      <c r="F155" s="16">
        <f t="shared" si="30"/>
        <v>-7.0636772398441775E-3</v>
      </c>
      <c r="G155" s="16" t="str">
        <f t="shared" si="33"/>
        <v xml:space="preserve"> </v>
      </c>
      <c r="H155" s="16" t="str">
        <f t="shared" si="34"/>
        <v xml:space="preserve"> </v>
      </c>
      <c r="I155" s="16" t="str">
        <f t="shared" si="35"/>
        <v xml:space="preserve"> </v>
      </c>
      <c r="J155" s="16">
        <f t="shared" si="31"/>
        <v>7.5636491951324809E-3</v>
      </c>
      <c r="K155" s="16">
        <f t="shared" si="36"/>
        <v>-7.0636772398441775E-3</v>
      </c>
      <c r="L155" s="16">
        <f t="shared" si="37"/>
        <v>0.1155676705596615</v>
      </c>
      <c r="M155" s="16">
        <f t="shared" si="38"/>
        <v>5.6769330734463441E-2</v>
      </c>
      <c r="N155" s="16">
        <f t="shared" si="39"/>
        <v>0.1148725128923474</v>
      </c>
      <c r="O155" s="16">
        <f t="shared" si="40"/>
        <v>-4.1642032344198485E-2</v>
      </c>
      <c r="R155" s="5">
        <f>IF($T$1, J155, -0.2)</f>
        <v>-0.2</v>
      </c>
    </row>
    <row r="156" spans="2:18" x14ac:dyDescent="0.3">
      <c r="B156" s="16">
        <v>0.11669141779549419</v>
      </c>
      <c r="C156" s="16">
        <f t="shared" si="32"/>
        <v>4.941811310484872E-2</v>
      </c>
      <c r="D156" s="16">
        <f t="shared" si="28"/>
        <v>7.5529702749943303E-3</v>
      </c>
      <c r="E156" s="16">
        <f t="shared" si="29"/>
        <v>-7.4429957229672789E-3</v>
      </c>
      <c r="F156" s="16">
        <f t="shared" si="30"/>
        <v>-7.4428582847167191E-3</v>
      </c>
      <c r="G156" s="16" t="str">
        <f t="shared" si="33"/>
        <v xml:space="preserve"> </v>
      </c>
      <c r="H156" s="16" t="str">
        <f t="shared" si="34"/>
        <v xml:space="preserve"> </v>
      </c>
      <c r="I156" s="16" t="str">
        <f t="shared" si="35"/>
        <v xml:space="preserve"> </v>
      </c>
      <c r="J156" s="16">
        <f t="shared" si="31"/>
        <v>7.5529702749943303E-3</v>
      </c>
      <c r="K156" s="16">
        <f t="shared" si="36"/>
        <v>-7.4428582847167191E-3</v>
      </c>
      <c r="L156" s="16">
        <f t="shared" si="37"/>
        <v>0.11705922641214683</v>
      </c>
      <c r="M156" s="16">
        <f t="shared" si="38"/>
        <v>5.6969714599819463E-2</v>
      </c>
      <c r="N156" s="16">
        <f t="shared" si="39"/>
        <v>0.11632360917884155</v>
      </c>
      <c r="O156" s="16">
        <f t="shared" si="40"/>
        <v>-4.1863774049830799E-2</v>
      </c>
      <c r="R156" s="5">
        <f>IF($T$1, J156, -0.2)</f>
        <v>-0.2</v>
      </c>
    </row>
    <row r="157" spans="2:18" x14ac:dyDescent="0.3">
      <c r="B157" s="16">
        <v>0.11817149674054617</v>
      </c>
      <c r="C157" s="16">
        <f t="shared" si="32"/>
        <v>4.9627450868399113E-2</v>
      </c>
      <c r="D157" s="16">
        <f t="shared" si="28"/>
        <v>7.5417063022429672E-3</v>
      </c>
      <c r="E157" s="16">
        <f t="shared" si="29"/>
        <v>-7.7684088604813703E-3</v>
      </c>
      <c r="F157" s="16">
        <f t="shared" si="30"/>
        <v>-7.7682525963705205E-3</v>
      </c>
      <c r="G157" s="16" t="str">
        <f t="shared" si="33"/>
        <v xml:space="preserve"> </v>
      </c>
      <c r="H157" s="16" t="str">
        <f t="shared" si="34"/>
        <v xml:space="preserve"> </v>
      </c>
      <c r="I157" s="16" t="str">
        <f t="shared" si="35"/>
        <v xml:space="preserve"> </v>
      </c>
      <c r="J157" s="16">
        <f t="shared" si="31"/>
        <v>7.5417063022429672E-3</v>
      </c>
      <c r="K157" s="16">
        <f t="shared" si="36"/>
        <v>-7.7682525963705205E-3</v>
      </c>
      <c r="L157" s="16">
        <f t="shared" si="37"/>
        <v>0.11855701143721641</v>
      </c>
      <c r="M157" s="16">
        <f t="shared" si="38"/>
        <v>5.7167659775340281E-2</v>
      </c>
      <c r="N157" s="16">
        <f t="shared" si="39"/>
        <v>0.11778598204387593</v>
      </c>
      <c r="O157" s="16">
        <f t="shared" si="40"/>
        <v>-4.2084247170854343E-2</v>
      </c>
      <c r="R157" s="5">
        <f>IF($T$1, J157, -0.2)</f>
        <v>-0.2</v>
      </c>
    </row>
    <row r="158" spans="2:18" x14ac:dyDescent="0.3">
      <c r="B158" s="16">
        <v>0.11966031389477194</v>
      </c>
      <c r="C158" s="16">
        <f t="shared" si="32"/>
        <v>4.9834913865930253E-2</v>
      </c>
      <c r="D158" s="16">
        <f t="shared" si="28"/>
        <v>7.5299320493688602E-3</v>
      </c>
      <c r="E158" s="16">
        <f t="shared" si="29"/>
        <v>-8.0390345099239022E-3</v>
      </c>
      <c r="F158" s="16">
        <f t="shared" si="30"/>
        <v>-8.0388613395539748E-3</v>
      </c>
      <c r="G158" s="16" t="str">
        <f t="shared" si="33"/>
        <v xml:space="preserve"> </v>
      </c>
      <c r="H158" s="16" t="str">
        <f t="shared" si="34"/>
        <v xml:space="preserve"> </v>
      </c>
      <c r="I158" s="16" t="str">
        <f t="shared" si="35"/>
        <v xml:space="preserve"> </v>
      </c>
      <c r="J158" s="16">
        <f t="shared" si="31"/>
        <v>7.5299320493688602E-3</v>
      </c>
      <c r="K158" s="16">
        <f t="shared" si="36"/>
        <v>-8.0388613395539748E-3</v>
      </c>
      <c r="L158" s="16">
        <f t="shared" si="37"/>
        <v>0.12006092554236901</v>
      </c>
      <c r="M158" s="16">
        <f t="shared" si="38"/>
        <v>5.73632356758845E-2</v>
      </c>
      <c r="N158" s="16">
        <f t="shared" si="39"/>
        <v>0.11925970224717487</v>
      </c>
      <c r="O158" s="16">
        <f t="shared" si="40"/>
        <v>-4.2303371577146781E-2</v>
      </c>
      <c r="R158" s="5">
        <f>IF($T$1, J158, -0.2)</f>
        <v>-0.2</v>
      </c>
    </row>
    <row r="159" spans="2:18" x14ac:dyDescent="0.3">
      <c r="B159" s="16">
        <v>0.12115785450519423</v>
      </c>
      <c r="C159" s="16">
        <f t="shared" si="32"/>
        <v>5.0040493593682435E-2</v>
      </c>
      <c r="D159" s="16">
        <f t="shared" si="28"/>
        <v>7.5177252255294244E-3</v>
      </c>
      <c r="E159" s="16">
        <f t="shared" si="29"/>
        <v>-8.2538693905666021E-3</v>
      </c>
      <c r="F159" s="16">
        <f t="shared" si="30"/>
        <v>-8.2536819628688668E-3</v>
      </c>
      <c r="G159" s="16" t="str">
        <f t="shared" si="33"/>
        <v xml:space="preserve"> </v>
      </c>
      <c r="H159" s="16" t="str">
        <f t="shared" si="34"/>
        <v xml:space="preserve"> </v>
      </c>
      <c r="I159" s="16" t="str">
        <f t="shared" si="35"/>
        <v xml:space="preserve"> </v>
      </c>
      <c r="J159" s="16">
        <f t="shared" si="31"/>
        <v>7.5177252255294244E-3</v>
      </c>
      <c r="K159" s="16">
        <f t="shared" si="36"/>
        <v>-8.2536819628688668E-3</v>
      </c>
      <c r="L159" s="16">
        <f t="shared" si="37"/>
        <v>0.12157086813523796</v>
      </c>
      <c r="M159" s="16">
        <f t="shared" si="38"/>
        <v>5.7556514367961428E-2</v>
      </c>
      <c r="N159" s="16">
        <f t="shared" si="39"/>
        <v>0.1207448408751505</v>
      </c>
      <c r="O159" s="16">
        <f t="shared" si="40"/>
        <v>-4.2521063916902579E-2</v>
      </c>
      <c r="R159" s="5">
        <f>IF($T$1, J159, -0.2)</f>
        <v>-0.2</v>
      </c>
    </row>
    <row r="160" spans="2:18" x14ac:dyDescent="0.3">
      <c r="B160" s="16">
        <v>0.12266410373239378</v>
      </c>
      <c r="C160" s="16">
        <f t="shared" si="32"/>
        <v>5.0244181606973123E-2</v>
      </c>
      <c r="D160" s="16">
        <f t="shared" si="28"/>
        <v>7.505166512187785E-3</v>
      </c>
      <c r="E160" s="16">
        <f t="shared" si="29"/>
        <v>-8.4119066173501782E-3</v>
      </c>
      <c r="F160" s="16">
        <f t="shared" si="30"/>
        <v>-8.4117082164511092E-3</v>
      </c>
      <c r="G160" s="16" t="str">
        <f t="shared" si="33"/>
        <v xml:space="preserve"> </v>
      </c>
      <c r="H160" s="16" t="str">
        <f t="shared" si="34"/>
        <v xml:space="preserve"> </v>
      </c>
      <c r="I160" s="16" t="str">
        <f t="shared" si="35"/>
        <v xml:space="preserve"> </v>
      </c>
      <c r="J160" s="16">
        <f t="shared" si="31"/>
        <v>7.505166512187785E-3</v>
      </c>
      <c r="K160" s="16">
        <f t="shared" si="36"/>
        <v>-8.4117082164511092E-3</v>
      </c>
      <c r="L160" s="16">
        <f t="shared" si="37"/>
        <v>0.12308673814355932</v>
      </c>
      <c r="M160" s="16">
        <f t="shared" si="38"/>
        <v>5.774757057000527E-2</v>
      </c>
      <c r="N160" s="16">
        <f t="shared" si="39"/>
        <v>0.12224146932122824</v>
      </c>
      <c r="O160" s="16">
        <f t="shared" si="40"/>
        <v>-4.2737237545629699E-2</v>
      </c>
      <c r="R160" s="5">
        <f>IF($T$1, J160, -0.2)</f>
        <v>-0.2</v>
      </c>
    </row>
    <row r="161" spans="2:18" x14ac:dyDescent="0.3">
      <c r="B161" s="16">
        <v>0.12417904665065549</v>
      </c>
      <c r="C161" s="16">
        <f t="shared" si="32"/>
        <v>5.0445969521518037E-2</v>
      </c>
      <c r="D161" s="16">
        <f t="shared" si="28"/>
        <v>7.4923395986374701E-3</v>
      </c>
      <c r="E161" s="16">
        <f t="shared" si="29"/>
        <v>-8.5121357506866089E-3</v>
      </c>
      <c r="F161" s="16">
        <f t="shared" si="30"/>
        <v>-8.5119301732300163E-3</v>
      </c>
      <c r="G161" s="16" t="str">
        <f t="shared" si="33"/>
        <v xml:space="preserve"> </v>
      </c>
      <c r="H161" s="16" t="str">
        <f t="shared" si="34"/>
        <v xml:space="preserve"> </v>
      </c>
      <c r="I161" s="16" t="str">
        <f t="shared" si="35"/>
        <v xml:space="preserve"> </v>
      </c>
      <c r="J161" s="16">
        <f t="shared" si="31"/>
        <v>7.4923395986374701E-3</v>
      </c>
      <c r="K161" s="16">
        <f t="shared" si="36"/>
        <v>-8.5119301732300163E-3</v>
      </c>
      <c r="L161" s="16">
        <f t="shared" si="37"/>
        <v>0.12460843403563554</v>
      </c>
      <c r="M161" s="16">
        <f t="shared" si="38"/>
        <v>5.7936481651402597E-2</v>
      </c>
      <c r="N161" s="16">
        <f t="shared" si="39"/>
        <v>0.12374965926567544</v>
      </c>
      <c r="O161" s="16">
        <f t="shared" si="40"/>
        <v>-4.2951802454127649E-2</v>
      </c>
      <c r="R161" s="5">
        <f>IF($T$1, J161, -0.2)</f>
        <v>-0.2</v>
      </c>
    </row>
    <row r="162" spans="2:18" x14ac:dyDescent="0.3">
      <c r="B162" s="16">
        <v>0.12570266824811704</v>
      </c>
      <c r="C162" s="16">
        <f t="shared" si="32"/>
        <v>5.0645849014740917E-2</v>
      </c>
      <c r="D162" s="16">
        <f t="shared" si="28"/>
        <v>7.479331217407576E-3</v>
      </c>
      <c r="E162" s="16">
        <f t="shared" si="29"/>
        <v>-8.5535428464606541E-3</v>
      </c>
      <c r="F162" s="16">
        <f t="shared" si="30"/>
        <v>-8.5533342543940571E-3</v>
      </c>
      <c r="G162" s="16" t="str">
        <f t="shared" si="33"/>
        <v xml:space="preserve"> </v>
      </c>
      <c r="H162" s="16" t="str">
        <f t="shared" si="34"/>
        <v xml:space="preserve"> </v>
      </c>
      <c r="I162" s="16" t="str">
        <f t="shared" si="35"/>
        <v xml:space="preserve"> </v>
      </c>
      <c r="J162" s="16">
        <f t="shared" si="31"/>
        <v>7.479331217407576E-3</v>
      </c>
      <c r="K162" s="16">
        <f t="shared" si="36"/>
        <v>-8.5533342543940571E-3</v>
      </c>
      <c r="L162" s="16">
        <f t="shared" si="37"/>
        <v>0.12613585384135043</v>
      </c>
      <c r="M162" s="16">
        <f t="shared" si="38"/>
        <v>5.8123327630267299E-2</v>
      </c>
      <c r="N162" s="16">
        <f t="shared" si="39"/>
        <v>0.12526948265488366</v>
      </c>
      <c r="O162" s="16">
        <f t="shared" si="40"/>
        <v>-4.3164665195452145E-2</v>
      </c>
      <c r="R162" s="5">
        <f>IF($T$1, J162, -0.2)</f>
        <v>-0.2</v>
      </c>
    </row>
    <row r="163" spans="2:18" x14ac:dyDescent="0.3">
      <c r="B163" s="16">
        <v>0.1272349534269176</v>
      </c>
      <c r="C163" s="16">
        <f t="shared" si="32"/>
        <v>5.0843811827071407E-2</v>
      </c>
      <c r="D163" s="16">
        <f t="shared" si="28"/>
        <v>7.4662231249479653E-3</v>
      </c>
      <c r="E163" s="16">
        <f t="shared" si="29"/>
        <v>-8.5546770625887676E-3</v>
      </c>
      <c r="F163" s="16">
        <f t="shared" si="30"/>
        <v>-8.5544683875344758E-3</v>
      </c>
      <c r="G163" s="16" t="str">
        <f t="shared" si="33"/>
        <v xml:space="preserve"> </v>
      </c>
      <c r="H163" s="16" t="str">
        <f t="shared" si="34"/>
        <v xml:space="preserve"> </v>
      </c>
      <c r="I163" s="16" t="str">
        <f t="shared" si="35"/>
        <v xml:space="preserve"> </v>
      </c>
      <c r="J163" s="16">
        <f t="shared" si="31"/>
        <v>7.4662231249479653E-3</v>
      </c>
      <c r="K163" s="16">
        <f t="shared" si="36"/>
        <v>-8.5544683875344758E-3</v>
      </c>
      <c r="L163" s="16">
        <f t="shared" si="37"/>
        <v>0.12766988990315112</v>
      </c>
      <c r="M163" s="16">
        <f t="shared" si="38"/>
        <v>5.830817461550631E-2</v>
      </c>
      <c r="N163" s="16">
        <f t="shared" si="39"/>
        <v>0.12680001695068407</v>
      </c>
      <c r="O163" s="16">
        <f t="shared" si="40"/>
        <v>-4.3375728365610385E-2</v>
      </c>
      <c r="R163" s="5">
        <f>IF($T$1, J163, -0.2)</f>
        <v>-0.2</v>
      </c>
    </row>
    <row r="164" spans="2:18" x14ac:dyDescent="0.3">
      <c r="B164" s="16">
        <v>0.12877588700334663</v>
      </c>
      <c r="C164" s="16">
        <f t="shared" si="32"/>
        <v>5.1039849763231115E-2</v>
      </c>
      <c r="D164" s="16">
        <f t="shared" si="28"/>
        <v>7.4530409358267149E-3</v>
      </c>
      <c r="E164" s="16">
        <f t="shared" si="29"/>
        <v>-8.5546770625887676E-3</v>
      </c>
      <c r="F164" s="16">
        <f t="shared" si="30"/>
        <v>-8.5544683875344758E-3</v>
      </c>
      <c r="G164" s="16" t="str">
        <f t="shared" si="33"/>
        <v xml:space="preserve"> </v>
      </c>
      <c r="H164" s="16" t="str">
        <f t="shared" si="34"/>
        <v xml:space="preserve"> </v>
      </c>
      <c r="I164" s="16" t="str">
        <f t="shared" si="35"/>
        <v xml:space="preserve"> </v>
      </c>
      <c r="J164" s="16">
        <f t="shared" si="31"/>
        <v>7.4530409358267149E-3</v>
      </c>
      <c r="K164" s="16">
        <f t="shared" si="36"/>
        <v>-8.5544683875344758E-3</v>
      </c>
      <c r="L164" s="16">
        <f t="shared" si="37"/>
        <v>0.12921250045945437</v>
      </c>
      <c r="M164" s="16">
        <f t="shared" si="38"/>
        <v>5.849102318966537E-2</v>
      </c>
      <c r="N164" s="16">
        <f t="shared" si="39"/>
        <v>0.1283392735472389</v>
      </c>
      <c r="O164" s="16">
        <f t="shared" si="40"/>
        <v>-4.3584941318011938E-2</v>
      </c>
      <c r="R164" s="5">
        <f>IF($T$1, J164, -0.2)</f>
        <v>-0.2</v>
      </c>
    </row>
    <row r="165" spans="2:18" x14ac:dyDescent="0.3">
      <c r="B165" s="16">
        <v>0.13032545370799575</v>
      </c>
      <c r="C165" s="16">
        <f t="shared" si="32"/>
        <v>5.1233954693507527E-2</v>
      </c>
      <c r="D165" s="16">
        <f t="shared" si="28"/>
        <v>7.4397848930815025E-3</v>
      </c>
      <c r="E165" s="16">
        <f t="shared" si="29"/>
        <v>-8.5546770625887676E-3</v>
      </c>
      <c r="F165" s="16">
        <f t="shared" si="30"/>
        <v>-8.5544683875344758E-3</v>
      </c>
      <c r="G165" s="16" t="str">
        <f t="shared" si="33"/>
        <v xml:space="preserve"> </v>
      </c>
      <c r="H165" s="16" t="str">
        <f t="shared" si="34"/>
        <v xml:space="preserve"> </v>
      </c>
      <c r="I165" s="16" t="str">
        <f t="shared" si="35"/>
        <v xml:space="preserve"> </v>
      </c>
      <c r="J165" s="16">
        <f t="shared" si="31"/>
        <v>7.4397848930815025E-3</v>
      </c>
      <c r="K165" s="16">
        <f t="shared" si="36"/>
        <v>-8.5544683875344758E-3</v>
      </c>
      <c r="L165" s="16">
        <f t="shared" si="37"/>
        <v>0.13076372760834162</v>
      </c>
      <c r="M165" s="16">
        <f t="shared" si="38"/>
        <v>5.8671864975044383E-2</v>
      </c>
      <c r="N165" s="16">
        <f t="shared" si="39"/>
        <v>0.12988717980764988</v>
      </c>
      <c r="O165" s="16">
        <f t="shared" si="40"/>
        <v>-4.3792295188881378E-2</v>
      </c>
      <c r="R165" s="5">
        <f>IF($T$1, J165, -0.2)</f>
        <v>-0.2</v>
      </c>
    </row>
    <row r="166" spans="2:18" x14ac:dyDescent="0.3">
      <c r="B166" s="16">
        <v>0.13188363818590843</v>
      </c>
      <c r="C166" s="16">
        <f t="shared" si="32"/>
        <v>5.1426118555015277E-2</v>
      </c>
      <c r="D166" s="16">
        <f t="shared" si="28"/>
        <v>7.4264551280690209E-3</v>
      </c>
      <c r="E166" s="16">
        <f t="shared" si="29"/>
        <v>-8.5546770625887676E-3</v>
      </c>
      <c r="F166" s="16">
        <f t="shared" si="30"/>
        <v>-8.5544683875344758E-3</v>
      </c>
      <c r="G166" s="16" t="str">
        <f t="shared" si="33"/>
        <v xml:space="preserve"> </v>
      </c>
      <c r="H166" s="16" t="str">
        <f t="shared" si="34"/>
        <v xml:space="preserve"> </v>
      </c>
      <c r="I166" s="16" t="str">
        <f t="shared" si="35"/>
        <v xml:space="preserve"> </v>
      </c>
      <c r="J166" s="16">
        <f t="shared" si="31"/>
        <v>7.4264551280690209E-3</v>
      </c>
      <c r="K166" s="16">
        <f t="shared" si="36"/>
        <v>-8.5544683875344758E-3</v>
      </c>
      <c r="L166" s="16">
        <f t="shared" si="37"/>
        <v>0.13232355592588355</v>
      </c>
      <c r="M166" s="16">
        <f t="shared" si="38"/>
        <v>5.8850692040409699E-2</v>
      </c>
      <c r="N166" s="16">
        <f t="shared" si="39"/>
        <v>0.1314437204459333</v>
      </c>
      <c r="O166" s="16">
        <f t="shared" si="40"/>
        <v>-4.3997781784271661E-2</v>
      </c>
      <c r="R166" s="5">
        <f>IF($T$1, J166, -0.2)</f>
        <v>-0.2</v>
      </c>
    </row>
    <row r="167" spans="2:18" x14ac:dyDescent="0.3">
      <c r="B167" s="16">
        <v>0.13345042499673354</v>
      </c>
      <c r="C167" s="16">
        <f t="shared" si="32"/>
        <v>5.1616333352944903E-2</v>
      </c>
      <c r="D167" s="16">
        <f t="shared" si="28"/>
        <v>7.4130517728764889E-3</v>
      </c>
      <c r="E167" s="16">
        <f t="shared" si="29"/>
        <v>-8.5546770625887676E-3</v>
      </c>
      <c r="F167" s="16">
        <f t="shared" si="30"/>
        <v>-8.5544683875344758E-3</v>
      </c>
      <c r="G167" s="16" t="str">
        <f t="shared" si="33"/>
        <v xml:space="preserve"> </v>
      </c>
      <c r="H167" s="16" t="str">
        <f t="shared" si="34"/>
        <v xml:space="preserve"> </v>
      </c>
      <c r="I167" s="16" t="str">
        <f t="shared" si="35"/>
        <v xml:space="preserve"> </v>
      </c>
      <c r="J167" s="16">
        <f t="shared" si="31"/>
        <v>7.4130517728764889E-3</v>
      </c>
      <c r="K167" s="16">
        <f t="shared" si="36"/>
        <v>-8.5544683875344758E-3</v>
      </c>
      <c r="L167" s="16">
        <f t="shared" si="37"/>
        <v>0.13389196990333851</v>
      </c>
      <c r="M167" s="16">
        <f t="shared" si="38"/>
        <v>5.9027496523331606E-2</v>
      </c>
      <c r="N167" s="16">
        <f t="shared" si="39"/>
        <v>0.13300888009012857</v>
      </c>
      <c r="O167" s="16">
        <f t="shared" si="40"/>
        <v>-4.4201392977578628E-2</v>
      </c>
      <c r="R167" s="5">
        <f>IF($T$1, J167, -0.2)</f>
        <v>-0.2</v>
      </c>
    </row>
    <row r="168" spans="2:18" x14ac:dyDescent="0.3">
      <c r="B168" s="16">
        <v>0.13502579861487751</v>
      </c>
      <c r="C168" s="16">
        <f t="shared" si="32"/>
        <v>5.1804591161798627E-2</v>
      </c>
      <c r="D168" s="16">
        <f t="shared" si="28"/>
        <v>7.3995749603203449E-3</v>
      </c>
      <c r="E168" s="16">
        <f t="shared" si="29"/>
        <v>-8.5546770625887676E-3</v>
      </c>
      <c r="F168" s="16">
        <f t="shared" si="30"/>
        <v>-8.5544683875344758E-3</v>
      </c>
      <c r="G168" s="16" t="str">
        <f t="shared" si="33"/>
        <v xml:space="preserve"> </v>
      </c>
      <c r="H168" s="16" t="str">
        <f t="shared" si="34"/>
        <v xml:space="preserve"> </v>
      </c>
      <c r="I168" s="16" t="str">
        <f t="shared" si="35"/>
        <v xml:space="preserve"> </v>
      </c>
      <c r="J168" s="16">
        <f t="shared" si="31"/>
        <v>7.3995749603203449E-3</v>
      </c>
      <c r="K168" s="16">
        <f t="shared" si="36"/>
        <v>-8.5544683875344758E-3</v>
      </c>
      <c r="L168" s="16">
        <f t="shared" si="37"/>
        <v>0.13546895394731531</v>
      </c>
      <c r="M168" s="16">
        <f t="shared" si="38"/>
        <v>5.9202270631418738E-2</v>
      </c>
      <c r="N168" s="16">
        <f t="shared" si="39"/>
        <v>0.13458264328243971</v>
      </c>
      <c r="O168" s="16">
        <f t="shared" si="40"/>
        <v>-4.4403120710778052E-2</v>
      </c>
      <c r="R168" s="5">
        <f>IF($T$1, J168, -0.2)</f>
        <v>-0.2</v>
      </c>
    </row>
    <row r="169" spans="2:18" x14ac:dyDescent="0.3">
      <c r="B169" s="16">
        <v>0.13660974342965859</v>
      </c>
      <c r="C169" s="16">
        <f t="shared" si="32"/>
        <v>5.1990884126613075E-2</v>
      </c>
      <c r="D169" s="16">
        <f t="shared" si="28"/>
        <v>7.3860248239449302E-3</v>
      </c>
      <c r="E169" s="16">
        <f t="shared" si="29"/>
        <v>-8.5546770625887676E-3</v>
      </c>
      <c r="F169" s="16">
        <f t="shared" si="30"/>
        <v>-8.5544683875344758E-3</v>
      </c>
      <c r="G169" s="16" t="str">
        <f t="shared" si="33"/>
        <v xml:space="preserve"> </v>
      </c>
      <c r="H169" s="16" t="str">
        <f t="shared" si="34"/>
        <v xml:space="preserve"> </v>
      </c>
      <c r="I169" s="16" t="str">
        <f t="shared" si="35"/>
        <v xml:space="preserve"> </v>
      </c>
      <c r="J169" s="16">
        <f t="shared" si="31"/>
        <v>7.3860248239449302E-3</v>
      </c>
      <c r="K169" s="16">
        <f t="shared" si="36"/>
        <v>-8.5544683875344758E-3</v>
      </c>
      <c r="L169" s="16">
        <f t="shared" si="37"/>
        <v>0.13705449237993803</v>
      </c>
      <c r="M169" s="16">
        <f t="shared" si="38"/>
        <v>5.9375006643539487E-2</v>
      </c>
      <c r="N169" s="16">
        <f t="shared" si="39"/>
        <v>0.13616499447937916</v>
      </c>
      <c r="O169" s="16">
        <f t="shared" si="40"/>
        <v>-4.4602956995649624E-2</v>
      </c>
      <c r="R169" s="5">
        <f>IF($T$1, J169, -0.2)</f>
        <v>-0.2</v>
      </c>
    </row>
    <row r="170" spans="2:18" x14ac:dyDescent="0.3">
      <c r="B170" s="16">
        <v>0.13820224374546131</v>
      </c>
      <c r="C170" s="16">
        <f t="shared" si="32"/>
        <v>5.2175204464168429E-2</v>
      </c>
      <c r="D170" s="16">
        <f t="shared" si="28"/>
        <v>7.3724014980211675E-3</v>
      </c>
      <c r="E170" s="16">
        <f t="shared" si="29"/>
        <v>-8.5546770625887676E-3</v>
      </c>
      <c r="F170" s="16">
        <f t="shared" si="30"/>
        <v>-8.5544683875344758E-3</v>
      </c>
      <c r="G170" s="16" t="str">
        <f t="shared" si="33"/>
        <v xml:space="preserve"> </v>
      </c>
      <c r="H170" s="16" t="str">
        <f t="shared" si="34"/>
        <v xml:space="preserve"> </v>
      </c>
      <c r="I170" s="16" t="str">
        <f t="shared" si="35"/>
        <v xml:space="preserve"> </v>
      </c>
      <c r="J170" s="16">
        <f t="shared" si="31"/>
        <v>7.3724014980211675E-3</v>
      </c>
      <c r="K170" s="16">
        <f t="shared" si="36"/>
        <v>-8.5544683875344758E-3</v>
      </c>
      <c r="L170" s="16">
        <f t="shared" si="37"/>
        <v>0.13864856943901063</v>
      </c>
      <c r="M170" s="16">
        <f t="shared" si="38"/>
        <v>5.9545696911029719E-2</v>
      </c>
      <c r="N170" s="16">
        <f t="shared" si="39"/>
        <v>0.13775591805191198</v>
      </c>
      <c r="O170" s="16">
        <f t="shared" si="40"/>
        <v>-4.4800893914987386E-2</v>
      </c>
      <c r="R170" s="5">
        <f>IF($T$1, J170, -0.2)</f>
        <v>-0.2</v>
      </c>
    </row>
    <row r="171" spans="2:18" x14ac:dyDescent="0.3">
      <c r="B171" s="16">
        <v>0.13980328378189188</v>
      </c>
      <c r="C171" s="16">
        <f t="shared" si="32"/>
        <v>5.2357544464184107E-2</v>
      </c>
      <c r="D171" s="16">
        <f t="shared" si="28"/>
        <v>7.3587051175452289E-3</v>
      </c>
      <c r="E171" s="16">
        <f t="shared" si="29"/>
        <v>-8.5546770625887676E-3</v>
      </c>
      <c r="F171" s="16">
        <f t="shared" si="30"/>
        <v>-8.5544683875344758E-3</v>
      </c>
      <c r="G171" s="16" t="str">
        <f t="shared" si="33"/>
        <v xml:space="preserve"> </v>
      </c>
      <c r="H171" s="16" t="str">
        <f t="shared" si="34"/>
        <v xml:space="preserve"> </v>
      </c>
      <c r="I171" s="16" t="str">
        <f t="shared" si="35"/>
        <v xml:space="preserve"> </v>
      </c>
      <c r="J171" s="16">
        <f t="shared" si="31"/>
        <v>7.3587051175452289E-3</v>
      </c>
      <c r="K171" s="16">
        <f t="shared" si="36"/>
        <v>-8.5544683875344758E-3</v>
      </c>
      <c r="L171" s="16">
        <f t="shared" si="37"/>
        <v>0.14025116927818285</v>
      </c>
      <c r="M171" s="16">
        <f t="shared" si="38"/>
        <v>5.971433385888715E-2</v>
      </c>
      <c r="N171" s="16">
        <f t="shared" si="39"/>
        <v>0.13935539828560092</v>
      </c>
      <c r="O171" s="16">
        <f t="shared" si="40"/>
        <v>-4.4996923623796689E-2</v>
      </c>
      <c r="R171" s="5">
        <f>IF($T$1, J171, -0.2)</f>
        <v>-0.2</v>
      </c>
    </row>
    <row r="172" spans="2:18" x14ac:dyDescent="0.3">
      <c r="B172" s="16">
        <v>0.14141284767393503</v>
      </c>
      <c r="C172" s="16">
        <f t="shared" si="32"/>
        <v>5.2537896490500696E-2</v>
      </c>
      <c r="D172" s="16">
        <f t="shared" si="28"/>
        <v>7.3449358182371962E-3</v>
      </c>
      <c r="E172" s="16">
        <f t="shared" si="29"/>
        <v>-8.5546770625887676E-3</v>
      </c>
      <c r="F172" s="16">
        <f t="shared" si="30"/>
        <v>-8.5544683875344758E-3</v>
      </c>
      <c r="G172" s="16" t="str">
        <f t="shared" si="33"/>
        <v xml:space="preserve"> </v>
      </c>
      <c r="H172" s="16" t="str">
        <f t="shared" si="34"/>
        <v xml:space="preserve"> </v>
      </c>
      <c r="I172" s="16" t="str">
        <f t="shared" si="35"/>
        <v xml:space="preserve"> </v>
      </c>
      <c r="J172" s="16">
        <f t="shared" si="31"/>
        <v>7.3449358182371962E-3</v>
      </c>
      <c r="K172" s="16">
        <f t="shared" si="36"/>
        <v>-8.5544683875344758E-3</v>
      </c>
      <c r="L172" s="16">
        <f t="shared" si="37"/>
        <v>0.1418622759671169</v>
      </c>
      <c r="M172" s="16">
        <f t="shared" si="38"/>
        <v>5.988090998695185E-2</v>
      </c>
      <c r="N172" s="16">
        <f t="shared" si="39"/>
        <v>0.14096341938075316</v>
      </c>
      <c r="O172" s="16">
        <f t="shared" si="40"/>
        <v>-4.5191038350477455E-2</v>
      </c>
      <c r="R172" s="5">
        <f>IF($T$1, J172, -0.2)</f>
        <v>-0.2</v>
      </c>
    </row>
    <row r="173" spans="2:18" x14ac:dyDescent="0.3">
      <c r="B173" s="16">
        <v>0.143030919472111</v>
      </c>
      <c r="C173" s="16">
        <f t="shared" si="32"/>
        <v>5.2716252982247636E-2</v>
      </c>
      <c r="D173" s="16">
        <f t="shared" si="28"/>
        <v>7.3310937365397184E-3</v>
      </c>
      <c r="E173" s="16">
        <f t="shared" si="29"/>
        <v>-8.5546770625887676E-3</v>
      </c>
      <c r="F173" s="16">
        <f t="shared" si="30"/>
        <v>-8.5544683875344758E-3</v>
      </c>
      <c r="G173" s="16" t="str">
        <f t="shared" si="33"/>
        <v xml:space="preserve"> </v>
      </c>
      <c r="H173" s="16" t="str">
        <f t="shared" si="34"/>
        <v xml:space="preserve"> </v>
      </c>
      <c r="I173" s="16" t="str">
        <f t="shared" si="35"/>
        <v xml:space="preserve"> </v>
      </c>
      <c r="J173" s="16">
        <f t="shared" si="31"/>
        <v>7.3310937365397184E-3</v>
      </c>
      <c r="K173" s="16">
        <f t="shared" si="36"/>
        <v>-8.5544683875344758E-3</v>
      </c>
      <c r="L173" s="16">
        <f t="shared" si="37"/>
        <v>0.14348187349165456</v>
      </c>
      <c r="M173" s="16">
        <f t="shared" si="38"/>
        <v>6.0045417871072551E-2</v>
      </c>
      <c r="N173" s="16">
        <f t="shared" si="39"/>
        <v>0.14257996545256743</v>
      </c>
      <c r="O173" s="16">
        <f t="shared" si="40"/>
        <v>-4.5383230397993107E-2</v>
      </c>
      <c r="R173" s="5">
        <f>IF($T$1, J173, -0.2)</f>
        <v>-0.2</v>
      </c>
    </row>
    <row r="174" spans="2:18" x14ac:dyDescent="0.3">
      <c r="B174" s="16">
        <v>0.14465748314263338</v>
      </c>
      <c r="C174" s="16">
        <f t="shared" si="32"/>
        <v>5.2892606454996702E-2</v>
      </c>
      <c r="D174" s="16">
        <f t="shared" si="28"/>
        <v>7.3171790096166608E-3</v>
      </c>
      <c r="E174" s="16">
        <f t="shared" si="29"/>
        <v>-8.5546770625887676E-3</v>
      </c>
      <c r="F174" s="16">
        <f t="shared" si="30"/>
        <v>-8.5544683875344758E-3</v>
      </c>
      <c r="G174" s="16" t="str">
        <f t="shared" si="33"/>
        <v xml:space="preserve"> </v>
      </c>
      <c r="H174" s="16" t="str">
        <f t="shared" si="34"/>
        <v xml:space="preserve"> </v>
      </c>
      <c r="I174" s="16" t="str">
        <f t="shared" si="35"/>
        <v xml:space="preserve"> </v>
      </c>
      <c r="J174" s="16">
        <f t="shared" si="31"/>
        <v>7.3171790096166608E-3</v>
      </c>
      <c r="K174" s="16">
        <f t="shared" si="36"/>
        <v>-8.5544683875344758E-3</v>
      </c>
      <c r="L174" s="16">
        <f t="shared" si="37"/>
        <v>0.14510994575398492</v>
      </c>
      <c r="M174" s="16">
        <f t="shared" si="38"/>
        <v>6.0207850164258746E-2</v>
      </c>
      <c r="N174" s="16">
        <f t="shared" si="39"/>
        <v>0.14420502053128184</v>
      </c>
      <c r="O174" s="16">
        <f t="shared" si="40"/>
        <v>-4.5573492145025422E-2</v>
      </c>
      <c r="R174" s="5">
        <f>IF($T$1, J174, -0.2)</f>
        <v>-0.2</v>
      </c>
    </row>
    <row r="175" spans="2:18" x14ac:dyDescent="0.3">
      <c r="B175" s="16">
        <v>0.14629252256756808</v>
      </c>
      <c r="C175" s="16">
        <f t="shared" si="32"/>
        <v>5.3066949501900967E-2</v>
      </c>
      <c r="D175" s="16">
        <f t="shared" si="28"/>
        <v>7.3031917753517434E-3</v>
      </c>
      <c r="E175" s="16">
        <f t="shared" si="29"/>
        <v>-8.5546770625887676E-3</v>
      </c>
      <c r="F175" s="16">
        <f t="shared" si="30"/>
        <v>-8.5544683875344758E-3</v>
      </c>
      <c r="G175" s="16" t="str">
        <f t="shared" si="33"/>
        <v xml:space="preserve"> </v>
      </c>
      <c r="H175" s="16" t="str">
        <f t="shared" si="34"/>
        <v xml:space="preserve"> </v>
      </c>
      <c r="I175" s="16" t="str">
        <f t="shared" si="35"/>
        <v xml:space="preserve"> </v>
      </c>
      <c r="J175" s="16">
        <f t="shared" si="31"/>
        <v>7.3031917753517434E-3</v>
      </c>
      <c r="K175" s="16">
        <f t="shared" si="36"/>
        <v>-8.5544683875344758E-3</v>
      </c>
      <c r="L175" s="16">
        <f t="shared" si="37"/>
        <v>0.14674647657281303</v>
      </c>
      <c r="M175" s="16">
        <f t="shared" si="38"/>
        <v>6.036819959781823E-2</v>
      </c>
      <c r="N175" s="16">
        <f t="shared" si="39"/>
        <v>0.14583856856232313</v>
      </c>
      <c r="O175" s="16">
        <f t="shared" si="40"/>
        <v>-4.5761816047114746E-2</v>
      </c>
      <c r="R175" s="5">
        <f>IF($T$1, J175, -0.2)</f>
        <v>-0.2</v>
      </c>
    </row>
    <row r="176" spans="2:18" x14ac:dyDescent="0.3">
      <c r="B176" s="16">
        <v>0.14793602154499341</v>
      </c>
      <c r="C176" s="16">
        <f t="shared" si="32"/>
        <v>5.3239274794819207E-2</v>
      </c>
      <c r="D176" s="16">
        <f t="shared" si="28"/>
        <v>7.289132172347175E-3</v>
      </c>
      <c r="E176" s="16">
        <f t="shared" si="29"/>
        <v>-8.5546770625887676E-3</v>
      </c>
      <c r="F176" s="16">
        <f t="shared" si="30"/>
        <v>-8.5544683875344758E-3</v>
      </c>
      <c r="G176" s="16" t="str">
        <f t="shared" si="33"/>
        <v xml:space="preserve"> </v>
      </c>
      <c r="H176" s="16" t="str">
        <f t="shared" si="34"/>
        <v xml:space="preserve"> </v>
      </c>
      <c r="I176" s="16" t="str">
        <f t="shared" si="35"/>
        <v xml:space="preserve"> </v>
      </c>
      <c r="J176" s="16">
        <f t="shared" si="31"/>
        <v>7.289132172347175E-3</v>
      </c>
      <c r="K176" s="16">
        <f t="shared" si="36"/>
        <v>-8.5544683875344758E-3</v>
      </c>
      <c r="L176" s="16">
        <f t="shared" si="37"/>
        <v>0.1483914496835296</v>
      </c>
      <c r="M176" s="16">
        <f t="shared" si="38"/>
        <v>6.052645898248013E-2</v>
      </c>
      <c r="N176" s="16">
        <f t="shared" si="39"/>
        <v>0.14748059340645722</v>
      </c>
      <c r="O176" s="16">
        <f t="shared" si="40"/>
        <v>-4.594819463778578E-2</v>
      </c>
      <c r="R176" s="5">
        <f>IF($T$1, J176, -0.2)</f>
        <v>-0.2</v>
      </c>
    </row>
    <row r="177" spans="2:18" x14ac:dyDescent="0.3">
      <c r="B177" s="16">
        <v>0.14958796378916006</v>
      </c>
      <c r="C177" s="16">
        <f t="shared" si="32"/>
        <v>5.3409575085425036E-2</v>
      </c>
      <c r="D177" s="16">
        <f t="shared" si="28"/>
        <v>7.2750003399222806E-3</v>
      </c>
      <c r="E177" s="16">
        <f t="shared" si="29"/>
        <v>-8.5546770625887676E-3</v>
      </c>
      <c r="F177" s="16">
        <f t="shared" si="30"/>
        <v>-8.5544683875344758E-3</v>
      </c>
      <c r="G177" s="16" t="str">
        <f t="shared" si="33"/>
        <v xml:space="preserve"> </v>
      </c>
      <c r="H177" s="16" t="str">
        <f t="shared" si="34"/>
        <v xml:space="preserve"> </v>
      </c>
      <c r="I177" s="16" t="str">
        <f t="shared" si="35"/>
        <v xml:space="preserve"> </v>
      </c>
      <c r="J177" s="16">
        <f t="shared" si="31"/>
        <v>7.2750003399222806E-3</v>
      </c>
      <c r="K177" s="16">
        <f t="shared" si="36"/>
        <v>-8.5544683875344758E-3</v>
      </c>
      <c r="L177" s="16">
        <f t="shared" si="37"/>
        <v>0.1500448487383805</v>
      </c>
      <c r="M177" s="16">
        <f t="shared" si="38"/>
        <v>6.0682621209502595E-2</v>
      </c>
      <c r="N177" s="16">
        <f t="shared" si="39"/>
        <v>0.14913107883993962</v>
      </c>
      <c r="O177" s="16">
        <f t="shared" si="40"/>
        <v>-4.6132620529658032E-2</v>
      </c>
      <c r="R177" s="5">
        <f>IF($T$1, J177, -0.2)</f>
        <v>-0.2</v>
      </c>
    </row>
    <row r="178" spans="2:18" x14ac:dyDescent="0.3">
      <c r="B178" s="16">
        <v>0.15124833293065298</v>
      </c>
      <c r="C178" s="16">
        <f t="shared" si="32"/>
        <v>5.3577843206301323E-2</v>
      </c>
      <c r="D178" s="16">
        <f t="shared" si="28"/>
        <v>7.2607964181121212E-3</v>
      </c>
      <c r="E178" s="16">
        <f t="shared" si="29"/>
        <v>-8.5546770625887676E-3</v>
      </c>
      <c r="F178" s="16">
        <f t="shared" si="30"/>
        <v>-8.5544683875344758E-3</v>
      </c>
      <c r="G178" s="16" t="str">
        <f t="shared" si="33"/>
        <v xml:space="preserve"> </v>
      </c>
      <c r="H178" s="16" t="str">
        <f t="shared" si="34"/>
        <v xml:space="preserve"> </v>
      </c>
      <c r="I178" s="16" t="str">
        <f t="shared" si="35"/>
        <v xml:space="preserve"> </v>
      </c>
      <c r="J178" s="16">
        <f t="shared" si="31"/>
        <v>7.2607964181121212E-3</v>
      </c>
      <c r="K178" s="16">
        <f t="shared" si="36"/>
        <v>-8.5544683875344758E-3</v>
      </c>
      <c r="L178" s="16">
        <f t="shared" si="37"/>
        <v>0.15170665730663799</v>
      </c>
      <c r="M178" s="16">
        <f t="shared" si="38"/>
        <v>6.08366792517658E-2</v>
      </c>
      <c r="N178" s="16">
        <f t="shared" si="39"/>
        <v>0.15079000855466798</v>
      </c>
      <c r="O178" s="16">
        <f t="shared" si="40"/>
        <v>-4.6315086415541558E-2</v>
      </c>
      <c r="R178" s="5">
        <f>IF($T$1, J178, -0.2)</f>
        <v>-0.2</v>
      </c>
    </row>
    <row r="179" spans="2:18" x14ac:dyDescent="0.3">
      <c r="B179" s="16">
        <v>0.15291711251655316</v>
      </c>
      <c r="C179" s="16">
        <f t="shared" si="32"/>
        <v>5.3744072072018811E-2</v>
      </c>
      <c r="D179" s="16">
        <f t="shared" si="28"/>
        <v>7.2465205476661045E-3</v>
      </c>
      <c r="E179" s="16">
        <f t="shared" si="29"/>
        <v>-8.5546770625887676E-3</v>
      </c>
      <c r="F179" s="16">
        <f t="shared" si="30"/>
        <v>-8.5544683875344758E-3</v>
      </c>
      <c r="G179" s="16" t="str">
        <f t="shared" si="33"/>
        <v xml:space="preserve"> </v>
      </c>
      <c r="H179" s="16" t="str">
        <f t="shared" si="34"/>
        <v xml:space="preserve"> </v>
      </c>
      <c r="I179" s="16" t="str">
        <f t="shared" si="35"/>
        <v xml:space="preserve"> </v>
      </c>
      <c r="J179" s="16">
        <f t="shared" si="31"/>
        <v>7.2465205476661045E-3</v>
      </c>
      <c r="K179" s="16">
        <f t="shared" si="36"/>
        <v>-8.5544683875344758E-3</v>
      </c>
      <c r="L179" s="16">
        <f t="shared" si="37"/>
        <v>0.1533768588747717</v>
      </c>
      <c r="M179" s="16">
        <f t="shared" si="38"/>
        <v>6.0988626164849152E-2</v>
      </c>
      <c r="N179" s="16">
        <f t="shared" si="39"/>
        <v>0.15245736615833461</v>
      </c>
      <c r="O179" s="16">
        <f t="shared" si="40"/>
        <v>-4.649558506951694E-2</v>
      </c>
      <c r="R179" s="5">
        <f>IF($T$1, J179, -0.2)</f>
        <v>-0.2</v>
      </c>
    </row>
    <row r="180" spans="2:18" x14ac:dyDescent="0.3">
      <c r="B180" s="16">
        <v>0.15459428601060099</v>
      </c>
      <c r="C180" s="16">
        <f t="shared" si="32"/>
        <v>5.3908254680199642E-2</v>
      </c>
      <c r="D180" s="16">
        <f t="shared" si="28"/>
        <v>7.2321728700465914E-3</v>
      </c>
      <c r="E180" s="16">
        <f t="shared" si="29"/>
        <v>-8.5546770625887676E-3</v>
      </c>
      <c r="F180" s="16">
        <f t="shared" si="30"/>
        <v>-8.5544683875344758E-3</v>
      </c>
      <c r="G180" s="16" t="str">
        <f t="shared" si="33"/>
        <v xml:space="preserve"> </v>
      </c>
      <c r="H180" s="16" t="str">
        <f t="shared" si="34"/>
        <v xml:space="preserve"> </v>
      </c>
      <c r="I180" s="16" t="str">
        <f t="shared" si="35"/>
        <v xml:space="preserve"> </v>
      </c>
      <c r="J180" s="16">
        <f t="shared" si="31"/>
        <v>7.2321728700465914E-3</v>
      </c>
      <c r="K180" s="16">
        <f t="shared" si="36"/>
        <v>-8.5544683875344758E-3</v>
      </c>
      <c r="L180" s="16">
        <f t="shared" si="37"/>
        <v>0.15505543684662115</v>
      </c>
      <c r="M180" s="16">
        <f t="shared" si="38"/>
        <v>6.1138455088093353E-2</v>
      </c>
      <c r="N180" s="16">
        <f t="shared" si="39"/>
        <v>0.15413313517458083</v>
      </c>
      <c r="O180" s="16">
        <f t="shared" si="40"/>
        <v>-4.6674109348000169E-2</v>
      </c>
      <c r="R180" s="5">
        <f>IF($T$1, J180, -0.2)</f>
        <v>-0.2</v>
      </c>
    </row>
    <row r="181" spans="2:18" x14ac:dyDescent="0.3">
      <c r="B181" s="16">
        <v>0.15627983679335988</v>
      </c>
      <c r="C181" s="16">
        <f t="shared" si="32"/>
        <v>5.4070384112564644E-2</v>
      </c>
      <c r="D181" s="16">
        <f t="shared" si="28"/>
        <v>7.2177535274274953E-3</v>
      </c>
      <c r="E181" s="16">
        <f t="shared" si="29"/>
        <v>-8.5546770625887676E-3</v>
      </c>
      <c r="F181" s="16">
        <f t="shared" si="30"/>
        <v>-8.5544683875344758E-3</v>
      </c>
      <c r="G181" s="16" t="str">
        <f t="shared" si="33"/>
        <v xml:space="preserve"> </v>
      </c>
      <c r="H181" s="16" t="str">
        <f t="shared" si="34"/>
        <v xml:space="preserve"> </v>
      </c>
      <c r="I181" s="16" t="str">
        <f t="shared" si="35"/>
        <v xml:space="preserve"> </v>
      </c>
      <c r="J181" s="16">
        <f t="shared" si="31"/>
        <v>7.2177535274274953E-3</v>
      </c>
      <c r="K181" s="16">
        <f t="shared" si="36"/>
        <v>-8.5544683875344758E-3</v>
      </c>
      <c r="L181" s="16">
        <f t="shared" si="37"/>
        <v>0.15674237454356826</v>
      </c>
      <c r="M181" s="16">
        <f t="shared" si="38"/>
        <v>6.1286159245646295E-2</v>
      </c>
      <c r="N181" s="16">
        <f t="shared" si="39"/>
        <v>0.1558172990431515</v>
      </c>
      <c r="O181" s="16">
        <f t="shared" si="40"/>
        <v>-4.6850652190791299E-2</v>
      </c>
      <c r="R181" s="5">
        <f>IF($T$1, J181, -0.2)</f>
        <v>-0.2</v>
      </c>
    </row>
    <row r="182" spans="2:18" x14ac:dyDescent="0.3">
      <c r="B182" s="16">
        <v>0.15797374816238119</v>
      </c>
      <c r="C182" s="16">
        <f t="shared" si="32"/>
        <v>5.423045353596509E-2</v>
      </c>
      <c r="D182" s="16">
        <f t="shared" si="28"/>
        <v>7.2032626626928704E-3</v>
      </c>
      <c r="E182" s="16">
        <f t="shared" si="29"/>
        <v>-8.5546770625887676E-3</v>
      </c>
      <c r="F182" s="16">
        <f t="shared" si="30"/>
        <v>-8.5544683875344758E-3</v>
      </c>
      <c r="G182" s="16" t="str">
        <f t="shared" si="33"/>
        <v xml:space="preserve"> </v>
      </c>
      <c r="H182" s="16" t="str">
        <f t="shared" si="34"/>
        <v xml:space="preserve"> </v>
      </c>
      <c r="I182" s="16" t="str">
        <f t="shared" si="35"/>
        <v xml:space="preserve"> </v>
      </c>
      <c r="J182" s="16">
        <f t="shared" si="31"/>
        <v>7.2032626626928704E-3</v>
      </c>
      <c r="K182" s="16">
        <f t="shared" si="36"/>
        <v>-8.5544683875344758E-3</v>
      </c>
      <c r="L182" s="16">
        <f t="shared" si="37"/>
        <v>0.15843765520471118</v>
      </c>
      <c r="M182" s="16">
        <f t="shared" si="38"/>
        <v>6.1431731947493316E-2</v>
      </c>
      <c r="N182" s="16">
        <f t="shared" si="39"/>
        <v>0.1575098411200512</v>
      </c>
      <c r="O182" s="16">
        <f t="shared" si="40"/>
        <v>-4.7025206622107581E-2</v>
      </c>
      <c r="R182" s="5">
        <f>IF($T$1, J182, -0.2)</f>
        <v>-0.2</v>
      </c>
    </row>
    <row r="183" spans="2:18" x14ac:dyDescent="0.3">
      <c r="B183" s="16">
        <v>0.15967600333236964</v>
      </c>
      <c r="C183" s="16">
        <f t="shared" si="32"/>
        <v>5.4388456203397988E-2</v>
      </c>
      <c r="D183" s="16">
        <f t="shared" si="28"/>
        <v>7.1887004194354977E-3</v>
      </c>
      <c r="E183" s="16">
        <f t="shared" si="29"/>
        <v>-8.5546770625887676E-3</v>
      </c>
      <c r="F183" s="16">
        <f t="shared" si="30"/>
        <v>-8.5544683875344758E-3</v>
      </c>
      <c r="G183" s="16" t="str">
        <f t="shared" si="33"/>
        <v xml:space="preserve"> </v>
      </c>
      <c r="H183" s="16" t="str">
        <f t="shared" si="34"/>
        <v xml:space="preserve"> </v>
      </c>
      <c r="I183" s="16" t="str">
        <f t="shared" si="35"/>
        <v xml:space="preserve"> </v>
      </c>
      <c r="J183" s="16">
        <f t="shared" si="31"/>
        <v>7.1887004194354977E-3</v>
      </c>
      <c r="K183" s="16">
        <f t="shared" si="36"/>
        <v>-8.5544683875344758E-3</v>
      </c>
      <c r="L183" s="16">
        <f t="shared" si="37"/>
        <v>0.16014126198703826</v>
      </c>
      <c r="M183" s="16">
        <f t="shared" si="38"/>
        <v>6.1575166590471075E-2</v>
      </c>
      <c r="N183" s="16">
        <f t="shared" si="39"/>
        <v>0.15921074467770102</v>
      </c>
      <c r="O183" s="16">
        <f t="shared" si="40"/>
        <v>-4.7197765751600076E-2</v>
      </c>
      <c r="R183" s="5">
        <f>IF($T$1, J183, -0.2)</f>
        <v>-0.2</v>
      </c>
    </row>
    <row r="184" spans="2:18" x14ac:dyDescent="0.3">
      <c r="B184" s="16">
        <v>0.16138658543534967</v>
      </c>
      <c r="C184" s="16">
        <f t="shared" si="32"/>
        <v>5.4544385455005187E-2</v>
      </c>
      <c r="D184" s="16">
        <f t="shared" si="28"/>
        <v>7.1740669419554596E-3</v>
      </c>
      <c r="E184" s="16">
        <f t="shared" si="29"/>
        <v>-8.5546770625887676E-3</v>
      </c>
      <c r="F184" s="16">
        <f t="shared" si="30"/>
        <v>-8.5544683875344758E-3</v>
      </c>
      <c r="G184" s="16" t="str">
        <f t="shared" si="33"/>
        <v xml:space="preserve"> </v>
      </c>
      <c r="H184" s="16" t="str">
        <f t="shared" si="34"/>
        <v xml:space="preserve"> </v>
      </c>
      <c r="I184" s="16" t="str">
        <f t="shared" si="35"/>
        <v xml:space="preserve"> </v>
      </c>
      <c r="J184" s="16">
        <f t="shared" si="31"/>
        <v>7.1740669419554596E-3</v>
      </c>
      <c r="K184" s="16">
        <f t="shared" si="36"/>
        <v>-8.5544683875344758E-3</v>
      </c>
      <c r="L184" s="16">
        <f t="shared" si="37"/>
        <v>0.16185317796560311</v>
      </c>
      <c r="M184" s="16">
        <f t="shared" si="38"/>
        <v>6.171645665926518E-2</v>
      </c>
      <c r="N184" s="16">
        <f t="shared" si="39"/>
        <v>0.16091999290509623</v>
      </c>
      <c r="O184" s="16">
        <f t="shared" si="40"/>
        <v>-4.7368322775354264E-2</v>
      </c>
      <c r="R184" s="5">
        <f>IF($T$1, J184, -0.2)</f>
        <v>-0.2</v>
      </c>
    </row>
    <row r="185" spans="2:18" x14ac:dyDescent="0.3">
      <c r="B185" s="16">
        <v>0.16310547752083215</v>
      </c>
      <c r="C185" s="16">
        <f t="shared" si="32"/>
        <v>5.4698234719055792E-2</v>
      </c>
      <c r="D185" s="16">
        <f t="shared" si="28"/>
        <v>7.1593623752587172E-3</v>
      </c>
      <c r="E185" s="16">
        <f t="shared" si="29"/>
        <v>-8.5546770625887676E-3</v>
      </c>
      <c r="F185" s="16">
        <f t="shared" si="30"/>
        <v>-8.5544683875344758E-3</v>
      </c>
      <c r="G185" s="16" t="str">
        <f t="shared" si="33"/>
        <v xml:space="preserve"> </v>
      </c>
      <c r="H185" s="16" t="str">
        <f t="shared" si="34"/>
        <v xml:space="preserve"> </v>
      </c>
      <c r="I185" s="16" t="str">
        <f t="shared" si="35"/>
        <v xml:space="preserve"> </v>
      </c>
      <c r="J185" s="16">
        <f t="shared" si="31"/>
        <v>7.1593623752587172E-3</v>
      </c>
      <c r="K185" s="16">
        <f t="shared" si="36"/>
        <v>-8.5544683875344758E-3</v>
      </c>
      <c r="L185" s="16">
        <f t="shared" si="37"/>
        <v>0.16357338613369965</v>
      </c>
      <c r="M185" s="16">
        <f t="shared" si="38"/>
        <v>6.1855595727391154E-2</v>
      </c>
      <c r="N185" s="16">
        <f t="shared" si="39"/>
        <v>0.16263756890796466</v>
      </c>
      <c r="O185" s="16">
        <f t="shared" si="40"/>
        <v>-4.7536870976873723E-2</v>
      </c>
      <c r="R185" s="5">
        <f>IF($T$1, J185, -0.2)</f>
        <v>-0.2</v>
      </c>
    </row>
    <row r="186" spans="2:18" x14ac:dyDescent="0.3">
      <c r="B186" s="16">
        <v>0.16483266255598328</v>
      </c>
      <c r="C186" s="16">
        <f t="shared" si="32"/>
        <v>5.4849997512912078E-2</v>
      </c>
      <c r="D186" s="16">
        <f t="shared" si="28"/>
        <v>7.144586865055663E-3</v>
      </c>
      <c r="E186" s="16">
        <f t="shared" si="29"/>
        <v>-8.5546770625887676E-3</v>
      </c>
      <c r="F186" s="16">
        <f t="shared" si="30"/>
        <v>-8.5544683875344758E-3</v>
      </c>
      <c r="G186" s="16" t="str">
        <f t="shared" si="33"/>
        <v xml:space="preserve"> </v>
      </c>
      <c r="H186" s="16" t="str">
        <f t="shared" si="34"/>
        <v xml:space="preserve"> </v>
      </c>
      <c r="I186" s="16" t="str">
        <f t="shared" si="35"/>
        <v xml:space="preserve"> </v>
      </c>
      <c r="J186" s="16">
        <f t="shared" si="31"/>
        <v>7.144586865055663E-3</v>
      </c>
      <c r="K186" s="16">
        <f t="shared" si="36"/>
        <v>-8.5544683875344758E-3</v>
      </c>
      <c r="L186" s="16">
        <f t="shared" si="37"/>
        <v>0.16530186940303918</v>
      </c>
      <c r="M186" s="16">
        <f t="shared" si="38"/>
        <v>6.1992577458158858E-2</v>
      </c>
      <c r="N186" s="16">
        <f t="shared" si="39"/>
        <v>0.16436345570892738</v>
      </c>
      <c r="O186" s="16">
        <f t="shared" si="40"/>
        <v>-4.7703403728047537E-2</v>
      </c>
      <c r="R186" s="5">
        <f>IF($T$1, J186, -0.2)</f>
        <v>-0.2</v>
      </c>
    </row>
    <row r="187" spans="2:18" x14ac:dyDescent="0.3">
      <c r="B187" s="16">
        <v>0.1665681234257923</v>
      </c>
      <c r="C187" s="16">
        <f t="shared" si="32"/>
        <v>5.4999667443978141E-2</v>
      </c>
      <c r="D187" s="16">
        <f t="shared" si="28"/>
        <v>7.1297405577596873E-3</v>
      </c>
      <c r="E187" s="16">
        <f t="shared" si="29"/>
        <v>-8.5546770625887676E-3</v>
      </c>
      <c r="F187" s="16">
        <f t="shared" si="30"/>
        <v>-8.5544683875344758E-3</v>
      </c>
      <c r="G187" s="16" t="str">
        <f t="shared" si="33"/>
        <v xml:space="preserve"> </v>
      </c>
      <c r="H187" s="16" t="str">
        <f t="shared" si="34"/>
        <v xml:space="preserve"> </v>
      </c>
      <c r="I187" s="16" t="str">
        <f t="shared" si="35"/>
        <v xml:space="preserve"> </v>
      </c>
      <c r="J187" s="16">
        <f t="shared" si="31"/>
        <v>7.1297405577596873E-3</v>
      </c>
      <c r="K187" s="16">
        <f t="shared" si="36"/>
        <v>-8.5544683875344758E-3</v>
      </c>
      <c r="L187" s="16">
        <f t="shared" si="37"/>
        <v>0.16703861060392641</v>
      </c>
      <c r="M187" s="16">
        <f t="shared" si="38"/>
        <v>6.2127395605619688E-2</v>
      </c>
      <c r="N187" s="16">
        <f t="shared" si="39"/>
        <v>0.16609763624765819</v>
      </c>
      <c r="O187" s="16">
        <f t="shared" si="40"/>
        <v>-4.7867914490100312E-2</v>
      </c>
      <c r="R187" s="5">
        <f>IF($T$1, J187, -0.2)</f>
        <v>-0.2</v>
      </c>
    </row>
    <row r="188" spans="2:18" x14ac:dyDescent="0.3">
      <c r="B188" s="16">
        <v>0.16831184293324197</v>
      </c>
      <c r="C188" s="16">
        <f t="shared" si="32"/>
        <v>5.5147238210631756E-2</v>
      </c>
      <c r="D188" s="16">
        <f t="shared" si="28"/>
        <v>7.1148236004857195E-3</v>
      </c>
      <c r="E188" s="16">
        <f t="shared" si="29"/>
        <v>-8.5546770625887676E-3</v>
      </c>
      <c r="F188" s="16">
        <f t="shared" si="30"/>
        <v>-8.5544683875344758E-3</v>
      </c>
      <c r="G188" s="16" t="str">
        <f t="shared" si="33"/>
        <v xml:space="preserve"> </v>
      </c>
      <c r="H188" s="16" t="str">
        <f t="shared" si="34"/>
        <v xml:space="preserve"> </v>
      </c>
      <c r="I188" s="16" t="str">
        <f t="shared" si="35"/>
        <v xml:space="preserve"> </v>
      </c>
      <c r="J188" s="16">
        <f t="shared" si="31"/>
        <v>7.1148236004857195E-3</v>
      </c>
      <c r="K188" s="16">
        <f t="shared" si="36"/>
        <v>-8.5544683875344758E-3</v>
      </c>
      <c r="L188" s="16">
        <f t="shared" si="37"/>
        <v>0.16878359248543767</v>
      </c>
      <c r="M188" s="16">
        <f t="shared" si="38"/>
        <v>6.226004401549691E-2</v>
      </c>
      <c r="N188" s="16">
        <f t="shared" si="39"/>
        <v>0.16784009338104627</v>
      </c>
      <c r="O188" s="16">
        <f t="shared" si="40"/>
        <v>-4.8030396814525464E-2</v>
      </c>
      <c r="R188" s="5">
        <f>IF($T$1, J188, -0.2)</f>
        <v>-0.2</v>
      </c>
    </row>
    <row r="189" spans="2:18" x14ac:dyDescent="0.3">
      <c r="B189" s="16">
        <v>0.17006380379947839</v>
      </c>
      <c r="C189" s="16">
        <f t="shared" si="32"/>
        <v>5.5292703603138794E-2</v>
      </c>
      <c r="D189" s="16">
        <f t="shared" si="28"/>
        <v>7.0998361410487733E-3</v>
      </c>
      <c r="E189" s="16">
        <f t="shared" si="29"/>
        <v>-8.5546770625887676E-3</v>
      </c>
      <c r="F189" s="16">
        <f t="shared" si="30"/>
        <v>-8.5544683875344758E-3</v>
      </c>
      <c r="G189" s="16" t="str">
        <f t="shared" si="33"/>
        <v xml:space="preserve"> </v>
      </c>
      <c r="H189" s="16" t="str">
        <f t="shared" si="34"/>
        <v xml:space="preserve"> </v>
      </c>
      <c r="I189" s="16" t="str">
        <f t="shared" si="35"/>
        <v xml:space="preserve"> </v>
      </c>
      <c r="J189" s="16">
        <f t="shared" si="31"/>
        <v>7.0998361410487733E-3</v>
      </c>
      <c r="K189" s="16">
        <f t="shared" si="36"/>
        <v>-8.5544683875344758E-3</v>
      </c>
      <c r="L189" s="16">
        <f t="shared" si="37"/>
        <v>0.17053679771559876</v>
      </c>
      <c r="M189" s="16">
        <f t="shared" si="38"/>
        <v>6.2390516626098617E-2</v>
      </c>
      <c r="N189" s="16">
        <f t="shared" si="39"/>
        <v>0.16959080988335801</v>
      </c>
      <c r="O189" s="16">
        <f t="shared" si="40"/>
        <v>-4.8190844344001067E-2</v>
      </c>
      <c r="R189" s="5">
        <f>IF($T$1, J189, -0.2)</f>
        <v>-0.2</v>
      </c>
    </row>
    <row r="190" spans="2:18" x14ac:dyDescent="0.3">
      <c r="B190" s="16">
        <v>0.17182398866398252</v>
      </c>
      <c r="C190" s="16">
        <f t="shared" si="32"/>
        <v>5.5436057504550183E-2</v>
      </c>
      <c r="D190" s="16">
        <f t="shared" si="28"/>
        <v>7.0847783279624843E-3</v>
      </c>
      <c r="E190" s="16">
        <f t="shared" si="29"/>
        <v>-8.5546770625887676E-3</v>
      </c>
      <c r="F190" s="16">
        <f t="shared" si="30"/>
        <v>-8.5544683875344758E-3</v>
      </c>
      <c r="G190" s="16" t="str">
        <f t="shared" si="33"/>
        <v xml:space="preserve"> </v>
      </c>
      <c r="H190" s="16" t="str">
        <f t="shared" si="34"/>
        <v xml:space="preserve"> </v>
      </c>
      <c r="I190" s="16" t="str">
        <f t="shared" si="35"/>
        <v xml:space="preserve"> </v>
      </c>
      <c r="J190" s="16">
        <f t="shared" si="31"/>
        <v>7.0847783279624843E-3</v>
      </c>
      <c r="K190" s="16">
        <f t="shared" si="36"/>
        <v>-8.5544683875344758E-3</v>
      </c>
      <c r="L190" s="16">
        <f t="shared" si="37"/>
        <v>0.17229820888156405</v>
      </c>
      <c r="M190" s="16">
        <f t="shared" si="38"/>
        <v>6.2518807469213192E-2</v>
      </c>
      <c r="N190" s="16">
        <f t="shared" si="39"/>
        <v>0.17134976844640099</v>
      </c>
      <c r="O190" s="16">
        <f t="shared" si="40"/>
        <v>-4.8349250813288218E-2</v>
      </c>
      <c r="R190" s="5">
        <f>IF($T$1, J190, -0.2)</f>
        <v>-0.2</v>
      </c>
    </row>
    <row r="191" spans="2:18" x14ac:dyDescent="0.3">
      <c r="B191" s="16">
        <v>0.1735923800847422</v>
      </c>
      <c r="C191" s="16">
        <f t="shared" si="32"/>
        <v>5.5577293891581218E-2</v>
      </c>
      <c r="D191" s="16">
        <f t="shared" si="28"/>
        <v>7.0696503104376324E-3</v>
      </c>
      <c r="E191" s="16">
        <f t="shared" si="29"/>
        <v>-8.5546770625887676E-3</v>
      </c>
      <c r="F191" s="16">
        <f t="shared" si="30"/>
        <v>-8.5544683875344758E-3</v>
      </c>
      <c r="G191" s="16" t="str">
        <f t="shared" si="33"/>
        <v xml:space="preserve"> </v>
      </c>
      <c r="H191" s="16" t="str">
        <f t="shared" si="34"/>
        <v xml:space="preserve"> </v>
      </c>
      <c r="I191" s="16" t="str">
        <f t="shared" si="35"/>
        <v xml:space="preserve"> </v>
      </c>
      <c r="J191" s="16">
        <f t="shared" si="31"/>
        <v>7.0696503104376324E-3</v>
      </c>
      <c r="K191" s="16">
        <f t="shared" si="36"/>
        <v>-8.5544683875344758E-3</v>
      </c>
      <c r="L191" s="16">
        <f t="shared" si="37"/>
        <v>0.174067808489796</v>
      </c>
      <c r="M191" s="16">
        <f t="shared" si="38"/>
        <v>6.2644910670987083E-2</v>
      </c>
      <c r="N191" s="16">
        <f t="shared" si="39"/>
        <v>0.17311695167968841</v>
      </c>
      <c r="O191" s="16">
        <f t="shared" si="40"/>
        <v>-4.8505610050111822E-2</v>
      </c>
      <c r="R191" s="5">
        <f>IF($T$1, J191, -0.2)</f>
        <v>-0.2</v>
      </c>
    </row>
    <row r="192" spans="2:18" x14ac:dyDescent="0.3">
      <c r="B192" s="16">
        <v>0.17536896053842488</v>
      </c>
      <c r="C192" s="16">
        <f t="shared" si="32"/>
        <v>5.5716406835473194E-2</v>
      </c>
      <c r="D192" s="16">
        <f t="shared" si="28"/>
        <v>7.0544522383806695E-3</v>
      </c>
      <c r="E192" s="16">
        <f t="shared" si="29"/>
        <v>-8.5546770625887676E-3</v>
      </c>
      <c r="F192" s="16">
        <f t="shared" si="30"/>
        <v>-8.5544683875344758E-3</v>
      </c>
      <c r="G192" s="16" t="str">
        <f t="shared" si="33"/>
        <v xml:space="preserve"> </v>
      </c>
      <c r="H192" s="16" t="str">
        <f t="shared" si="34"/>
        <v xml:space="preserve"> </v>
      </c>
      <c r="I192" s="16" t="str">
        <f t="shared" si="35"/>
        <v xml:space="preserve"> </v>
      </c>
      <c r="J192" s="16">
        <f t="shared" si="31"/>
        <v>7.0544522383806695E-3</v>
      </c>
      <c r="K192" s="16">
        <f t="shared" si="36"/>
        <v>-8.5544683875344758E-3</v>
      </c>
      <c r="L192" s="16">
        <f t="shared" si="37"/>
        <v>0.17584557896624528</v>
      </c>
      <c r="M192" s="16">
        <f t="shared" si="38"/>
        <v>6.2768820452784993E-2</v>
      </c>
      <c r="N192" s="16">
        <f t="shared" si="39"/>
        <v>0.17489234211060448</v>
      </c>
      <c r="O192" s="16">
        <f t="shared" si="40"/>
        <v>-4.8659915976023649E-2</v>
      </c>
      <c r="R192" s="5">
        <f>IF($T$1, J192, -0.2)</f>
        <v>-0.2</v>
      </c>
    </row>
    <row r="193" spans="2:18" x14ac:dyDescent="0.3">
      <c r="B193" s="16">
        <v>0.17715371242055111</v>
      </c>
      <c r="C193" s="16">
        <f t="shared" si="32"/>
        <v>5.5853390502836747E-2</v>
      </c>
      <c r="D193" s="16">
        <f t="shared" ref="D193:D256" si="41">IF($Q$1=1, IF(B193&lt;$A$8, ($A$10/6)*((B193^3)-3*$A$8*(B193^2)+($A$8^2)*(3-$A$8)*B193), (($A$10*($A$8^3))/6)*(1-B193)), " ")</f>
        <v>7.0391842623922325E-3</v>
      </c>
      <c r="E193" s="16">
        <f t="shared" ref="E193:E256" si="42">IF($Q$1=1,IF(B193&lt;$A$8, ($A$10/6)*(3*(B193^2)-6*$A$8*B193+($A$8^2)*(3-$A$8)), -($A$10*($A$8^3))/6), " ")</f>
        <v>-8.5546770625887676E-3</v>
      </c>
      <c r="F193" s="16">
        <f t="shared" ref="F193:F256" si="43">IF($Q$1=1, ATAN(E193), " ")</f>
        <v>-8.5544683875344758E-3</v>
      </c>
      <c r="G193" s="16" t="str">
        <f t="shared" si="33"/>
        <v xml:space="preserve"> </v>
      </c>
      <c r="H193" s="16" t="str">
        <f t="shared" si="34"/>
        <v xml:space="preserve"> </v>
      </c>
      <c r="I193" s="16" t="str">
        <f t="shared" si="35"/>
        <v xml:space="preserve"> </v>
      </c>
      <c r="J193" s="16">
        <f t="shared" ref="J193:J256" si="44">IF($Q$1=1, D193, G193)</f>
        <v>7.0391842623922325E-3</v>
      </c>
      <c r="K193" s="16">
        <f t="shared" si="36"/>
        <v>-8.5544683875344758E-3</v>
      </c>
      <c r="L193" s="16">
        <f t="shared" si="37"/>
        <v>0.17763150265653149</v>
      </c>
      <c r="M193" s="16">
        <f t="shared" si="38"/>
        <v>6.2890531132031607E-2</v>
      </c>
      <c r="N193" s="16">
        <f t="shared" si="39"/>
        <v>0.17667592218457073</v>
      </c>
      <c r="O193" s="16">
        <f t="shared" si="40"/>
        <v>-4.8812162607247148E-2</v>
      </c>
      <c r="R193" s="5">
        <f>IF($T$1, J193, -0.2)</f>
        <v>-0.2</v>
      </c>
    </row>
    <row r="194" spans="2:18" x14ac:dyDescent="0.3">
      <c r="B194" s="16">
        <v>0.17894661804566958</v>
      </c>
      <c r="C194" s="16">
        <f t="shared" ref="C194:C257" si="45">IF(AND($Q$1=2, $A$3=1), 0, 5*($A$4/100)*(0.2969*SQRT(B194)-0.126*B194-0.3516*(B194^2)+0.2843*(B194^3)-0.1015*(B194^4)))</f>
        <v>5.5988239156477521E-2</v>
      </c>
      <c r="D194" s="16">
        <f t="shared" si="41"/>
        <v>7.0238465337656448E-3</v>
      </c>
      <c r="E194" s="16">
        <f t="shared" si="42"/>
        <v>-8.5546770625887676E-3</v>
      </c>
      <c r="F194" s="16">
        <f t="shared" si="43"/>
        <v>-8.5544683875344758E-3</v>
      </c>
      <c r="G194" s="16" t="str">
        <f t="shared" ref="G194:G257" si="46">IF($Q$1=2, IF(A196&lt;&gt;1, IF(B194&lt;$A$11, ($A$12/6)*((B194-$A$11)^3-$A$13*((1-$A$11)^3)*B194-($A$11^3)*B194+$A$11^3), ($A$12/6)*($A$13*(B194-$A$11)^3-$A$13*((1-$A$11)^3)*B194-($A$11^3)*B194+$A$11^3)), 0), " ")</f>
        <v xml:space="preserve"> </v>
      </c>
      <c r="H194" s="16" t="str">
        <f t="shared" ref="H194:H257" si="47">IF($Q$1=2, IF(A196&lt;&gt;1, IF(B194&lt;$A$11, ($A$12/6)*(3*(B194-$A$11)^2-$A$13*((1-$A$11)^3)-($A$11^3)), ($A$12/6)*(3*$A$13*(B194-$A$11)^2-$A$13*((1-$A$11)^3)-($A$11^3))),0 ), " ")</f>
        <v xml:space="preserve"> </v>
      </c>
      <c r="I194" s="16" t="str">
        <f t="shared" ref="I194:I257" si="48">IF($Q$1=2, IF(A196&lt;&gt;1,  ATAN(H194), 0), " ")</f>
        <v xml:space="preserve"> </v>
      </c>
      <c r="J194" s="16">
        <f t="shared" si="44"/>
        <v>7.0238465337656448E-3</v>
      </c>
      <c r="K194" s="16">
        <f t="shared" ref="K194:K257" si="49">IF($Q$1=1, F194, I194)</f>
        <v>-8.5544683875344758E-3</v>
      </c>
      <c r="L194" s="16">
        <f t="shared" ref="L194:L257" si="50">B194-C194*SIN(K194)</f>
        <v>0.17942556182612535</v>
      </c>
      <c r="M194" s="16">
        <f t="shared" ref="M194:M257" si="51">J194+C194*COS(K194)</f>
        <v>6.3010037123035836E-2</v>
      </c>
      <c r="N194" s="16">
        <f t="shared" ref="N194:N257" si="52">B194+C194*SIN(K194)</f>
        <v>0.17846767426521382</v>
      </c>
      <c r="O194" s="16">
        <f t="shared" ref="O194:O257" si="53">J194-C194*COS(K194)</f>
        <v>-4.8962344055504543E-2</v>
      </c>
      <c r="R194" s="5">
        <f>IF($T$1, J194, -0.2)</f>
        <v>-0.2</v>
      </c>
    </row>
    <row r="195" spans="2:18" x14ac:dyDescent="0.3">
      <c r="B195" s="16">
        <v>0.18074765964753159</v>
      </c>
      <c r="C195" s="16">
        <f t="shared" si="45"/>
        <v>5.6120947156203055E-2</v>
      </c>
      <c r="D195" s="16">
        <f t="shared" si="41"/>
        <v>7.0084392044854277E-3</v>
      </c>
      <c r="E195" s="16">
        <f t="shared" si="42"/>
        <v>-8.5546770625887676E-3</v>
      </c>
      <c r="F195" s="16">
        <f t="shared" si="43"/>
        <v>-8.5544683875344758E-3</v>
      </c>
      <c r="G195" s="16" t="str">
        <f t="shared" si="46"/>
        <v xml:space="preserve"> </v>
      </c>
      <c r="H195" s="16" t="str">
        <f t="shared" si="47"/>
        <v xml:space="preserve"> </v>
      </c>
      <c r="I195" s="16" t="str">
        <f t="shared" si="48"/>
        <v xml:space="preserve"> </v>
      </c>
      <c r="J195" s="16">
        <f t="shared" si="44"/>
        <v>7.0084392044854277E-3</v>
      </c>
      <c r="K195" s="16">
        <f t="shared" si="49"/>
        <v>-8.5544683875344758E-3</v>
      </c>
      <c r="L195" s="16">
        <f t="shared" si="50"/>
        <v>0.1812277386605298</v>
      </c>
      <c r="M195" s="16">
        <f t="shared" si="51"/>
        <v>6.3127332937796085E-2</v>
      </c>
      <c r="N195" s="16">
        <f t="shared" si="52"/>
        <v>0.18026758063453338</v>
      </c>
      <c r="O195" s="16">
        <f t="shared" si="53"/>
        <v>-4.9110454528825231E-2</v>
      </c>
      <c r="R195" s="5">
        <f>IF($T$1, J195, -0.2)</f>
        <v>-0.2</v>
      </c>
    </row>
    <row r="196" spans="2:18" x14ac:dyDescent="0.3">
      <c r="B196" s="16">
        <v>0.1825568193792676</v>
      </c>
      <c r="C196" s="16">
        <f t="shared" si="45"/>
        <v>5.6251508959611479E-2</v>
      </c>
      <c r="D196" s="16">
        <f t="shared" si="41"/>
        <v>6.9929624272257861E-3</v>
      </c>
      <c r="E196" s="16">
        <f t="shared" si="42"/>
        <v>-8.5546770625887676E-3</v>
      </c>
      <c r="F196" s="16">
        <f t="shared" si="43"/>
        <v>-8.5544683875344758E-3</v>
      </c>
      <c r="G196" s="16" t="str">
        <f t="shared" si="46"/>
        <v xml:space="preserve"> </v>
      </c>
      <c r="H196" s="16" t="str">
        <f t="shared" si="47"/>
        <v xml:space="preserve"> </v>
      </c>
      <c r="I196" s="16" t="str">
        <f t="shared" si="48"/>
        <v xml:space="preserve"> </v>
      </c>
      <c r="J196" s="16">
        <f t="shared" si="44"/>
        <v>6.9929624272257861E-3</v>
      </c>
      <c r="K196" s="16">
        <f t="shared" si="49"/>
        <v>-8.5544683875344758E-3</v>
      </c>
      <c r="L196" s="16">
        <f t="shared" si="50"/>
        <v>0.18303801526546365</v>
      </c>
      <c r="M196" s="16">
        <f t="shared" si="51"/>
        <v>6.3242413186787499E-2</v>
      </c>
      <c r="N196" s="16">
        <f t="shared" si="52"/>
        <v>0.18207562349307155</v>
      </c>
      <c r="O196" s="16">
        <f t="shared" si="53"/>
        <v>-4.9256488332335931E-2</v>
      </c>
      <c r="R196" s="5">
        <f>IF($T$1, J196, -0.2)</f>
        <v>-0.2</v>
      </c>
    </row>
    <row r="197" spans="2:18" x14ac:dyDescent="0.3">
      <c r="B197" s="16">
        <v>0.18437407931356398</v>
      </c>
      <c r="C197" s="16">
        <f t="shared" si="45"/>
        <v>5.6379919122861562E-2</v>
      </c>
      <c r="D197" s="16">
        <f t="shared" si="41"/>
        <v>6.9774163553490993E-3</v>
      </c>
      <c r="E197" s="16">
        <f t="shared" si="42"/>
        <v>-8.5546770625887676E-3</v>
      </c>
      <c r="F197" s="16">
        <f t="shared" si="43"/>
        <v>-8.5544683875344758E-3</v>
      </c>
      <c r="G197" s="16" t="str">
        <f t="shared" si="46"/>
        <v xml:space="preserve"> </v>
      </c>
      <c r="H197" s="16" t="str">
        <f t="shared" si="47"/>
        <v xml:space="preserve"> </v>
      </c>
      <c r="I197" s="16" t="str">
        <f t="shared" si="48"/>
        <v xml:space="preserve"> </v>
      </c>
      <c r="J197" s="16">
        <f t="shared" si="44"/>
        <v>6.9774163553490993E-3</v>
      </c>
      <c r="K197" s="16">
        <f t="shared" si="49"/>
        <v>-8.5544683875344758E-3</v>
      </c>
      <c r="L197" s="16">
        <f t="shared" si="50"/>
        <v>0.18485637366704463</v>
      </c>
      <c r="M197" s="16">
        <f t="shared" si="51"/>
        <v>6.3355272579730421E-2</v>
      </c>
      <c r="N197" s="16">
        <f t="shared" si="52"/>
        <v>0.18389178496008332</v>
      </c>
      <c r="O197" s="16">
        <f t="shared" si="53"/>
        <v>-4.9400439869032226E-2</v>
      </c>
      <c r="R197" s="5">
        <f>IF($T$1, J197, -0.2)</f>
        <v>-0.2</v>
      </c>
    </row>
    <row r="198" spans="2:18" x14ac:dyDescent="0.3">
      <c r="B198" s="16">
        <v>0.18619942144284063</v>
      </c>
      <c r="C198" s="16">
        <f t="shared" si="45"/>
        <v>5.6506172301423956E-2</v>
      </c>
      <c r="D198" s="16">
        <f t="shared" si="41"/>
        <v>6.9618011429043994E-3</v>
      </c>
      <c r="E198" s="16">
        <f t="shared" si="42"/>
        <v>-8.5546770625887676E-3</v>
      </c>
      <c r="F198" s="16">
        <f t="shared" si="43"/>
        <v>-8.5544683875344758E-3</v>
      </c>
      <c r="G198" s="16" t="str">
        <f t="shared" si="46"/>
        <v xml:space="preserve"> </v>
      </c>
      <c r="H198" s="16" t="str">
        <f t="shared" si="47"/>
        <v xml:space="preserve"> </v>
      </c>
      <c r="I198" s="16" t="str">
        <f t="shared" si="48"/>
        <v xml:space="preserve"> </v>
      </c>
      <c r="J198" s="16">
        <f t="shared" si="44"/>
        <v>6.9618011429043994E-3</v>
      </c>
      <c r="K198" s="16">
        <f t="shared" si="49"/>
        <v>-8.5544683875344758E-3</v>
      </c>
      <c r="L198" s="16">
        <f t="shared" si="50"/>
        <v>0.18668279581197361</v>
      </c>
      <c r="M198" s="16">
        <f t="shared" si="51"/>
        <v>6.3465905926340063E-2</v>
      </c>
      <c r="N198" s="16">
        <f t="shared" si="52"/>
        <v>0.18571604707370765</v>
      </c>
      <c r="O198" s="16">
        <f t="shared" si="53"/>
        <v>-4.9542303640531263E-2</v>
      </c>
      <c r="R198" s="5">
        <f>IF($T$1, J198, -0.2)</f>
        <v>-0.2</v>
      </c>
    </row>
    <row r="199" spans="2:18" x14ac:dyDescent="0.3">
      <c r="B199" s="16">
        <v>0.18803282767942942</v>
      </c>
      <c r="C199" s="16">
        <f t="shared" si="45"/>
        <v>5.6630263250813398E-2</v>
      </c>
      <c r="D199" s="16">
        <f t="shared" si="41"/>
        <v>6.9461169446258467E-3</v>
      </c>
      <c r="E199" s="16">
        <f t="shared" si="42"/>
        <v>-8.5546770625887676E-3</v>
      </c>
      <c r="F199" s="16">
        <f t="shared" si="43"/>
        <v>-8.5544683875344758E-3</v>
      </c>
      <c r="G199" s="16" t="str">
        <f t="shared" si="46"/>
        <v xml:space="preserve"> </v>
      </c>
      <c r="H199" s="16" t="str">
        <f t="shared" si="47"/>
        <v xml:space="preserve"> </v>
      </c>
      <c r="I199" s="16" t="str">
        <f t="shared" si="48"/>
        <v xml:space="preserve"> </v>
      </c>
      <c r="J199" s="16">
        <f t="shared" si="44"/>
        <v>6.9461169446258467E-3</v>
      </c>
      <c r="K199" s="16">
        <f t="shared" si="49"/>
        <v>-8.5544683875344758E-3</v>
      </c>
      <c r="L199" s="16">
        <f t="shared" si="50"/>
        <v>0.1885172635677192</v>
      </c>
      <c r="M199" s="16">
        <f t="shared" si="51"/>
        <v>6.3574308137057237E-2</v>
      </c>
      <c r="N199" s="16">
        <f t="shared" si="52"/>
        <v>0.18754839179113963</v>
      </c>
      <c r="O199" s="16">
        <f t="shared" si="53"/>
        <v>-4.968207424780554E-2</v>
      </c>
      <c r="R199" s="5">
        <f>IF($T$1, J199, -0.2)</f>
        <v>-0.2</v>
      </c>
    </row>
    <row r="200" spans="2:18" x14ac:dyDescent="0.3">
      <c r="B200" s="16">
        <v>0.18987427985575323</v>
      </c>
      <c r="C200" s="16">
        <f t="shared" si="45"/>
        <v>5.6752186827302119E-2</v>
      </c>
      <c r="D200" s="16">
        <f t="shared" si="41"/>
        <v>6.9303639159311948E-3</v>
      </c>
      <c r="E200" s="16">
        <f t="shared" si="42"/>
        <v>-8.5546770625887676E-3</v>
      </c>
      <c r="F200" s="16">
        <f t="shared" si="43"/>
        <v>-8.5544683875344758E-3</v>
      </c>
      <c r="G200" s="16" t="str">
        <f t="shared" si="46"/>
        <v xml:space="preserve"> </v>
      </c>
      <c r="H200" s="16" t="str">
        <f t="shared" si="47"/>
        <v xml:space="preserve"> </v>
      </c>
      <c r="I200" s="16" t="str">
        <f t="shared" si="48"/>
        <v xml:space="preserve"> </v>
      </c>
      <c r="J200" s="16">
        <f t="shared" si="44"/>
        <v>6.9303639159311948E-3</v>
      </c>
      <c r="K200" s="16">
        <f t="shared" si="49"/>
        <v>-8.5544683875344758E-3</v>
      </c>
      <c r="L200" s="16">
        <f t="shared" si="50"/>
        <v>0.190359758722703</v>
      </c>
      <c r="M200" s="16">
        <f t="shared" si="51"/>
        <v>6.3680474223760108E-2</v>
      </c>
      <c r="N200" s="16">
        <f t="shared" si="52"/>
        <v>0.18938880098880345</v>
      </c>
      <c r="O200" s="16">
        <f t="shared" si="53"/>
        <v>-4.9819746391897721E-2</v>
      </c>
      <c r="R200" s="5">
        <f>IF($T$1, J200, -0.2)</f>
        <v>-0.2</v>
      </c>
    </row>
    <row r="201" spans="2:18" x14ac:dyDescent="0.3">
      <c r="B201" s="16">
        <v>0.19172375972450661</v>
      </c>
      <c r="C201" s="16">
        <f t="shared" si="45"/>
        <v>5.6871937988613806E-2</v>
      </c>
      <c r="D201" s="16">
        <f t="shared" si="41"/>
        <v>6.914542212920251E-3</v>
      </c>
      <c r="E201" s="16">
        <f t="shared" si="42"/>
        <v>-8.5546770625887676E-3</v>
      </c>
      <c r="F201" s="16">
        <f t="shared" si="43"/>
        <v>-8.5544683875344758E-3</v>
      </c>
      <c r="G201" s="16" t="str">
        <f t="shared" si="46"/>
        <v xml:space="preserve"> </v>
      </c>
      <c r="H201" s="16" t="str">
        <f t="shared" si="47"/>
        <v xml:space="preserve"> </v>
      </c>
      <c r="I201" s="16" t="str">
        <f t="shared" si="48"/>
        <v xml:space="preserve"> </v>
      </c>
      <c r="J201" s="16">
        <f t="shared" si="44"/>
        <v>6.914542212920251E-3</v>
      </c>
      <c r="K201" s="16">
        <f t="shared" si="49"/>
        <v>-8.5544683875344758E-3</v>
      </c>
      <c r="L201" s="16">
        <f t="shared" si="50"/>
        <v>0.19221026298648605</v>
      </c>
      <c r="M201" s="16">
        <f t="shared" si="51"/>
        <v>6.3784399300456679E-2</v>
      </c>
      <c r="N201" s="16">
        <f t="shared" si="52"/>
        <v>0.19123725646252718</v>
      </c>
      <c r="O201" s="16">
        <f t="shared" si="53"/>
        <v>-4.9955314874616179E-2</v>
      </c>
      <c r="R201" s="5">
        <f>IF($T$1, J201, -0.2)</f>
        <v>-0.2</v>
      </c>
    </row>
    <row r="202" spans="2:18" x14ac:dyDescent="0.3">
      <c r="B202" s="16">
        <v>0.19358124895883555</v>
      </c>
      <c r="C202" s="16">
        <f t="shared" si="45"/>
        <v>5.6989511794598324E-2</v>
      </c>
      <c r="D202" s="16">
        <f t="shared" si="41"/>
        <v>6.8986519923733315E-3</v>
      </c>
      <c r="E202" s="16">
        <f t="shared" si="42"/>
        <v>-8.5546770625887676E-3</v>
      </c>
      <c r="F202" s="16">
        <f t="shared" si="43"/>
        <v>-8.5544683875344758E-3</v>
      </c>
      <c r="G202" s="16" t="str">
        <f t="shared" si="46"/>
        <v xml:space="preserve"> </v>
      </c>
      <c r="H202" s="16" t="str">
        <f t="shared" si="47"/>
        <v xml:space="preserve"> </v>
      </c>
      <c r="I202" s="16" t="str">
        <f t="shared" si="48"/>
        <v xml:space="preserve"> </v>
      </c>
      <c r="J202" s="16">
        <f t="shared" si="44"/>
        <v>6.8986519923733315E-3</v>
      </c>
      <c r="K202" s="16">
        <f t="shared" si="49"/>
        <v>-8.5544683875344758E-3</v>
      </c>
      <c r="L202" s="16">
        <f t="shared" si="50"/>
        <v>0.19406875798995454</v>
      </c>
      <c r="M202" s="16">
        <f t="shared" si="51"/>
        <v>6.3886078583957895E-2</v>
      </c>
      <c r="N202" s="16">
        <f t="shared" si="52"/>
        <v>0.19309373992771656</v>
      </c>
      <c r="O202" s="16">
        <f t="shared" si="53"/>
        <v>-5.0088774599211225E-2</v>
      </c>
      <c r="R202" s="5">
        <f>IF($T$1, J202, -0.2)</f>
        <v>-0.2</v>
      </c>
    </row>
    <row r="203" spans="2:18" x14ac:dyDescent="0.3">
      <c r="B203" s="16">
        <v>0.19544672915252015</v>
      </c>
      <c r="C203" s="16">
        <f t="shared" si="45"/>
        <v>5.7104903407886917E-2</v>
      </c>
      <c r="D203" s="16">
        <f t="shared" si="41"/>
        <v>6.8826934117497043E-3</v>
      </c>
      <c r="E203" s="16">
        <f t="shared" si="42"/>
        <v>-8.5546770625887676E-3</v>
      </c>
      <c r="F203" s="16">
        <f t="shared" si="43"/>
        <v>-8.5544683875344758E-3</v>
      </c>
      <c r="G203" s="16" t="str">
        <f t="shared" si="46"/>
        <v xml:space="preserve"> </v>
      </c>
      <c r="H203" s="16" t="str">
        <f t="shared" si="47"/>
        <v xml:space="preserve"> </v>
      </c>
      <c r="I203" s="16" t="str">
        <f t="shared" si="48"/>
        <v xml:space="preserve"> </v>
      </c>
      <c r="J203" s="16">
        <f t="shared" si="44"/>
        <v>6.8826934117497043E-3</v>
      </c>
      <c r="K203" s="16">
        <f t="shared" si="49"/>
        <v>-8.5544683875344758E-3</v>
      </c>
      <c r="L203" s="16">
        <f t="shared" si="50"/>
        <v>0.19593522528550791</v>
      </c>
      <c r="M203" s="16">
        <f t="shared" si="51"/>
        <v>6.3985507394531238E-2</v>
      </c>
      <c r="N203" s="16">
        <f t="shared" si="52"/>
        <v>0.19495823301953238</v>
      </c>
      <c r="O203" s="16">
        <f t="shared" si="53"/>
        <v>-5.0220120571031833E-2</v>
      </c>
      <c r="R203" s="5">
        <f>IF($T$1, J203, -0.2)</f>
        <v>-0.2</v>
      </c>
    </row>
    <row r="204" spans="2:18" x14ac:dyDescent="0.3">
      <c r="B204" s="16">
        <v>0.19732018182015654</v>
      </c>
      <c r="C204" s="16">
        <f t="shared" si="45"/>
        <v>5.7218108094527889E-2</v>
      </c>
      <c r="D204" s="16">
        <f t="shared" si="41"/>
        <v>6.8666666291860292E-3</v>
      </c>
      <c r="E204" s="16">
        <f t="shared" si="42"/>
        <v>-8.5546770625887676E-3</v>
      </c>
      <c r="F204" s="16">
        <f t="shared" si="43"/>
        <v>-8.5544683875344758E-3</v>
      </c>
      <c r="G204" s="16" t="str">
        <f t="shared" si="46"/>
        <v xml:space="preserve"> </v>
      </c>
      <c r="H204" s="16" t="str">
        <f t="shared" si="47"/>
        <v xml:space="preserve"> </v>
      </c>
      <c r="I204" s="16" t="str">
        <f t="shared" si="48"/>
        <v xml:space="preserve"> </v>
      </c>
      <c r="J204" s="16">
        <f t="shared" si="44"/>
        <v>6.8666666291860292E-3</v>
      </c>
      <c r="K204" s="16">
        <f t="shared" si="49"/>
        <v>-8.5544683875344758E-3</v>
      </c>
      <c r="L204" s="16">
        <f t="shared" si="50"/>
        <v>0.1978096463472464</v>
      </c>
      <c r="M204" s="16">
        <f t="shared" si="51"/>
        <v>6.4082681156534912E-2</v>
      </c>
      <c r="N204" s="16">
        <f t="shared" si="52"/>
        <v>0.19683071729306667</v>
      </c>
      <c r="O204" s="16">
        <f t="shared" si="53"/>
        <v>-5.0349347898162859E-2</v>
      </c>
      <c r="R204" s="5">
        <f>IF($T$1, J204, -0.2)</f>
        <v>-0.2</v>
      </c>
    </row>
    <row r="205" spans="2:18" x14ac:dyDescent="0.3">
      <c r="B205" s="16">
        <v>0.1992015883973397</v>
      </c>
      <c r="C205" s="16">
        <f t="shared" si="45"/>
        <v>5.7329121224602361E-2</v>
      </c>
      <c r="D205" s="16">
        <f t="shared" si="41"/>
        <v>6.8505718034947965E-3</v>
      </c>
      <c r="E205" s="16">
        <f t="shared" si="42"/>
        <v>-8.5546770625887676E-3</v>
      </c>
      <c r="F205" s="16">
        <f t="shared" si="43"/>
        <v>-8.5544683875344758E-3</v>
      </c>
      <c r="G205" s="16" t="str">
        <f t="shared" si="46"/>
        <v xml:space="preserve"> </v>
      </c>
      <c r="H205" s="16" t="str">
        <f t="shared" si="47"/>
        <v xml:space="preserve"> </v>
      </c>
      <c r="I205" s="16" t="str">
        <f t="shared" si="48"/>
        <v xml:space="preserve"> </v>
      </c>
      <c r="J205" s="16">
        <f t="shared" si="44"/>
        <v>6.8505718034947965E-3</v>
      </c>
      <c r="K205" s="16">
        <f t="shared" si="49"/>
        <v>-8.5544683875344758E-3</v>
      </c>
      <c r="L205" s="16">
        <f t="shared" si="50"/>
        <v>0.19969200257115893</v>
      </c>
      <c r="M205" s="16">
        <f t="shared" si="51"/>
        <v>6.4177595399031923E-2</v>
      </c>
      <c r="N205" s="16">
        <f t="shared" si="52"/>
        <v>0.19871117422352047</v>
      </c>
      <c r="O205" s="16">
        <f t="shared" si="53"/>
        <v>-5.0476451792042326E-2</v>
      </c>
      <c r="R205" s="5">
        <f>IF($T$1, J205, -0.2)</f>
        <v>-0.2</v>
      </c>
    </row>
    <row r="206" spans="2:18" x14ac:dyDescent="0.3">
      <c r="B206" s="16">
        <v>0.20109093024084834</v>
      </c>
      <c r="C206" s="16">
        <f t="shared" si="45"/>
        <v>5.7437938272820427E-2</v>
      </c>
      <c r="D206" s="16">
        <f t="shared" si="41"/>
        <v>6.8344090941627441E-3</v>
      </c>
      <c r="E206" s="16">
        <f t="shared" si="42"/>
        <v>-8.5546770625887676E-3</v>
      </c>
      <c r="F206" s="16">
        <f t="shared" si="43"/>
        <v>-8.5544683875344758E-3</v>
      </c>
      <c r="G206" s="16" t="str">
        <f t="shared" si="46"/>
        <v xml:space="preserve"> </v>
      </c>
      <c r="H206" s="16" t="str">
        <f t="shared" si="47"/>
        <v xml:space="preserve"> </v>
      </c>
      <c r="I206" s="16" t="str">
        <f t="shared" si="48"/>
        <v xml:space="preserve"> </v>
      </c>
      <c r="J206" s="16">
        <f t="shared" si="44"/>
        <v>6.8344090941627441E-3</v>
      </c>
      <c r="K206" s="16">
        <f t="shared" si="49"/>
        <v>-8.5544683875344758E-3</v>
      </c>
      <c r="L206" s="16">
        <f t="shared" si="50"/>
        <v>0.20158227527531325</v>
      </c>
      <c r="M206" s="16">
        <f t="shared" si="51"/>
        <v>6.4270245756384667E-2</v>
      </c>
      <c r="N206" s="16">
        <f t="shared" si="52"/>
        <v>0.20059958520638344</v>
      </c>
      <c r="O206" s="16">
        <f t="shared" si="53"/>
        <v>-5.060142756805918E-2</v>
      </c>
      <c r="R206" s="5">
        <f>IF($T$1, J206, -0.2)</f>
        <v>-0.2</v>
      </c>
    </row>
    <row r="207" spans="2:18" x14ac:dyDescent="0.3">
      <c r="B207" s="16">
        <v>0.20298818862882839</v>
      </c>
      <c r="C207" s="16">
        <f t="shared" si="45"/>
        <v>5.7544554819096927E-2</v>
      </c>
      <c r="D207" s="16">
        <f t="shared" si="41"/>
        <v>6.8181786613492872E-3</v>
      </c>
      <c r="E207" s="16">
        <f t="shared" si="42"/>
        <v>-8.5546770625887676E-3</v>
      </c>
      <c r="F207" s="16">
        <f t="shared" si="43"/>
        <v>-8.5544683875344758E-3</v>
      </c>
      <c r="G207" s="16" t="str">
        <f t="shared" si="46"/>
        <v xml:space="preserve"> </v>
      </c>
      <c r="H207" s="16" t="str">
        <f t="shared" si="47"/>
        <v xml:space="preserve"> </v>
      </c>
      <c r="I207" s="16" t="str">
        <f t="shared" si="48"/>
        <v xml:space="preserve"> </v>
      </c>
      <c r="J207" s="16">
        <f t="shared" si="44"/>
        <v>6.8181786613492872E-3</v>
      </c>
      <c r="K207" s="16">
        <f t="shared" si="49"/>
        <v>-8.5544683875344758E-3</v>
      </c>
      <c r="L207" s="16">
        <f t="shared" si="50"/>
        <v>0.20348044570004425</v>
      </c>
      <c r="M207" s="16">
        <f t="shared" si="51"/>
        <v>6.4360627968829145E-2</v>
      </c>
      <c r="N207" s="16">
        <f t="shared" si="52"/>
        <v>0.20249593155761253</v>
      </c>
      <c r="O207" s="16">
        <f t="shared" si="53"/>
        <v>-5.0724270646130575E-2</v>
      </c>
      <c r="R207" s="5">
        <f>IF($T$1, J207, -0.2)</f>
        <v>-0.2</v>
      </c>
    </row>
    <row r="208" spans="2:18" x14ac:dyDescent="0.3">
      <c r="B208" s="16">
        <v>0.20489334476097976</v>
      </c>
      <c r="C208" s="16">
        <f t="shared" si="45"/>
        <v>5.7648966549107721E-2</v>
      </c>
      <c r="D208" s="16">
        <f t="shared" si="41"/>
        <v>6.8018806658849216E-3</v>
      </c>
      <c r="E208" s="16">
        <f t="shared" si="42"/>
        <v>-8.5546770625887676E-3</v>
      </c>
      <c r="F208" s="16">
        <f t="shared" si="43"/>
        <v>-8.5544683875344758E-3</v>
      </c>
      <c r="G208" s="16" t="str">
        <f t="shared" si="46"/>
        <v xml:space="preserve"> </v>
      </c>
      <c r="H208" s="16" t="str">
        <f t="shared" si="47"/>
        <v xml:space="preserve"> </v>
      </c>
      <c r="I208" s="16" t="str">
        <f t="shared" si="48"/>
        <v xml:space="preserve"> </v>
      </c>
      <c r="J208" s="16">
        <f t="shared" si="44"/>
        <v>6.8018806658849216E-3</v>
      </c>
      <c r="K208" s="16">
        <f t="shared" si="49"/>
        <v>-8.5544683875344758E-3</v>
      </c>
      <c r="L208" s="16">
        <f t="shared" si="50"/>
        <v>0.2053864950081456</v>
      </c>
      <c r="M208" s="16">
        <f t="shared" si="51"/>
        <v>6.4448737883029572E-2</v>
      </c>
      <c r="N208" s="16">
        <f t="shared" si="52"/>
        <v>0.20440019451381392</v>
      </c>
      <c r="O208" s="16">
        <f t="shared" si="53"/>
        <v>-5.0844976551259725E-2</v>
      </c>
      <c r="R208" s="5">
        <f>IF($T$1, J208, -0.2)</f>
        <v>-0.2</v>
      </c>
    </row>
    <row r="209" spans="2:18" x14ac:dyDescent="0.3">
      <c r="B209" s="16">
        <v>0.20680637975874194</v>
      </c>
      <c r="C209" s="16">
        <f t="shared" si="45"/>
        <v>5.7751169254825069E-2</v>
      </c>
      <c r="D209" s="16">
        <f t="shared" si="41"/>
        <v>6.7855152692696359E-3</v>
      </c>
      <c r="E209" s="16">
        <f t="shared" si="42"/>
        <v>-8.5546770625887676E-3</v>
      </c>
      <c r="F209" s="16">
        <f t="shared" si="43"/>
        <v>-8.5544683875344758E-3</v>
      </c>
      <c r="G209" s="16" t="str">
        <f t="shared" si="46"/>
        <v xml:space="preserve"> </v>
      </c>
      <c r="H209" s="16" t="str">
        <f t="shared" si="47"/>
        <v xml:space="preserve"> </v>
      </c>
      <c r="I209" s="16" t="str">
        <f t="shared" si="48"/>
        <v xml:space="preserve"> </v>
      </c>
      <c r="J209" s="16">
        <f t="shared" si="44"/>
        <v>6.7855152692696359E-3</v>
      </c>
      <c r="K209" s="16">
        <f t="shared" si="49"/>
        <v>-8.5544683875344758E-3</v>
      </c>
      <c r="L209" s="16">
        <f t="shared" si="50"/>
        <v>0.20730040428505972</v>
      </c>
      <c r="M209" s="16">
        <f t="shared" si="51"/>
        <v>6.4534571452612141E-2</v>
      </c>
      <c r="N209" s="16">
        <f t="shared" si="52"/>
        <v>0.20631235523242417</v>
      </c>
      <c r="O209" s="16">
        <f t="shared" si="53"/>
        <v>-5.0963540914072868E-2</v>
      </c>
      <c r="R209" s="5">
        <f>IF($T$1, J209, -0.2)</f>
        <v>-0.2</v>
      </c>
    </row>
    <row r="210" spans="2:18" x14ac:dyDescent="0.3">
      <c r="B210" s="16">
        <v>0.20872727466548102</v>
      </c>
      <c r="C210" s="16">
        <f t="shared" si="45"/>
        <v>5.785115883503314E-2</v>
      </c>
      <c r="D210" s="16">
        <f t="shared" si="41"/>
        <v>6.7690826336713117E-3</v>
      </c>
      <c r="E210" s="16">
        <f t="shared" si="42"/>
        <v>-8.5546770625887676E-3</v>
      </c>
      <c r="F210" s="16">
        <f t="shared" si="43"/>
        <v>-8.5544683875344758E-3</v>
      </c>
      <c r="G210" s="16" t="str">
        <f t="shared" si="46"/>
        <v xml:space="preserve"> </v>
      </c>
      <c r="H210" s="16" t="str">
        <f t="shared" si="47"/>
        <v xml:space="preserve"> </v>
      </c>
      <c r="I210" s="16" t="str">
        <f t="shared" si="48"/>
        <v xml:space="preserve"> </v>
      </c>
      <c r="J210" s="16">
        <f t="shared" si="44"/>
        <v>6.7690826336713117E-3</v>
      </c>
      <c r="K210" s="16">
        <f t="shared" si="49"/>
        <v>-8.5544683875344758E-3</v>
      </c>
      <c r="L210" s="16">
        <f t="shared" si="50"/>
        <v>0.20922215453906945</v>
      </c>
      <c r="M210" s="16">
        <f t="shared" si="51"/>
        <v>6.4618124738678978E-2</v>
      </c>
      <c r="N210" s="16">
        <f t="shared" si="52"/>
        <v>0.20823239479189259</v>
      </c>
      <c r="O210" s="16">
        <f t="shared" si="53"/>
        <v>-5.107995947133636E-2</v>
      </c>
      <c r="R210" s="5">
        <f>IF($T$1, J210, -0.2)</f>
        <v>-0.2</v>
      </c>
    </row>
    <row r="211" spans="2:18" x14ac:dyDescent="0.3">
      <c r="B211" s="16">
        <v>0.21065601044667814</v>
      </c>
      <c r="C211" s="16">
        <f t="shared" si="45"/>
        <v>5.7948931295822972E-2</v>
      </c>
      <c r="D211" s="16">
        <f t="shared" si="41"/>
        <v>6.75258292192411E-3</v>
      </c>
      <c r="E211" s="16">
        <f t="shared" si="42"/>
        <v>-8.5546770625887676E-3</v>
      </c>
      <c r="F211" s="16">
        <f t="shared" si="43"/>
        <v>-8.5544683875344758E-3</v>
      </c>
      <c r="G211" s="16" t="str">
        <f t="shared" si="46"/>
        <v xml:space="preserve"> </v>
      </c>
      <c r="H211" s="16" t="str">
        <f t="shared" si="47"/>
        <v xml:space="preserve"> </v>
      </c>
      <c r="I211" s="16" t="str">
        <f t="shared" si="48"/>
        <v xml:space="preserve"> </v>
      </c>
      <c r="J211" s="16">
        <f t="shared" si="44"/>
        <v>6.75258292192411E-3</v>
      </c>
      <c r="K211" s="16">
        <f t="shared" si="49"/>
        <v>-8.5544683875344758E-3</v>
      </c>
      <c r="L211" s="16">
        <f t="shared" si="50"/>
        <v>0.21115172670149057</v>
      </c>
      <c r="M211" s="16">
        <f t="shared" si="51"/>
        <v>6.4699393910301425E-2</v>
      </c>
      <c r="N211" s="16">
        <f t="shared" si="52"/>
        <v>0.21016029419186572</v>
      </c>
      <c r="O211" s="16">
        <f t="shared" si="53"/>
        <v>-5.1194228066453212E-2</v>
      </c>
      <c r="R211" s="5">
        <f>IF($T$1, J211, -0.2)</f>
        <v>-0.2</v>
      </c>
    </row>
    <row r="212" spans="2:18" x14ac:dyDescent="0.3">
      <c r="B212" s="16">
        <v>0.21259256799011716</v>
      </c>
      <c r="C212" s="16">
        <f t="shared" si="45"/>
        <v>5.8044482751066849E-2</v>
      </c>
      <c r="D212" s="16">
        <f t="shared" si="41"/>
        <v>6.7360162975268695E-3</v>
      </c>
      <c r="E212" s="16">
        <f t="shared" si="42"/>
        <v>-8.5546770625887676E-3</v>
      </c>
      <c r="F212" s="16">
        <f t="shared" si="43"/>
        <v>-8.5544683875344758E-3</v>
      </c>
      <c r="G212" s="16" t="str">
        <f t="shared" si="46"/>
        <v xml:space="preserve"> </v>
      </c>
      <c r="H212" s="16" t="str">
        <f t="shared" si="47"/>
        <v xml:space="preserve"> </v>
      </c>
      <c r="I212" s="16" t="str">
        <f t="shared" si="48"/>
        <v xml:space="preserve"> </v>
      </c>
      <c r="J212" s="16">
        <f t="shared" si="44"/>
        <v>6.7360162975268695E-3</v>
      </c>
      <c r="K212" s="16">
        <f t="shared" si="49"/>
        <v>-8.5544683875344758E-3</v>
      </c>
      <c r="L212" s="16">
        <f t="shared" si="50"/>
        <v>0.21308910162686359</v>
      </c>
      <c r="M212" s="16">
        <f t="shared" si="51"/>
        <v>6.4778375244992789E-2</v>
      </c>
      <c r="N212" s="16">
        <f t="shared" si="52"/>
        <v>0.21209603435337074</v>
      </c>
      <c r="O212" s="16">
        <f t="shared" si="53"/>
        <v>-5.1306342649939045E-2</v>
      </c>
      <c r="R212" s="5">
        <f>IF($T$1, J212, -0.2)</f>
        <v>-0.2</v>
      </c>
    </row>
    <row r="213" spans="2:18" x14ac:dyDescent="0.3">
      <c r="B213" s="16">
        <v>0.21453692810607505</v>
      </c>
      <c r="C213" s="16">
        <f t="shared" si="45"/>
        <v>5.8137809422872049E-2</v>
      </c>
      <c r="D213" s="16">
        <f t="shared" si="41"/>
        <v>6.7193829246414722E-3</v>
      </c>
      <c r="E213" s="16">
        <f t="shared" si="42"/>
        <v>-8.5546770625887676E-3</v>
      </c>
      <c r="F213" s="16">
        <f t="shared" si="43"/>
        <v>-8.5544683875344758E-3</v>
      </c>
      <c r="G213" s="16" t="str">
        <f t="shared" si="46"/>
        <v xml:space="preserve"> </v>
      </c>
      <c r="H213" s="16" t="str">
        <f t="shared" si="47"/>
        <v xml:space="preserve"> </v>
      </c>
      <c r="I213" s="16" t="str">
        <f t="shared" si="48"/>
        <v xml:space="preserve"> </v>
      </c>
      <c r="J213" s="16">
        <f t="shared" si="44"/>
        <v>6.7193829246414722E-3</v>
      </c>
      <c r="K213" s="16">
        <f t="shared" si="49"/>
        <v>-8.5544683875344758E-3</v>
      </c>
      <c r="L213" s="16">
        <f t="shared" si="50"/>
        <v>0.21503426009314799</v>
      </c>
      <c r="M213" s="16">
        <f t="shared" si="51"/>
        <v>6.485506512916045E-2</v>
      </c>
      <c r="N213" s="16">
        <f t="shared" si="52"/>
        <v>0.21403959611900211</v>
      </c>
      <c r="O213" s="16">
        <f t="shared" si="53"/>
        <v>-5.1416299279877502E-2</v>
      </c>
      <c r="R213" s="5">
        <f>IF($T$1, J213, -0.2)</f>
        <v>-0.2</v>
      </c>
    </row>
    <row r="214" spans="2:18" x14ac:dyDescent="0.3">
      <c r="B214" s="16">
        <v>0.2164890715275114</v>
      </c>
      <c r="C214" s="16">
        <f t="shared" si="45"/>
        <v>5.8228907642013911E-2</v>
      </c>
      <c r="D214" s="16">
        <f t="shared" si="41"/>
        <v>6.7026829680912267E-3</v>
      </c>
      <c r="E214" s="16">
        <f t="shared" si="42"/>
        <v>-8.5546770625887676E-3</v>
      </c>
      <c r="F214" s="16">
        <f t="shared" si="43"/>
        <v>-8.5544683875344758E-3</v>
      </c>
      <c r="G214" s="16" t="str">
        <f t="shared" si="46"/>
        <v xml:space="preserve"> </v>
      </c>
      <c r="H214" s="16" t="str">
        <f t="shared" si="47"/>
        <v xml:space="preserve"> </v>
      </c>
      <c r="I214" s="16" t="str">
        <f t="shared" si="48"/>
        <v xml:space="preserve"> </v>
      </c>
      <c r="J214" s="16">
        <f t="shared" si="44"/>
        <v>6.7026829680912267E-3</v>
      </c>
      <c r="K214" s="16">
        <f t="shared" si="49"/>
        <v>-8.5544683875344758E-3</v>
      </c>
      <c r="L214" s="16">
        <f t="shared" si="50"/>
        <v>0.21698718280191551</v>
      </c>
      <c r="M214" s="16">
        <f t="shared" si="51"/>
        <v>6.4929460058537308E-2</v>
      </c>
      <c r="N214" s="16">
        <f t="shared" si="52"/>
        <v>0.21599096025310729</v>
      </c>
      <c r="O214" s="16">
        <f t="shared" si="53"/>
        <v>-5.1524094122354862E-2</v>
      </c>
      <c r="R214" s="5">
        <f>IF($T$1, J214, -0.2)</f>
        <v>-0.2</v>
      </c>
    </row>
    <row r="215" spans="2:18" x14ac:dyDescent="0.3">
      <c r="B215" s="16">
        <v>0.21844897891025949</v>
      </c>
      <c r="C215" s="16">
        <f t="shared" si="45"/>
        <v>5.8317773848348103E-2</v>
      </c>
      <c r="D215" s="16">
        <f t="shared" si="41"/>
        <v>6.6859165933592334E-3</v>
      </c>
      <c r="E215" s="16">
        <f t="shared" si="42"/>
        <v>-8.5546770625887676E-3</v>
      </c>
      <c r="F215" s="16">
        <f t="shared" si="43"/>
        <v>-8.5544683875344758E-3</v>
      </c>
      <c r="G215" s="16" t="str">
        <f t="shared" si="46"/>
        <v xml:space="preserve"> </v>
      </c>
      <c r="H215" s="16" t="str">
        <f t="shared" si="47"/>
        <v xml:space="preserve"> </v>
      </c>
      <c r="I215" s="16" t="str">
        <f t="shared" si="48"/>
        <v xml:space="preserve"> </v>
      </c>
      <c r="J215" s="16">
        <f t="shared" si="44"/>
        <v>6.6859165933592334E-3</v>
      </c>
      <c r="K215" s="16">
        <f t="shared" si="49"/>
        <v>-8.5544683875344758E-3</v>
      </c>
      <c r="L215" s="16">
        <f t="shared" si="50"/>
        <v>0.21894785037854464</v>
      </c>
      <c r="M215" s="16">
        <f t="shared" si="51"/>
        <v>6.5001556638592431E-2</v>
      </c>
      <c r="N215" s="16">
        <f t="shared" si="52"/>
        <v>0.21795010744197435</v>
      </c>
      <c r="O215" s="16">
        <f t="shared" si="53"/>
        <v>-5.1629723451873957E-2</v>
      </c>
      <c r="R215" s="5">
        <f>IF($T$1, J215, -0.2)</f>
        <v>-0.2</v>
      </c>
    </row>
    <row r="216" spans="2:18" x14ac:dyDescent="0.3">
      <c r="B216" s="16">
        <v>0.22041663083321805</v>
      </c>
      <c r="C216" s="16">
        <f t="shared" si="45"/>
        <v>5.8404404591201789E-2</v>
      </c>
      <c r="D216" s="16">
        <f t="shared" si="41"/>
        <v>6.6690839665867413E-3</v>
      </c>
      <c r="E216" s="16">
        <f t="shared" si="42"/>
        <v>-8.5546770625887676E-3</v>
      </c>
      <c r="F216" s="16">
        <f t="shared" si="43"/>
        <v>-8.5544683875344758E-3</v>
      </c>
      <c r="G216" s="16" t="str">
        <f t="shared" si="46"/>
        <v xml:space="preserve"> </v>
      </c>
      <c r="H216" s="16" t="str">
        <f t="shared" si="47"/>
        <v xml:space="preserve"> </v>
      </c>
      <c r="I216" s="16" t="str">
        <f t="shared" si="48"/>
        <v xml:space="preserve"> </v>
      </c>
      <c r="J216" s="16">
        <f t="shared" si="44"/>
        <v>6.6690839665867413E-3</v>
      </c>
      <c r="K216" s="16">
        <f t="shared" si="49"/>
        <v>-8.5544683875344758E-3</v>
      </c>
      <c r="L216" s="16">
        <f t="shared" si="50"/>
        <v>0.22091624337241578</v>
      </c>
      <c r="M216" s="16">
        <f t="shared" si="51"/>
        <v>6.5071351584920445E-2</v>
      </c>
      <c r="N216" s="16">
        <f t="shared" si="52"/>
        <v>0.21991701829402033</v>
      </c>
      <c r="O216" s="16">
        <f t="shared" si="53"/>
        <v>-5.1733183651746964E-2</v>
      </c>
      <c r="R216" s="5">
        <f>IF($T$1, J216, -0.2)</f>
        <v>-0.2</v>
      </c>
    </row>
    <row r="217" spans="2:18" x14ac:dyDescent="0.3">
      <c r="B217" s="16">
        <v>0.22239200779854373</v>
      </c>
      <c r="C217" s="16">
        <f t="shared" si="45"/>
        <v>5.8488796529744133E-2</v>
      </c>
      <c r="D217" s="16">
        <f t="shared" si="41"/>
        <v>6.6521852545715033E-3</v>
      </c>
      <c r="E217" s="16">
        <f t="shared" si="42"/>
        <v>-8.5546770625887676E-3</v>
      </c>
      <c r="F217" s="16">
        <f t="shared" si="43"/>
        <v>-8.5544683875344758E-3</v>
      </c>
      <c r="G217" s="16" t="str">
        <f t="shared" si="46"/>
        <v xml:space="preserve"> </v>
      </c>
      <c r="H217" s="16" t="str">
        <f t="shared" si="47"/>
        <v xml:space="preserve"> </v>
      </c>
      <c r="I217" s="16" t="str">
        <f t="shared" si="48"/>
        <v xml:space="preserve"> </v>
      </c>
      <c r="J217" s="16">
        <f t="shared" si="44"/>
        <v>6.6521852545715033E-3</v>
      </c>
      <c r="K217" s="16">
        <f t="shared" si="49"/>
        <v>-8.5544683875344758E-3</v>
      </c>
      <c r="L217" s="16">
        <f t="shared" si="50"/>
        <v>0.22289234225710694</v>
      </c>
      <c r="M217" s="16">
        <f t="shared" si="51"/>
        <v>6.5138841723610522E-2</v>
      </c>
      <c r="N217" s="16">
        <f t="shared" si="52"/>
        <v>0.22189167333998053</v>
      </c>
      <c r="O217" s="16">
        <f t="shared" si="53"/>
        <v>-5.183447121446752E-2</v>
      </c>
      <c r="R217" s="5">
        <f>IF($T$1, J217, -0.2)</f>
        <v>-0.2</v>
      </c>
    </row>
    <row r="218" spans="2:18" x14ac:dyDescent="0.3">
      <c r="B218" s="16">
        <v>0.22437509023184399</v>
      </c>
      <c r="C218" s="16">
        <f t="shared" si="45"/>
        <v>5.8570946433335339E-2</v>
      </c>
      <c r="D218" s="16">
        <f t="shared" si="41"/>
        <v>6.6352206247661267E-3</v>
      </c>
      <c r="E218" s="16">
        <f t="shared" si="42"/>
        <v>-8.5546770625887676E-3</v>
      </c>
      <c r="F218" s="16">
        <f t="shared" si="43"/>
        <v>-8.5544683875344758E-3</v>
      </c>
      <c r="G218" s="16" t="str">
        <f t="shared" si="46"/>
        <v xml:space="preserve"> </v>
      </c>
      <c r="H218" s="16" t="str">
        <f t="shared" si="47"/>
        <v xml:space="preserve"> </v>
      </c>
      <c r="I218" s="16" t="str">
        <f t="shared" si="48"/>
        <v xml:space="preserve"> </v>
      </c>
      <c r="J218" s="16">
        <f t="shared" si="44"/>
        <v>6.6352206247661267E-3</v>
      </c>
      <c r="K218" s="16">
        <f t="shared" si="49"/>
        <v>-8.5544683875344758E-3</v>
      </c>
      <c r="L218" s="16">
        <f t="shared" si="50"/>
        <v>0.22487612743058946</v>
      </c>
      <c r="M218" s="16">
        <f t="shared" si="51"/>
        <v>6.5204023991593682E-2</v>
      </c>
      <c r="N218" s="16">
        <f t="shared" si="52"/>
        <v>0.22387405303309851</v>
      </c>
      <c r="O218" s="16">
        <f t="shared" si="53"/>
        <v>-5.1933582742061432E-2</v>
      </c>
      <c r="R218" s="5">
        <f>IF($T$1, J218, -0.2)</f>
        <v>-0.2</v>
      </c>
    </row>
    <row r="219" spans="2:18" x14ac:dyDescent="0.3">
      <c r="B219" s="16">
        <v>0.22636585848237156</v>
      </c>
      <c r="C219" s="16">
        <f t="shared" si="45"/>
        <v>5.865085118185491E-2</v>
      </c>
      <c r="D219" s="16">
        <f t="shared" si="41"/>
        <v>6.6181902452764089E-3</v>
      </c>
      <c r="E219" s="16">
        <f t="shared" si="42"/>
        <v>-8.5546770625887676E-3</v>
      </c>
      <c r="F219" s="16">
        <f t="shared" si="43"/>
        <v>-8.5544683875344758E-3</v>
      </c>
      <c r="G219" s="16" t="str">
        <f t="shared" si="46"/>
        <v xml:space="preserve"> </v>
      </c>
      <c r="H219" s="16" t="str">
        <f t="shared" si="47"/>
        <v xml:space="preserve"> </v>
      </c>
      <c r="I219" s="16" t="str">
        <f t="shared" si="48"/>
        <v xml:space="preserve"> </v>
      </c>
      <c r="J219" s="16">
        <f t="shared" si="44"/>
        <v>6.6181902452764089E-3</v>
      </c>
      <c r="K219" s="16">
        <f t="shared" si="49"/>
        <v>-8.5544683875344758E-3</v>
      </c>
      <c r="L219" s="16">
        <f t="shared" si="50"/>
        <v>0.22686757921542547</v>
      </c>
      <c r="M219" s="16">
        <f t="shared" si="51"/>
        <v>6.5266895436969397E-2</v>
      </c>
      <c r="N219" s="16">
        <f t="shared" si="52"/>
        <v>0.22586413774931766</v>
      </c>
      <c r="O219" s="16">
        <f t="shared" si="53"/>
        <v>-5.2030514946416577E-2</v>
      </c>
      <c r="R219" s="5">
        <f>IF($T$1, J219, -0.2)</f>
        <v>-0.2</v>
      </c>
    </row>
    <row r="220" spans="2:18" x14ac:dyDescent="0.3">
      <c r="B220" s="16">
        <v>0.22836429282321902</v>
      </c>
      <c r="C220" s="16">
        <f t="shared" si="45"/>
        <v>5.8728507766008443E-2</v>
      </c>
      <c r="D220" s="16">
        <f t="shared" si="41"/>
        <v>6.6010942848596715E-3</v>
      </c>
      <c r="E220" s="16">
        <f t="shared" si="42"/>
        <v>-8.5546770625887676E-3</v>
      </c>
      <c r="F220" s="16">
        <f t="shared" si="43"/>
        <v>-8.5544683875344758E-3</v>
      </c>
      <c r="G220" s="16" t="str">
        <f t="shared" si="46"/>
        <v xml:space="preserve"> </v>
      </c>
      <c r="H220" s="16" t="str">
        <f t="shared" si="47"/>
        <v xml:space="preserve"> </v>
      </c>
      <c r="I220" s="16" t="str">
        <f t="shared" si="48"/>
        <v xml:space="preserve"> </v>
      </c>
      <c r="J220" s="16">
        <f t="shared" si="44"/>
        <v>6.6010942848596715E-3</v>
      </c>
      <c r="K220" s="16">
        <f t="shared" si="49"/>
        <v>-8.5544683875344758E-3</v>
      </c>
      <c r="L220" s="16">
        <f t="shared" si="50"/>
        <v>0.22886667785896492</v>
      </c>
      <c r="M220" s="16">
        <f t="shared" si="51"/>
        <v>6.5327453219310674E-2</v>
      </c>
      <c r="N220" s="16">
        <f t="shared" si="52"/>
        <v>0.22786190778747312</v>
      </c>
      <c r="O220" s="16">
        <f t="shared" si="53"/>
        <v>-5.212526464959133E-2</v>
      </c>
      <c r="R220" s="5">
        <f>IF($T$1, J220, -0.2)</f>
        <v>-0.2</v>
      </c>
    </row>
    <row r="221" spans="2:18" x14ac:dyDescent="0.3">
      <c r="B221" s="16">
        <v>0.2303703734515139</v>
      </c>
      <c r="C221" s="16">
        <f t="shared" si="45"/>
        <v>5.8803913287613155E-2</v>
      </c>
      <c r="D221" s="16">
        <f t="shared" si="41"/>
        <v>6.5839329129230937E-3</v>
      </c>
      <c r="E221" s="16">
        <f t="shared" si="42"/>
        <v>-8.5546770625887676E-3</v>
      </c>
      <c r="F221" s="16">
        <f t="shared" si="43"/>
        <v>-8.5544683875344758E-3</v>
      </c>
      <c r="G221" s="16" t="str">
        <f t="shared" si="46"/>
        <v xml:space="preserve"> </v>
      </c>
      <c r="H221" s="16" t="str">
        <f t="shared" si="47"/>
        <v xml:space="preserve"> </v>
      </c>
      <c r="I221" s="16" t="str">
        <f t="shared" si="48"/>
        <v xml:space="preserve"> </v>
      </c>
      <c r="J221" s="16">
        <f t="shared" si="44"/>
        <v>6.5839329129230937E-3</v>
      </c>
      <c r="K221" s="16">
        <f t="shared" si="49"/>
        <v>-8.5544683875344758E-3</v>
      </c>
      <c r="L221" s="16">
        <f t="shared" si="50"/>
        <v>0.23087340353354324</v>
      </c>
      <c r="M221" s="16">
        <f t="shared" si="51"/>
        <v>6.5385694609947961E-2</v>
      </c>
      <c r="N221" s="16">
        <f t="shared" si="52"/>
        <v>0.22986734336948456</v>
      </c>
      <c r="O221" s="16">
        <f t="shared" si="53"/>
        <v>-5.2217828784101777E-2</v>
      </c>
      <c r="R221" s="5">
        <f>IF($T$1, J221, -0.2)</f>
        <v>-0.2</v>
      </c>
    </row>
    <row r="222" spans="2:18" x14ac:dyDescent="0.3">
      <c r="B222" s="16">
        <v>0.23238408048861525</v>
      </c>
      <c r="C222" s="16">
        <f t="shared" si="45"/>
        <v>5.887706495986221E-2</v>
      </c>
      <c r="D222" s="16">
        <f t="shared" si="41"/>
        <v>6.566706299522029E-3</v>
      </c>
      <c r="E222" s="16">
        <f t="shared" si="42"/>
        <v>-8.5546770625887676E-3</v>
      </c>
      <c r="F222" s="16">
        <f t="shared" si="43"/>
        <v>-8.5544683875344758E-3</v>
      </c>
      <c r="G222" s="16" t="str">
        <f t="shared" si="46"/>
        <v xml:space="preserve"> </v>
      </c>
      <c r="H222" s="16" t="str">
        <f t="shared" si="47"/>
        <v xml:space="preserve"> </v>
      </c>
      <c r="I222" s="16" t="str">
        <f t="shared" si="48"/>
        <v xml:space="preserve"> </v>
      </c>
      <c r="J222" s="16">
        <f t="shared" si="44"/>
        <v>6.566706299522029E-3</v>
      </c>
      <c r="K222" s="16">
        <f t="shared" si="49"/>
        <v>-8.5544683875344758E-3</v>
      </c>
      <c r="L222" s="16">
        <f t="shared" si="50"/>
        <v>0.23288773633668014</v>
      </c>
      <c r="M222" s="16">
        <f t="shared" si="51"/>
        <v>6.5441616992231749E-2</v>
      </c>
      <c r="N222" s="16">
        <f t="shared" si="52"/>
        <v>0.23188042464055036</v>
      </c>
      <c r="O222" s="16">
        <f t="shared" si="53"/>
        <v>-5.2308204393187688E-2</v>
      </c>
      <c r="R222" s="5">
        <f>IF($T$1, J222, -0.2)</f>
        <v>-0.2</v>
      </c>
    </row>
    <row r="223" spans="2:18" x14ac:dyDescent="0.3">
      <c r="B223" s="16">
        <v>0.23440539398031057</v>
      </c>
      <c r="C223" s="16">
        <f t="shared" si="45"/>
        <v>5.8947960107567393E-2</v>
      </c>
      <c r="D223" s="16">
        <f t="shared" si="41"/>
        <v>6.5494146153583215E-3</v>
      </c>
      <c r="E223" s="16">
        <f t="shared" si="42"/>
        <v>-8.5546770625887676E-3</v>
      </c>
      <c r="F223" s="16">
        <f t="shared" si="43"/>
        <v>-8.5544683875344758E-3</v>
      </c>
      <c r="G223" s="16" t="str">
        <f t="shared" si="46"/>
        <v xml:space="preserve"> </v>
      </c>
      <c r="H223" s="16" t="str">
        <f t="shared" si="47"/>
        <v xml:space="preserve"> </v>
      </c>
      <c r="I223" s="16" t="str">
        <f t="shared" si="48"/>
        <v xml:space="preserve"> </v>
      </c>
      <c r="J223" s="16">
        <f t="shared" si="44"/>
        <v>6.5494146153583215E-3</v>
      </c>
      <c r="K223" s="16">
        <f t="shared" si="49"/>
        <v>-8.5544683875344758E-3</v>
      </c>
      <c r="L223" s="16">
        <f t="shared" si="50"/>
        <v>0.23490965629127855</v>
      </c>
      <c r="M223" s="16">
        <f t="shared" si="51"/>
        <v>6.5495217861773536E-2</v>
      </c>
      <c r="N223" s="16">
        <f t="shared" si="52"/>
        <v>0.23390113166934259</v>
      </c>
      <c r="O223" s="16">
        <f t="shared" si="53"/>
        <v>-5.2396388631056889E-2</v>
      </c>
      <c r="R223" s="5">
        <f>IF($T$1, J223, -0.2)</f>
        <v>-0.2</v>
      </c>
    </row>
    <row r="224" spans="2:18" x14ac:dyDescent="0.3">
      <c r="B224" s="16">
        <v>0.23643429389701376</v>
      </c>
      <c r="C224" s="16">
        <f t="shared" si="45"/>
        <v>5.9016596167380558E-2</v>
      </c>
      <c r="D224" s="16">
        <f t="shared" si="41"/>
        <v>6.5320580317786122E-3</v>
      </c>
      <c r="E224" s="16">
        <f t="shared" si="42"/>
        <v>-8.5546770625887676E-3</v>
      </c>
      <c r="F224" s="16">
        <f t="shared" si="43"/>
        <v>-8.5544683875344758E-3</v>
      </c>
      <c r="G224" s="16" t="str">
        <f t="shared" si="46"/>
        <v xml:space="preserve"> </v>
      </c>
      <c r="H224" s="16" t="str">
        <f t="shared" si="47"/>
        <v xml:space="preserve"> </v>
      </c>
      <c r="I224" s="16" t="str">
        <f t="shared" si="48"/>
        <v xml:space="preserve"> </v>
      </c>
      <c r="J224" s="16">
        <f t="shared" si="44"/>
        <v>6.5320580317786122E-3</v>
      </c>
      <c r="K224" s="16">
        <f t="shared" si="49"/>
        <v>-8.5544683875344758E-3</v>
      </c>
      <c r="L224" s="16">
        <f t="shared" si="50"/>
        <v>0.23693914334582458</v>
      </c>
      <c r="M224" s="16">
        <f t="shared" si="51"/>
        <v>6.5546494826665622E-2</v>
      </c>
      <c r="N224" s="16">
        <f t="shared" si="52"/>
        <v>0.23592944444820294</v>
      </c>
      <c r="O224" s="16">
        <f t="shared" si="53"/>
        <v>-5.2482378763108392E-2</v>
      </c>
      <c r="R224" s="5">
        <f>IF($T$1, J224, -0.2)</f>
        <v>-0.2</v>
      </c>
    </row>
    <row r="225" spans="2:18" x14ac:dyDescent="0.3">
      <c r="B225" s="16">
        <v>0.23847076013396296</v>
      </c>
      <c r="C225" s="16">
        <f t="shared" si="45"/>
        <v>5.9082970687993251E-2</v>
      </c>
      <c r="D225" s="16">
        <f t="shared" si="41"/>
        <v>6.5146367207726472E-3</v>
      </c>
      <c r="E225" s="16">
        <f t="shared" si="42"/>
        <v>-8.5546770625887676E-3</v>
      </c>
      <c r="F225" s="16">
        <f t="shared" si="43"/>
        <v>-8.5544683875344758E-3</v>
      </c>
      <c r="G225" s="16" t="str">
        <f t="shared" si="46"/>
        <v xml:space="preserve"> </v>
      </c>
      <c r="H225" s="16" t="str">
        <f t="shared" si="47"/>
        <v xml:space="preserve"> </v>
      </c>
      <c r="I225" s="16" t="str">
        <f t="shared" si="48"/>
        <v xml:space="preserve"> </v>
      </c>
      <c r="J225" s="16">
        <f t="shared" si="44"/>
        <v>6.5146367207726472E-3</v>
      </c>
      <c r="K225" s="16">
        <f t="shared" si="49"/>
        <v>-8.5544683875344758E-3</v>
      </c>
      <c r="L225" s="16">
        <f t="shared" si="50"/>
        <v>0.23897617737458696</v>
      </c>
      <c r="M225" s="16">
        <f t="shared" si="51"/>
        <v>6.5595445607678979E-2</v>
      </c>
      <c r="N225" s="16">
        <f t="shared" si="52"/>
        <v>0.23796534289333895</v>
      </c>
      <c r="O225" s="16">
        <f t="shared" si="53"/>
        <v>-5.2566172166133684E-2</v>
      </c>
      <c r="R225" s="5">
        <f>IF($T$1, J225, -0.2)</f>
        <v>-0.2</v>
      </c>
    </row>
    <row r="226" spans="2:18" x14ac:dyDescent="0.3">
      <c r="B226" s="16">
        <v>0.24051477251142062</v>
      </c>
      <c r="C226" s="16">
        <f t="shared" si="45"/>
        <v>5.9147081330315106E-2</v>
      </c>
      <c r="D226" s="16">
        <f t="shared" si="41"/>
        <v>6.4971508549715624E-3</v>
      </c>
      <c r="E226" s="16">
        <f t="shared" si="42"/>
        <v>-8.5546770625887676E-3</v>
      </c>
      <c r="F226" s="16">
        <f t="shared" si="43"/>
        <v>-8.5544683875344758E-3</v>
      </c>
      <c r="G226" s="16" t="str">
        <f t="shared" si="46"/>
        <v xml:space="preserve"> </v>
      </c>
      <c r="H226" s="16" t="str">
        <f t="shared" si="47"/>
        <v xml:space="preserve"> </v>
      </c>
      <c r="I226" s="16" t="str">
        <f t="shared" si="48"/>
        <v xml:space="preserve"> </v>
      </c>
      <c r="J226" s="16">
        <f t="shared" si="44"/>
        <v>6.4971508549715624E-3</v>
      </c>
      <c r="K226" s="16">
        <f t="shared" si="49"/>
        <v>-8.5544683875344758E-3</v>
      </c>
      <c r="L226" s="16">
        <f t="shared" si="50"/>
        <v>0.24102073817781874</v>
      </c>
      <c r="M226" s="16">
        <f t="shared" si="51"/>
        <v>6.5642068038439971E-2</v>
      </c>
      <c r="N226" s="16">
        <f t="shared" si="52"/>
        <v>0.24000880684502249</v>
      </c>
      <c r="O226" s="16">
        <f t="shared" si="53"/>
        <v>-5.2647766328496839E-2</v>
      </c>
      <c r="R226" s="5">
        <f>IF($T$1, J226, -0.2)</f>
        <v>-0.2</v>
      </c>
    </row>
    <row r="227" spans="2:18" x14ac:dyDescent="0.3">
      <c r="B227" s="16">
        <v>0.24256631077487267</v>
      </c>
      <c r="C227" s="16">
        <f t="shared" si="45"/>
        <v>5.920892586763029E-2</v>
      </c>
      <c r="D227" s="16">
        <f t="shared" si="41"/>
        <v>6.4796006076461854E-3</v>
      </c>
      <c r="E227" s="16">
        <f t="shared" si="42"/>
        <v>-8.5546770625887676E-3</v>
      </c>
      <c r="F227" s="16">
        <f t="shared" si="43"/>
        <v>-8.5544683875344758E-3</v>
      </c>
      <c r="G227" s="16" t="str">
        <f t="shared" si="46"/>
        <v xml:space="preserve"> </v>
      </c>
      <c r="H227" s="16" t="str">
        <f t="shared" si="47"/>
        <v xml:space="preserve"> </v>
      </c>
      <c r="I227" s="16" t="str">
        <f t="shared" si="48"/>
        <v xml:space="preserve"> </v>
      </c>
      <c r="J227" s="16">
        <f t="shared" si="44"/>
        <v>6.4796006076461854E-3</v>
      </c>
      <c r="K227" s="16">
        <f t="shared" si="49"/>
        <v>-8.5544683875344758E-3</v>
      </c>
      <c r="L227" s="16">
        <f t="shared" si="50"/>
        <v>0.24307280548195773</v>
      </c>
      <c r="M227" s="16">
        <f t="shared" si="51"/>
        <v>6.5686360065585064E-2</v>
      </c>
      <c r="N227" s="16">
        <f t="shared" si="52"/>
        <v>0.24205981606778762</v>
      </c>
      <c r="O227" s="16">
        <f t="shared" si="53"/>
        <v>-5.2727158850292687E-2</v>
      </c>
      <c r="R227" s="5">
        <f>IF($T$1, J227, -0.2)</f>
        <v>-0.2</v>
      </c>
    </row>
    <row r="228" spans="2:18" x14ac:dyDescent="0.3">
      <c r="B228" s="16">
        <v>0.24462535459522983</v>
      </c>
      <c r="C228" s="16">
        <f t="shared" si="45"/>
        <v>5.9268502185732506E-2</v>
      </c>
      <c r="D228" s="16">
        <f t="shared" si="41"/>
        <v>6.4619861527053114E-3</v>
      </c>
      <c r="E228" s="16">
        <f t="shared" si="42"/>
        <v>-8.5546770625887676E-3</v>
      </c>
      <c r="F228" s="16">
        <f t="shared" si="43"/>
        <v>-8.5544683875344758E-3</v>
      </c>
      <c r="G228" s="16" t="str">
        <f t="shared" si="46"/>
        <v xml:space="preserve"> </v>
      </c>
      <c r="H228" s="16" t="str">
        <f t="shared" si="47"/>
        <v xml:space="preserve"> </v>
      </c>
      <c r="I228" s="16" t="str">
        <f t="shared" si="48"/>
        <v xml:space="preserve"> </v>
      </c>
      <c r="J228" s="16">
        <f t="shared" si="44"/>
        <v>6.4619861527053114E-3</v>
      </c>
      <c r="K228" s="16">
        <f t="shared" si="49"/>
        <v>-8.5544683875344758E-3</v>
      </c>
      <c r="L228" s="16">
        <f t="shared" si="50"/>
        <v>0.24513235893982888</v>
      </c>
      <c r="M228" s="16">
        <f t="shared" si="51"/>
        <v>6.5728319748894107E-2</v>
      </c>
      <c r="N228" s="16">
        <f t="shared" si="52"/>
        <v>0.24411835025063078</v>
      </c>
      <c r="O228" s="16">
        <f t="shared" si="53"/>
        <v>-5.2804347443483488E-2</v>
      </c>
      <c r="R228" s="5">
        <f>IF($T$1, J228, -0.2)</f>
        <v>-0.2</v>
      </c>
    </row>
    <row r="229" spans="2:18" x14ac:dyDescent="0.3">
      <c r="B229" s="16">
        <v>0.24669188356902849</v>
      </c>
      <c r="C229" s="16">
        <f t="shared" si="45"/>
        <v>5.932580828303817E-2</v>
      </c>
      <c r="D229" s="16">
        <f t="shared" si="41"/>
        <v>6.4443076646939811E-3</v>
      </c>
      <c r="E229" s="16">
        <f t="shared" si="42"/>
        <v>-8.5546770625887676E-3</v>
      </c>
      <c r="F229" s="16">
        <f t="shared" si="43"/>
        <v>-8.5544683875344758E-3</v>
      </c>
      <c r="G229" s="16" t="str">
        <f t="shared" si="46"/>
        <v xml:space="preserve"> </v>
      </c>
      <c r="H229" s="16" t="str">
        <f t="shared" si="47"/>
        <v xml:space="preserve"> </v>
      </c>
      <c r="I229" s="16" t="str">
        <f t="shared" si="48"/>
        <v xml:space="preserve"> </v>
      </c>
      <c r="J229" s="16">
        <f t="shared" si="44"/>
        <v>6.4443076646939811E-3</v>
      </c>
      <c r="K229" s="16">
        <f t="shared" si="49"/>
        <v>-8.5544683875344758E-3</v>
      </c>
      <c r="L229" s="16">
        <f t="shared" si="50"/>
        <v>0.24719937813084639</v>
      </c>
      <c r="M229" s="16">
        <f t="shared" si="51"/>
        <v>6.5767945261401797E-2</v>
      </c>
      <c r="N229" s="16">
        <f t="shared" si="52"/>
        <v>0.2461843890072106</v>
      </c>
      <c r="O229" s="16">
        <f t="shared" si="53"/>
        <v>-5.2879329932013837E-2</v>
      </c>
      <c r="R229" s="5">
        <f>IF($T$1, J229, -0.2)</f>
        <v>-0.2</v>
      </c>
    </row>
    <row r="230" spans="2:18" x14ac:dyDescent="0.3">
      <c r="B230" s="16">
        <v>0.24876587721863352</v>
      </c>
      <c r="C230" s="16">
        <f t="shared" si="45"/>
        <v>5.9380842270677872E-2</v>
      </c>
      <c r="D230" s="16">
        <f t="shared" si="41"/>
        <v>6.4265653187917495E-3</v>
      </c>
      <c r="E230" s="16">
        <f t="shared" si="42"/>
        <v>-8.5546770625887676E-3</v>
      </c>
      <c r="F230" s="16">
        <f t="shared" si="43"/>
        <v>-8.5544683875344758E-3</v>
      </c>
      <c r="G230" s="16" t="str">
        <f t="shared" si="46"/>
        <v xml:space="preserve"> </v>
      </c>
      <c r="H230" s="16" t="str">
        <f t="shared" si="47"/>
        <v xml:space="preserve"> </v>
      </c>
      <c r="I230" s="16" t="str">
        <f t="shared" si="48"/>
        <v xml:space="preserve"> </v>
      </c>
      <c r="J230" s="16">
        <f t="shared" si="44"/>
        <v>6.4265653187917495E-3</v>
      </c>
      <c r="K230" s="16">
        <f t="shared" si="49"/>
        <v>-8.5544683875344758E-3</v>
      </c>
      <c r="L230" s="16">
        <f t="shared" si="50"/>
        <v>0.24927384256121699</v>
      </c>
      <c r="M230" s="16">
        <f t="shared" si="51"/>
        <v>6.5805234889487405E-2</v>
      </c>
      <c r="N230" s="16">
        <f t="shared" si="52"/>
        <v>0.24825791187605006</v>
      </c>
      <c r="O230" s="16">
        <f t="shared" si="53"/>
        <v>-5.2952104251903907E-2</v>
      </c>
      <c r="R230" s="5">
        <f>IF($T$1, J230, -0.2)</f>
        <v>-0.2</v>
      </c>
    </row>
    <row r="231" spans="2:18" x14ac:dyDescent="0.3">
      <c r="B231" s="16">
        <v>0.25084731499244084</v>
      </c>
      <c r="C231" s="16">
        <f t="shared" si="45"/>
        <v>5.9433602372566133E-2</v>
      </c>
      <c r="D231" s="16">
        <f t="shared" si="41"/>
        <v>6.4087592908109543E-3</v>
      </c>
      <c r="E231" s="16">
        <f t="shared" si="42"/>
        <v>-8.5546770625887676E-3</v>
      </c>
      <c r="F231" s="16">
        <f t="shared" si="43"/>
        <v>-8.5544683875344758E-3</v>
      </c>
      <c r="G231" s="16" t="str">
        <f t="shared" si="46"/>
        <v xml:space="preserve"> </v>
      </c>
      <c r="H231" s="16" t="str">
        <f t="shared" si="47"/>
        <v xml:space="preserve"> </v>
      </c>
      <c r="I231" s="16" t="str">
        <f t="shared" si="48"/>
        <v xml:space="preserve"> </v>
      </c>
      <c r="J231" s="16">
        <f t="shared" si="44"/>
        <v>6.4087592908109543E-3</v>
      </c>
      <c r="K231" s="16">
        <f t="shared" si="49"/>
        <v>-8.5544683875344758E-3</v>
      </c>
      <c r="L231" s="16">
        <f t="shared" si="50"/>
        <v>0.25135573166414338</v>
      </c>
      <c r="M231" s="16">
        <f t="shared" si="51"/>
        <v>6.5840187032942754E-2</v>
      </c>
      <c r="N231" s="16">
        <f t="shared" si="52"/>
        <v>0.2503388983207383</v>
      </c>
      <c r="O231" s="16">
        <f t="shared" si="53"/>
        <v>-5.3022668451320851E-2</v>
      </c>
      <c r="R231" s="5">
        <f>IF($T$1, J231, -0.2)</f>
        <v>-0.2</v>
      </c>
    </row>
    <row r="232" spans="2:18" x14ac:dyDescent="0.3">
      <c r="B232" s="16">
        <v>0.25293617626508091</v>
      </c>
      <c r="C232" s="16">
        <f t="shared" si="45"/>
        <v>5.9484086925449306E-2</v>
      </c>
      <c r="D232" s="16">
        <f t="shared" si="41"/>
        <v>6.3908897571949702E-3</v>
      </c>
      <c r="E232" s="16">
        <f t="shared" si="42"/>
        <v>-8.5546770625887676E-3</v>
      </c>
      <c r="F232" s="16">
        <f t="shared" si="43"/>
        <v>-8.5544683875344758E-3</v>
      </c>
      <c r="G232" s="16" t="str">
        <f t="shared" si="46"/>
        <v xml:space="preserve"> </v>
      </c>
      <c r="H232" s="16" t="str">
        <f t="shared" si="47"/>
        <v xml:space="preserve"> </v>
      </c>
      <c r="I232" s="16" t="str">
        <f t="shared" si="48"/>
        <v xml:space="preserve"> </v>
      </c>
      <c r="J232" s="16">
        <f t="shared" si="44"/>
        <v>6.3908897571949702E-3</v>
      </c>
      <c r="K232" s="16">
        <f t="shared" si="49"/>
        <v>-8.5544683875344758E-3</v>
      </c>
      <c r="L232" s="16">
        <f t="shared" si="50"/>
        <v>0.2534450248000279</v>
      </c>
      <c r="M232" s="16">
        <f t="shared" si="51"/>
        <v>6.5872800205018456E-2</v>
      </c>
      <c r="N232" s="16">
        <f t="shared" si="52"/>
        <v>0.25242732773013393</v>
      </c>
      <c r="O232" s="16">
        <f t="shared" si="53"/>
        <v>-5.3091020690628508E-2</v>
      </c>
      <c r="R232" s="5">
        <f>IF($T$1, J232, -0.2)</f>
        <v>-0.2</v>
      </c>
    </row>
    <row r="233" spans="2:18" x14ac:dyDescent="0.3">
      <c r="B233" s="16">
        <v>0.25503244033762351</v>
      </c>
      <c r="C233" s="16">
        <f t="shared" si="45"/>
        <v>5.9532294378931636E-2</v>
      </c>
      <c r="D233" s="16">
        <f t="shared" si="41"/>
        <v>6.3729568950164611E-3</v>
      </c>
      <c r="E233" s="16">
        <f t="shared" si="42"/>
        <v>-8.5546770625887676E-3</v>
      </c>
      <c r="F233" s="16">
        <f t="shared" si="43"/>
        <v>-8.5544683875344758E-3</v>
      </c>
      <c r="G233" s="16" t="str">
        <f t="shared" si="46"/>
        <v xml:space="preserve"> </v>
      </c>
      <c r="H233" s="16" t="str">
        <f t="shared" si="47"/>
        <v xml:space="preserve"> </v>
      </c>
      <c r="I233" s="16" t="str">
        <f t="shared" si="48"/>
        <v xml:space="preserve"> </v>
      </c>
      <c r="J233" s="16">
        <f t="shared" si="44"/>
        <v>6.3729568950164611E-3</v>
      </c>
      <c r="K233" s="16">
        <f t="shared" si="49"/>
        <v>-8.5544683875344758E-3</v>
      </c>
      <c r="L233" s="16">
        <f t="shared" si="50"/>
        <v>0.25554170125667763</v>
      </c>
      <c r="M233" s="16">
        <f t="shared" si="51"/>
        <v>6.5903073032448106E-2</v>
      </c>
      <c r="N233" s="16">
        <f t="shared" si="52"/>
        <v>0.25452317941856939</v>
      </c>
      <c r="O233" s="16">
        <f t="shared" si="53"/>
        <v>-5.3157159242415181E-2</v>
      </c>
      <c r="R233" s="5">
        <f>IF($T$1, J233, -0.2)</f>
        <v>-0.2</v>
      </c>
    </row>
    <row r="234" spans="2:18" x14ac:dyDescent="0.3">
      <c r="B234" s="16">
        <v>0.25713608643778241</v>
      </c>
      <c r="C234" s="16">
        <f t="shared" si="45"/>
        <v>5.9578223295479557E-2</v>
      </c>
      <c r="D234" s="16">
        <f t="shared" si="41"/>
        <v>6.3549608819756277E-3</v>
      </c>
      <c r="E234" s="16">
        <f t="shared" si="42"/>
        <v>-8.5546770625887676E-3</v>
      </c>
      <c r="F234" s="16">
        <f t="shared" si="43"/>
        <v>-8.5544683875344758E-3</v>
      </c>
      <c r="G234" s="16" t="str">
        <f t="shared" si="46"/>
        <v xml:space="preserve"> </v>
      </c>
      <c r="H234" s="16" t="str">
        <f t="shared" si="47"/>
        <v xml:space="preserve"> </v>
      </c>
      <c r="I234" s="16" t="str">
        <f t="shared" si="48"/>
        <v xml:space="preserve"> </v>
      </c>
      <c r="J234" s="16">
        <f t="shared" si="44"/>
        <v>6.3549608819756277E-3</v>
      </c>
      <c r="K234" s="16">
        <f t="shared" si="49"/>
        <v>-8.5544683875344758E-3</v>
      </c>
      <c r="L234" s="16">
        <f t="shared" si="50"/>
        <v>0.25764574024950926</v>
      </c>
      <c r="M234" s="16">
        <f t="shared" si="51"/>
        <v>6.5931004255450967E-2</v>
      </c>
      <c r="N234" s="16">
        <f t="shared" si="52"/>
        <v>0.25662643262605556</v>
      </c>
      <c r="O234" s="16">
        <f t="shared" si="53"/>
        <v>-5.3221082491499719E-2</v>
      </c>
      <c r="R234" s="5">
        <f>IF($T$1, J234, -0.2)</f>
        <v>-0.2</v>
      </c>
    </row>
    <row r="235" spans="2:18" x14ac:dyDescent="0.3">
      <c r="B235" s="16">
        <v>0.25924709372012167</v>
      </c>
      <c r="C235" s="16">
        <f t="shared" si="45"/>
        <v>5.9621872350404143E-2</v>
      </c>
      <c r="D235" s="16">
        <f t="shared" si="41"/>
        <v>6.3369018963984423E-3</v>
      </c>
      <c r="E235" s="16">
        <f t="shared" si="42"/>
        <v>-8.5546770625887676E-3</v>
      </c>
      <c r="F235" s="16">
        <f t="shared" si="43"/>
        <v>-8.5544683875344758E-3</v>
      </c>
      <c r="G235" s="16" t="str">
        <f t="shared" si="46"/>
        <v xml:space="preserve"> </v>
      </c>
      <c r="H235" s="16" t="str">
        <f t="shared" si="47"/>
        <v xml:space="preserve"> </v>
      </c>
      <c r="I235" s="16" t="str">
        <f t="shared" si="48"/>
        <v xml:space="preserve"> </v>
      </c>
      <c r="J235" s="16">
        <f t="shared" si="44"/>
        <v>6.3369018963984423E-3</v>
      </c>
      <c r="K235" s="16">
        <f t="shared" si="49"/>
        <v>-8.5544683875344758E-3</v>
      </c>
      <c r="L235" s="16">
        <f t="shared" si="50"/>
        <v>0.25975712092175496</v>
      </c>
      <c r="M235" s="16">
        <f t="shared" si="51"/>
        <v>6.5956592727712565E-2</v>
      </c>
      <c r="N235" s="16">
        <f t="shared" si="52"/>
        <v>0.25873706651848838</v>
      </c>
      <c r="O235" s="16">
        <f t="shared" si="53"/>
        <v>-5.3282788934915677E-2</v>
      </c>
      <c r="R235" s="5">
        <f>IF($T$1, J235, -0.2)</f>
        <v>-0.2</v>
      </c>
    </row>
    <row r="236" spans="2:18" x14ac:dyDescent="0.3">
      <c r="B236" s="16">
        <v>0.26136544126626193</v>
      </c>
      <c r="C236" s="16">
        <f t="shared" si="45"/>
        <v>5.966324033182159E-2</v>
      </c>
      <c r="D236" s="16">
        <f t="shared" si="41"/>
        <v>6.3187801172348845E-3</v>
      </c>
      <c r="E236" s="16">
        <f t="shared" si="42"/>
        <v>-8.5546770625887676E-3</v>
      </c>
      <c r="F236" s="16">
        <f t="shared" si="43"/>
        <v>-8.5544683875344758E-3</v>
      </c>
      <c r="G236" s="16" t="str">
        <f t="shared" si="46"/>
        <v xml:space="preserve"> </v>
      </c>
      <c r="H236" s="16" t="str">
        <f t="shared" si="47"/>
        <v xml:space="preserve"> </v>
      </c>
      <c r="I236" s="16" t="str">
        <f t="shared" si="48"/>
        <v xml:space="preserve"> </v>
      </c>
      <c r="J236" s="16">
        <f t="shared" si="44"/>
        <v>6.3187801172348845E-3</v>
      </c>
      <c r="K236" s="16">
        <f t="shared" si="49"/>
        <v>-8.5544683875344758E-3</v>
      </c>
      <c r="L236" s="16">
        <f t="shared" si="50"/>
        <v>0.26187582234466839</v>
      </c>
      <c r="M236" s="16">
        <f t="shared" si="51"/>
        <v>6.597983741634339E-2</v>
      </c>
      <c r="N236" s="16">
        <f t="shared" si="52"/>
        <v>0.26085506018785548</v>
      </c>
      <c r="O236" s="16">
        <f t="shared" si="53"/>
        <v>-5.3342277181873614E-2</v>
      </c>
      <c r="R236" s="5">
        <f>IF($T$1, J236, -0.2)</f>
        <v>-0.2</v>
      </c>
    </row>
    <row r="237" spans="2:18" x14ac:dyDescent="0.3">
      <c r="B237" s="16">
        <v>0.26349110808508769</v>
      </c>
      <c r="C237" s="16">
        <f t="shared" si="45"/>
        <v>5.9702326140592038E-2</v>
      </c>
      <c r="D237" s="16">
        <f t="shared" si="41"/>
        <v>6.3005957240571701E-3</v>
      </c>
      <c r="E237" s="16">
        <f t="shared" si="42"/>
        <v>-8.5546770625887676E-3</v>
      </c>
      <c r="F237" s="16">
        <f t="shared" si="43"/>
        <v>-8.5544683875344758E-3</v>
      </c>
      <c r="G237" s="16" t="str">
        <f t="shared" si="46"/>
        <v xml:space="preserve"> </v>
      </c>
      <c r="H237" s="16" t="str">
        <f t="shared" si="47"/>
        <v xml:space="preserve"> </v>
      </c>
      <c r="I237" s="16" t="str">
        <f t="shared" si="48"/>
        <v xml:space="preserve"> </v>
      </c>
      <c r="J237" s="16">
        <f t="shared" si="44"/>
        <v>6.3005957240571701E-3</v>
      </c>
      <c r="K237" s="16">
        <f t="shared" si="49"/>
        <v>-8.5544683875344758E-3</v>
      </c>
      <c r="L237" s="16">
        <f t="shared" si="50"/>
        <v>0.26400182351773172</v>
      </c>
      <c r="M237" s="16">
        <f t="shared" si="51"/>
        <v>6.6000737401816015E-2</v>
      </c>
      <c r="N237" s="16">
        <f t="shared" si="52"/>
        <v>0.26298039265244366</v>
      </c>
      <c r="O237" s="16">
        <f t="shared" si="53"/>
        <v>-5.339954595370168E-2</v>
      </c>
      <c r="R237" s="5">
        <f>IF($T$1, J237, -0.2)</f>
        <v>-0.2</v>
      </c>
    </row>
    <row r="238" spans="2:18" x14ac:dyDescent="0.3">
      <c r="B238" s="16">
        <v>0.26562407311295533</v>
      </c>
      <c r="C238" s="16">
        <f t="shared" si="45"/>
        <v>5.9739128790236247E-2</v>
      </c>
      <c r="D238" s="16">
        <f t="shared" si="41"/>
        <v>6.2823488970579671E-3</v>
      </c>
      <c r="E238" s="16">
        <f t="shared" si="42"/>
        <v>-8.5546770625887676E-3</v>
      </c>
      <c r="F238" s="16">
        <f t="shared" si="43"/>
        <v>-8.5544683875344758E-3</v>
      </c>
      <c r="G238" s="16" t="str">
        <f t="shared" si="46"/>
        <v xml:space="preserve"> </v>
      </c>
      <c r="H238" s="16" t="str">
        <f t="shared" si="47"/>
        <v xml:space="preserve"> </v>
      </c>
      <c r="I238" s="16" t="str">
        <f t="shared" si="48"/>
        <v xml:space="preserve"> </v>
      </c>
      <c r="J238" s="16">
        <f t="shared" si="44"/>
        <v>6.2823488970579671E-3</v>
      </c>
      <c r="K238" s="16">
        <f t="shared" si="49"/>
        <v>-8.5544683875344758E-3</v>
      </c>
      <c r="L238" s="16">
        <f t="shared" si="50"/>
        <v>0.26613510336886254</v>
      </c>
      <c r="M238" s="16">
        <f t="shared" si="51"/>
        <v>6.6019291877879985E-2</v>
      </c>
      <c r="N238" s="16">
        <f t="shared" si="52"/>
        <v>0.26511304285704812</v>
      </c>
      <c r="O238" s="16">
        <f t="shared" si="53"/>
        <v>-5.3454594083764045E-2</v>
      </c>
      <c r="R238" s="5">
        <f>IF($T$1, J238, -0.2)</f>
        <v>-0.2</v>
      </c>
    </row>
    <row r="239" spans="2:18" x14ac:dyDescent="0.3">
      <c r="B239" s="16">
        <v>0.26776431521390176</v>
      </c>
      <c r="C239" s="16">
        <f t="shared" si="45"/>
        <v>5.9773647406830693E-2</v>
      </c>
      <c r="D239" s="16">
        <f t="shared" si="41"/>
        <v>6.2640398170486136E-3</v>
      </c>
      <c r="E239" s="16">
        <f t="shared" si="42"/>
        <v>-8.5546770625887676E-3</v>
      </c>
      <c r="F239" s="16">
        <f t="shared" si="43"/>
        <v>-8.5544683875344758E-3</v>
      </c>
      <c r="G239" s="16" t="str">
        <f t="shared" si="46"/>
        <v xml:space="preserve"> </v>
      </c>
      <c r="H239" s="16" t="str">
        <f t="shared" si="47"/>
        <v xml:space="preserve"> </v>
      </c>
      <c r="I239" s="16" t="str">
        <f t="shared" si="48"/>
        <v xml:space="preserve"> </v>
      </c>
      <c r="J239" s="16">
        <f t="shared" si="44"/>
        <v>6.2640398170486136E-3</v>
      </c>
      <c r="K239" s="16">
        <f t="shared" si="49"/>
        <v>-8.5544683875344758E-3</v>
      </c>
      <c r="L239" s="16">
        <f t="shared" si="50"/>
        <v>0.26827564075462196</v>
      </c>
      <c r="M239" s="16">
        <f t="shared" si="51"/>
        <v>6.6035500151455068E-2</v>
      </c>
      <c r="N239" s="16">
        <f t="shared" si="52"/>
        <v>0.26725298967318156</v>
      </c>
      <c r="O239" s="16">
        <f t="shared" si="53"/>
        <v>-5.3507420517357844E-2</v>
      </c>
      <c r="R239" s="5">
        <f>IF($T$1, J239, -0.2)</f>
        <v>-0.2</v>
      </c>
    </row>
    <row r="240" spans="2:18" x14ac:dyDescent="0.3">
      <c r="B240" s="16">
        <v>0.26991181317985435</v>
      </c>
      <c r="C240" s="16">
        <f t="shared" si="45"/>
        <v>5.9805881228880656E-2</v>
      </c>
      <c r="D240" s="16">
        <f t="shared" si="41"/>
        <v>6.2456686654573232E-3</v>
      </c>
      <c r="E240" s="16">
        <f t="shared" si="42"/>
        <v>-8.5546770625887676E-3</v>
      </c>
      <c r="F240" s="16">
        <f t="shared" si="43"/>
        <v>-8.5544683875344758E-3</v>
      </c>
      <c r="G240" s="16" t="str">
        <f t="shared" si="46"/>
        <v xml:space="preserve"> </v>
      </c>
      <c r="H240" s="16" t="str">
        <f t="shared" si="47"/>
        <v xml:space="preserve"> </v>
      </c>
      <c r="I240" s="16" t="str">
        <f t="shared" si="48"/>
        <v xml:space="preserve"> </v>
      </c>
      <c r="J240" s="16">
        <f t="shared" si="44"/>
        <v>6.2456686654573232E-3</v>
      </c>
      <c r="K240" s="16">
        <f t="shared" si="49"/>
        <v>-8.5544683875344758E-3</v>
      </c>
      <c r="L240" s="16">
        <f t="shared" si="50"/>
        <v>0.27042341446042317</v>
      </c>
      <c r="M240" s="16">
        <f t="shared" si="51"/>
        <v>6.6049361642502649E-2</v>
      </c>
      <c r="N240" s="16">
        <f t="shared" si="52"/>
        <v>0.26940021189928554</v>
      </c>
      <c r="O240" s="16">
        <f t="shared" si="53"/>
        <v>-5.3558024311588001E-2</v>
      </c>
      <c r="R240" s="5">
        <f>IF($T$1, J240, -0.2)</f>
        <v>-0.2</v>
      </c>
    </row>
    <row r="241" spans="2:18" x14ac:dyDescent="0.3">
      <c r="B241" s="16">
        <v>0.27206654573084033</v>
      </c>
      <c r="C241" s="16">
        <f t="shared" si="45"/>
        <v>5.9835829607171452E-2</v>
      </c>
      <c r="D241" s="16">
        <f t="shared" si="41"/>
        <v>6.2272356243273895E-3</v>
      </c>
      <c r="E241" s="16">
        <f t="shared" si="42"/>
        <v>-8.5546770625887676E-3</v>
      </c>
      <c r="F241" s="16">
        <f t="shared" si="43"/>
        <v>-8.5544683875344758E-3</v>
      </c>
      <c r="G241" s="16" t="str">
        <f t="shared" si="46"/>
        <v xml:space="preserve"> </v>
      </c>
      <c r="H241" s="16" t="str">
        <f t="shared" si="47"/>
        <v xml:space="preserve"> </v>
      </c>
      <c r="I241" s="16" t="str">
        <f t="shared" si="48"/>
        <v xml:space="preserve"> </v>
      </c>
      <c r="J241" s="16">
        <f t="shared" si="44"/>
        <v>6.2272356243273895E-3</v>
      </c>
      <c r="K241" s="16">
        <f t="shared" si="49"/>
        <v>-8.5544683875344758E-3</v>
      </c>
      <c r="L241" s="16">
        <f t="shared" si="50"/>
        <v>0.27257840320073984</v>
      </c>
      <c r="M241" s="16">
        <f t="shared" si="51"/>
        <v>6.6060875883875061E-2</v>
      </c>
      <c r="N241" s="16">
        <f t="shared" si="52"/>
        <v>0.27155468826094081</v>
      </c>
      <c r="O241" s="16">
        <f t="shared" si="53"/>
        <v>-5.3606404635220276E-2</v>
      </c>
      <c r="R241" s="5">
        <f>IF($T$1, J241, -0.2)</f>
        <v>-0.2</v>
      </c>
    </row>
    <row r="242" spans="2:18" x14ac:dyDescent="0.3">
      <c r="B242" s="16">
        <v>0.27422849151519824</v>
      </c>
      <c r="C242" s="16">
        <f t="shared" si="45"/>
        <v>5.9863492004597896E-2</v>
      </c>
      <c r="D242" s="16">
        <f t="shared" si="41"/>
        <v>6.208740876315383E-3</v>
      </c>
      <c r="E242" s="16">
        <f t="shared" si="42"/>
        <v>-8.5546770625887676E-3</v>
      </c>
      <c r="F242" s="16">
        <f t="shared" si="43"/>
        <v>-8.5544683875344758E-3</v>
      </c>
      <c r="G242" s="16" t="str">
        <f t="shared" si="46"/>
        <v xml:space="preserve"> </v>
      </c>
      <c r="H242" s="16" t="str">
        <f t="shared" si="47"/>
        <v xml:space="preserve"> </v>
      </c>
      <c r="I242" s="16" t="str">
        <f t="shared" si="48"/>
        <v xml:space="preserve"> </v>
      </c>
      <c r="J242" s="16">
        <f t="shared" si="44"/>
        <v>6.208740876315383E-3</v>
      </c>
      <c r="K242" s="16">
        <f t="shared" si="49"/>
        <v>-8.5544683875344758E-3</v>
      </c>
      <c r="L242" s="16">
        <f t="shared" si="50"/>
        <v>0.27474058561931597</v>
      </c>
      <c r="M242" s="16">
        <f t="shared" si="51"/>
        <v>6.607004252114336E-2</v>
      </c>
      <c r="N242" s="16">
        <f t="shared" si="52"/>
        <v>0.2737163974110805</v>
      </c>
      <c r="O242" s="16">
        <f t="shared" si="53"/>
        <v>-5.3652560768512589E-2</v>
      </c>
      <c r="R242" s="5">
        <f>IF($T$1, J242, -0.2)</f>
        <v>-0.2</v>
      </c>
    </row>
    <row r="243" spans="2:18" x14ac:dyDescent="0.3">
      <c r="B243" s="16">
        <v>0.27639762910978904</v>
      </c>
      <c r="C243" s="16">
        <f t="shared" si="45"/>
        <v>5.988886799597197E-2</v>
      </c>
      <c r="D243" s="16">
        <f t="shared" si="41"/>
        <v>6.1901846046893381E-3</v>
      </c>
      <c r="E243" s="16">
        <f t="shared" si="42"/>
        <v>-8.5546770625887676E-3</v>
      </c>
      <c r="F243" s="16">
        <f t="shared" si="43"/>
        <v>-8.5544683875344758E-3</v>
      </c>
      <c r="G243" s="16" t="str">
        <f t="shared" si="46"/>
        <v xml:space="preserve"> </v>
      </c>
      <c r="H243" s="16" t="str">
        <f t="shared" si="47"/>
        <v xml:space="preserve"> </v>
      </c>
      <c r="I243" s="16" t="str">
        <f t="shared" si="48"/>
        <v xml:space="preserve"> </v>
      </c>
      <c r="J243" s="16">
        <f t="shared" si="44"/>
        <v>6.1901846046893381E-3</v>
      </c>
      <c r="K243" s="16">
        <f t="shared" si="49"/>
        <v>-8.5544683875344758E-3</v>
      </c>
      <c r="L243" s="16">
        <f t="shared" si="50"/>
        <v>0.27690994028937521</v>
      </c>
      <c r="M243" s="16">
        <f t="shared" si="51"/>
        <v>6.6076861312403104E-2</v>
      </c>
      <c r="N243" s="16">
        <f t="shared" si="52"/>
        <v>0.27588531793020288</v>
      </c>
      <c r="O243" s="16">
        <f t="shared" si="53"/>
        <v>-5.3696492103024435E-2</v>
      </c>
      <c r="R243" s="5">
        <f>IF($T$1, J243, -0.2)</f>
        <v>-0.2</v>
      </c>
    </row>
    <row r="244" spans="2:18" x14ac:dyDescent="0.3">
      <c r="B244" s="16">
        <v>0.27857393702020894</v>
      </c>
      <c r="C244" s="16">
        <f t="shared" si="45"/>
        <v>5.991195726780852E-2</v>
      </c>
      <c r="D244" s="16">
        <f t="shared" si="41"/>
        <v>6.1715669933269379E-3</v>
      </c>
      <c r="E244" s="16">
        <f t="shared" si="42"/>
        <v>-8.5546770625887676E-3</v>
      </c>
      <c r="F244" s="16">
        <f t="shared" si="43"/>
        <v>-8.5544683875344758E-3</v>
      </c>
      <c r="G244" s="16" t="str">
        <f t="shared" si="46"/>
        <v xml:space="preserve"> </v>
      </c>
      <c r="H244" s="16" t="str">
        <f t="shared" si="47"/>
        <v xml:space="preserve"> </v>
      </c>
      <c r="I244" s="16" t="str">
        <f t="shared" si="48"/>
        <v xml:space="preserve"> </v>
      </c>
      <c r="J244" s="16">
        <f t="shared" si="44"/>
        <v>6.1715669933269379E-3</v>
      </c>
      <c r="K244" s="16">
        <f t="shared" si="49"/>
        <v>-8.5544683875344758E-3</v>
      </c>
      <c r="L244" s="16">
        <f t="shared" si="50"/>
        <v>0.27908644571383212</v>
      </c>
      <c r="M244" s="16">
        <f t="shared" si="51"/>
        <v>6.6081332128058307E-2</v>
      </c>
      <c r="N244" s="16">
        <f t="shared" si="52"/>
        <v>0.27806142832658576</v>
      </c>
      <c r="O244" s="16">
        <f t="shared" si="53"/>
        <v>-5.3738198141404438E-2</v>
      </c>
      <c r="R244" s="5">
        <f>IF($T$1, J244, -0.2)</f>
        <v>-0.2</v>
      </c>
    </row>
    <row r="245" spans="2:18" x14ac:dyDescent="0.3">
      <c r="B245" s="16">
        <v>0.28075739368100194</v>
      </c>
      <c r="C245" s="16">
        <f t="shared" si="45"/>
        <v>5.9932759618089526E-2</v>
      </c>
      <c r="D245" s="16">
        <f t="shared" si="41"/>
        <v>6.152888226713696E-3</v>
      </c>
      <c r="E245" s="16">
        <f t="shared" si="42"/>
        <v>-8.5546770625887676E-3</v>
      </c>
      <c r="F245" s="16">
        <f t="shared" si="43"/>
        <v>-8.5544683875344758E-3</v>
      </c>
      <c r="G245" s="16" t="str">
        <f t="shared" si="46"/>
        <v xml:space="preserve"> </v>
      </c>
      <c r="H245" s="16" t="str">
        <f t="shared" si="47"/>
        <v xml:space="preserve"> </v>
      </c>
      <c r="I245" s="16" t="str">
        <f t="shared" si="48"/>
        <v xml:space="preserve"> </v>
      </c>
      <c r="J245" s="16">
        <f t="shared" si="44"/>
        <v>6.152888226713696E-3</v>
      </c>
      <c r="K245" s="16">
        <f t="shared" si="49"/>
        <v>-8.5544683875344758E-3</v>
      </c>
      <c r="L245" s="16">
        <f t="shared" si="50"/>
        <v>0.2812700803255026</v>
      </c>
      <c r="M245" s="16">
        <f t="shared" si="51"/>
        <v>6.6083454950583861E-2</v>
      </c>
      <c r="N245" s="16">
        <f t="shared" si="52"/>
        <v>0.28024470703650128</v>
      </c>
      <c r="O245" s="16">
        <f t="shared" si="53"/>
        <v>-5.3777678497156464E-2</v>
      </c>
      <c r="R245" s="5">
        <f>IF($T$1, J245, -0.2)</f>
        <v>-0.2</v>
      </c>
    </row>
    <row r="246" spans="2:18" x14ac:dyDescent="0.3">
      <c r="B246" s="16">
        <v>0.28294797745587386</v>
      </c>
      <c r="C246" s="16">
        <f t="shared" si="45"/>
        <v>5.995127495600619E-2</v>
      </c>
      <c r="D246" s="16">
        <f t="shared" si="41"/>
        <v>6.1341484899411197E-3</v>
      </c>
      <c r="E246" s="16">
        <f t="shared" si="42"/>
        <v>-8.5546770625887676E-3</v>
      </c>
      <c r="F246" s="16">
        <f t="shared" si="43"/>
        <v>-8.5544683875344758E-3</v>
      </c>
      <c r="G246" s="16" t="str">
        <f t="shared" si="46"/>
        <v xml:space="preserve"> </v>
      </c>
      <c r="H246" s="16" t="str">
        <f t="shared" si="47"/>
        <v xml:space="preserve"> </v>
      </c>
      <c r="I246" s="16" t="str">
        <f t="shared" si="48"/>
        <v xml:space="preserve"> </v>
      </c>
      <c r="J246" s="16">
        <f t="shared" si="44"/>
        <v>6.1341484899411197E-3</v>
      </c>
      <c r="K246" s="16">
        <f t="shared" si="49"/>
        <v>-8.5544683875344758E-3</v>
      </c>
      <c r="L246" s="16">
        <f t="shared" si="50"/>
        <v>0.28346082248731558</v>
      </c>
      <c r="M246" s="16">
        <f t="shared" si="51"/>
        <v>6.6083229874265778E-2</v>
      </c>
      <c r="N246" s="16">
        <f t="shared" si="52"/>
        <v>0.28243513242443213</v>
      </c>
      <c r="O246" s="16">
        <f t="shared" si="53"/>
        <v>-5.3814932894383535E-2</v>
      </c>
      <c r="R246" s="5">
        <f>IF($T$1, J246, -0.2)</f>
        <v>-0.2</v>
      </c>
    </row>
    <row r="247" spans="2:18" x14ac:dyDescent="0.3">
      <c r="B247" s="16">
        <v>0.28514566663790619</v>
      </c>
      <c r="C247" s="16">
        <f t="shared" si="45"/>
        <v>5.9967503301679784E-2</v>
      </c>
      <c r="D247" s="16">
        <f t="shared" si="41"/>
        <v>6.1153479687048881E-3</v>
      </c>
      <c r="E247" s="16">
        <f t="shared" si="42"/>
        <v>-8.5546770625887676E-3</v>
      </c>
      <c r="F247" s="16">
        <f t="shared" si="43"/>
        <v>-8.5544683875344758E-3</v>
      </c>
      <c r="G247" s="16" t="str">
        <f t="shared" si="46"/>
        <v xml:space="preserve"> </v>
      </c>
      <c r="H247" s="16" t="str">
        <f t="shared" si="47"/>
        <v xml:space="preserve"> </v>
      </c>
      <c r="I247" s="16" t="str">
        <f t="shared" si="48"/>
        <v xml:space="preserve"> </v>
      </c>
      <c r="J247" s="16">
        <f t="shared" si="44"/>
        <v>6.1153479687048881E-3</v>
      </c>
      <c r="K247" s="16">
        <f t="shared" si="49"/>
        <v>-8.5544683875344758E-3</v>
      </c>
      <c r="L247" s="16">
        <f t="shared" si="50"/>
        <v>0.28565865049252481</v>
      </c>
      <c r="M247" s="16">
        <f t="shared" si="51"/>
        <v>6.6080657104920282E-2</v>
      </c>
      <c r="N247" s="16">
        <f t="shared" si="52"/>
        <v>0.28463268278328757</v>
      </c>
      <c r="O247" s="16">
        <f t="shared" si="53"/>
        <v>-5.38499611675105E-2</v>
      </c>
      <c r="R247" s="5">
        <f>IF($T$1, J247, -0.2)</f>
        <v>-0.2</v>
      </c>
    </row>
    <row r="248" spans="2:18" x14ac:dyDescent="0.3">
      <c r="B248" s="16">
        <v>0.28735043944977212</v>
      </c>
      <c r="C248" s="16">
        <f t="shared" si="45"/>
        <v>5.9981444785860503E-2</v>
      </c>
      <c r="D248" s="16">
        <f t="shared" si="41"/>
        <v>6.0964868493029994E-3</v>
      </c>
      <c r="E248" s="16">
        <f t="shared" si="42"/>
        <v>-8.5546770625887676E-3</v>
      </c>
      <c r="F248" s="16">
        <f t="shared" si="43"/>
        <v>-8.5544683875344758E-3</v>
      </c>
      <c r="G248" s="16" t="str">
        <f t="shared" si="46"/>
        <v xml:space="preserve"> </v>
      </c>
      <c r="H248" s="16" t="str">
        <f t="shared" si="47"/>
        <v xml:space="preserve"> </v>
      </c>
      <c r="I248" s="16" t="str">
        <f t="shared" si="48"/>
        <v xml:space="preserve"> </v>
      </c>
      <c r="J248" s="16">
        <f t="shared" si="44"/>
        <v>6.0964868493029994E-3</v>
      </c>
      <c r="K248" s="16">
        <f t="shared" si="49"/>
        <v>-8.5544683875344758E-3</v>
      </c>
      <c r="L248" s="16">
        <f t="shared" si="50"/>
        <v>0.28786354256492186</v>
      </c>
      <c r="M248" s="16">
        <f t="shared" si="51"/>
        <v>6.6075736959590778E-2</v>
      </c>
      <c r="N248" s="16">
        <f t="shared" si="52"/>
        <v>0.28683733633462238</v>
      </c>
      <c r="O248" s="16">
        <f t="shared" si="53"/>
        <v>-5.3882763260984776E-2</v>
      </c>
      <c r="R248" s="5">
        <f>IF($T$1, J248, -0.2)</f>
        <v>-0.2</v>
      </c>
    </row>
    <row r="249" spans="2:18" x14ac:dyDescent="0.3">
      <c r="B249" s="16">
        <v>0.28956227404395118</v>
      </c>
      <c r="C249" s="16">
        <f t="shared" si="45"/>
        <v>5.9993099649604892E-2</v>
      </c>
      <c r="D249" s="16">
        <f t="shared" si="41"/>
        <v>6.0775653186339353E-3</v>
      </c>
      <c r="E249" s="16">
        <f t="shared" si="42"/>
        <v>-8.5546770625887676E-3</v>
      </c>
      <c r="F249" s="16">
        <f t="shared" si="43"/>
        <v>-8.5544683875344758E-3</v>
      </c>
      <c r="G249" s="16" t="str">
        <f t="shared" si="46"/>
        <v xml:space="preserve"> </v>
      </c>
      <c r="H249" s="16" t="str">
        <f t="shared" si="47"/>
        <v xml:space="preserve"> </v>
      </c>
      <c r="I249" s="16" t="str">
        <f t="shared" si="48"/>
        <v xml:space="preserve"> </v>
      </c>
      <c r="J249" s="16">
        <f t="shared" si="44"/>
        <v>6.0775653186339353E-3</v>
      </c>
      <c r="K249" s="16">
        <f t="shared" si="49"/>
        <v>-8.5544683875344758E-3</v>
      </c>
      <c r="L249" s="16">
        <f t="shared" si="50"/>
        <v>0.29007547685904839</v>
      </c>
      <c r="M249" s="16">
        <f t="shared" si="51"/>
        <v>6.6068469866223473E-2</v>
      </c>
      <c r="N249" s="16">
        <f t="shared" si="52"/>
        <v>0.28904907122885398</v>
      </c>
      <c r="O249" s="16">
        <f t="shared" si="53"/>
        <v>-5.3913339228955609E-2</v>
      </c>
      <c r="R249" s="5">
        <f>IF($T$1, J249, -0.2)</f>
        <v>-0.2</v>
      </c>
    </row>
    <row r="250" spans="2:18" x14ac:dyDescent="0.3">
      <c r="B250" s="16">
        <v>0.2917811485029469</v>
      </c>
      <c r="C250" s="16">
        <f t="shared" si="45"/>
        <v>6.0002468243931503E-2</v>
      </c>
      <c r="D250" s="16">
        <f t="shared" si="41"/>
        <v>6.0585835641948005E-3</v>
      </c>
      <c r="E250" s="16">
        <f t="shared" si="42"/>
        <v>-8.5546770625887676E-3</v>
      </c>
      <c r="F250" s="16">
        <f t="shared" si="43"/>
        <v>-8.5544683875344758E-3</v>
      </c>
      <c r="G250" s="16" t="str">
        <f t="shared" si="46"/>
        <v xml:space="preserve"> </v>
      </c>
      <c r="H250" s="16" t="str">
        <f t="shared" si="47"/>
        <v xml:space="preserve"> </v>
      </c>
      <c r="I250" s="16" t="str">
        <f t="shared" si="48"/>
        <v xml:space="preserve"> </v>
      </c>
      <c r="J250" s="16">
        <f t="shared" si="44"/>
        <v>6.0585835641948005E-3</v>
      </c>
      <c r="K250" s="16">
        <f t="shared" si="49"/>
        <v>-8.5544683875344758E-3</v>
      </c>
      <c r="L250" s="16">
        <f t="shared" si="50"/>
        <v>0.29229443146041068</v>
      </c>
      <c r="M250" s="16">
        <f t="shared" si="51"/>
        <v>6.6058856363321192E-2</v>
      </c>
      <c r="N250" s="16">
        <f t="shared" si="52"/>
        <v>0.29126786554548312</v>
      </c>
      <c r="O250" s="16">
        <f t="shared" si="53"/>
        <v>-5.3941689234931589E-2</v>
      </c>
      <c r="R250" s="5">
        <f>IF($T$1, J250, -0.2)</f>
        <v>-0.2</v>
      </c>
    </row>
    <row r="251" spans="2:18" x14ac:dyDescent="0.3">
      <c r="B251" s="16">
        <v>0.29400704083950302</v>
      </c>
      <c r="C251" s="16">
        <f t="shared" si="45"/>
        <v>6.0009551029455266E-2</v>
      </c>
      <c r="D251" s="16">
        <f t="shared" si="41"/>
        <v>6.0395417740794722E-3</v>
      </c>
      <c r="E251" s="16">
        <f t="shared" si="42"/>
        <v>-8.5546770625887676E-3</v>
      </c>
      <c r="F251" s="16">
        <f t="shared" si="43"/>
        <v>-8.5544683875344758E-3</v>
      </c>
      <c r="G251" s="16" t="str">
        <f t="shared" si="46"/>
        <v xml:space="preserve"> </v>
      </c>
      <c r="H251" s="16" t="str">
        <f t="shared" si="47"/>
        <v xml:space="preserve"> </v>
      </c>
      <c r="I251" s="16" t="str">
        <f t="shared" si="48"/>
        <v xml:space="preserve"> </v>
      </c>
      <c r="J251" s="16">
        <f t="shared" si="44"/>
        <v>6.0395417740794722E-3</v>
      </c>
      <c r="K251" s="16">
        <f t="shared" si="49"/>
        <v>-8.5544683875344758E-3</v>
      </c>
      <c r="L251" s="16">
        <f t="shared" si="50"/>
        <v>0.29452038438569267</v>
      </c>
      <c r="M251" s="16">
        <f t="shared" si="51"/>
        <v>6.6046897099575869E-2</v>
      </c>
      <c r="N251" s="16">
        <f t="shared" si="52"/>
        <v>0.29349369729331337</v>
      </c>
      <c r="O251" s="16">
        <f t="shared" si="53"/>
        <v>-5.3967813551416929E-2</v>
      </c>
      <c r="R251" s="5">
        <f>IF($T$1, J251, -0.2)</f>
        <v>-0.2</v>
      </c>
    </row>
    <row r="252" spans="2:18" x14ac:dyDescent="0.3">
      <c r="B252" s="16">
        <v>0.29623992899682194</v>
      </c>
      <c r="C252" s="16">
        <f t="shared" si="45"/>
        <v>6.001434857600025E-2</v>
      </c>
      <c r="D252" s="16">
        <f t="shared" si="41"/>
        <v>6.0204401369767296E-3</v>
      </c>
      <c r="E252" s="16">
        <f t="shared" si="42"/>
        <v>-8.5546770625887676E-3</v>
      </c>
      <c r="F252" s="16">
        <f t="shared" si="43"/>
        <v>-8.5544683875344758E-3</v>
      </c>
      <c r="G252" s="16" t="str">
        <f t="shared" si="46"/>
        <v xml:space="preserve"> </v>
      </c>
      <c r="H252" s="16" t="str">
        <f t="shared" si="47"/>
        <v xml:space="preserve"> </v>
      </c>
      <c r="I252" s="16" t="str">
        <f t="shared" si="48"/>
        <v xml:space="preserve"> </v>
      </c>
      <c r="J252" s="16">
        <f t="shared" si="44"/>
        <v>6.0204401369767296E-3</v>
      </c>
      <c r="K252" s="16">
        <f t="shared" si="49"/>
        <v>-8.5544683875344758E-3</v>
      </c>
      <c r="L252" s="16">
        <f t="shared" si="50"/>
        <v>0.2967533135829713</v>
      </c>
      <c r="M252" s="16">
        <f t="shared" si="51"/>
        <v>6.6032592833479523E-2</v>
      </c>
      <c r="N252" s="16">
        <f t="shared" si="52"/>
        <v>0.29572654441067259</v>
      </c>
      <c r="O252" s="16">
        <f t="shared" si="53"/>
        <v>-5.3991712559526062E-2</v>
      </c>
      <c r="R252" s="5">
        <f>IF($T$1, J252, -0.2)</f>
        <v>-0.2</v>
      </c>
    </row>
    <row r="253" spans="2:18" x14ac:dyDescent="0.3">
      <c r="B253" s="16">
        <v>0.29847979084878318</v>
      </c>
      <c r="C253" s="16">
        <f t="shared" si="45"/>
        <v>6.0016861562190903E-2</v>
      </c>
      <c r="D253" s="16">
        <f t="shared" si="41"/>
        <v>6.0012788421683894E-3</v>
      </c>
      <c r="E253" s="16">
        <f t="shared" si="42"/>
        <v>-8.5546770625887676E-3</v>
      </c>
      <c r="F253" s="16">
        <f t="shared" si="43"/>
        <v>-8.5544683875344758E-3</v>
      </c>
      <c r="G253" s="16" t="str">
        <f t="shared" si="46"/>
        <v xml:space="preserve"> </v>
      </c>
      <c r="H253" s="16" t="str">
        <f t="shared" si="47"/>
        <v xml:space="preserve"> </v>
      </c>
      <c r="I253" s="16" t="str">
        <f t="shared" si="48"/>
        <v xml:space="preserve"> </v>
      </c>
      <c r="J253" s="16">
        <f t="shared" si="44"/>
        <v>6.0012788421683894E-3</v>
      </c>
      <c r="K253" s="16">
        <f t="shared" si="49"/>
        <v>-8.5544683875344758E-3</v>
      </c>
      <c r="L253" s="16">
        <f t="shared" si="50"/>
        <v>0.29899319693193127</v>
      </c>
      <c r="M253" s="16">
        <f t="shared" si="51"/>
        <v>6.6015944432913587E-2</v>
      </c>
      <c r="N253" s="16">
        <f t="shared" si="52"/>
        <v>0.29796638476563508</v>
      </c>
      <c r="O253" s="16">
        <f t="shared" si="53"/>
        <v>-5.4013386748576801E-2</v>
      </c>
      <c r="R253" s="5">
        <f>IF($T$1, J253, -0.2)</f>
        <v>-0.2</v>
      </c>
    </row>
    <row r="254" spans="2:18" x14ac:dyDescent="0.3">
      <c r="B254" s="16">
        <v>0.30072660420016228</v>
      </c>
      <c r="C254" s="16">
        <f t="shared" si="45"/>
        <v>6.0017090775022389E-2</v>
      </c>
      <c r="D254" s="16">
        <f t="shared" si="41"/>
        <v>5.9820580795274282E-3</v>
      </c>
      <c r="E254" s="16">
        <f t="shared" si="42"/>
        <v>-8.5546770625887676E-3</v>
      </c>
      <c r="F254" s="16">
        <f t="shared" si="43"/>
        <v>-8.5544683875344758E-3</v>
      </c>
      <c r="G254" s="16" t="str">
        <f t="shared" si="46"/>
        <v xml:space="preserve"> </v>
      </c>
      <c r="H254" s="16" t="str">
        <f t="shared" si="47"/>
        <v xml:space="preserve"> </v>
      </c>
      <c r="I254" s="16" t="str">
        <f t="shared" si="48"/>
        <v xml:space="preserve"> </v>
      </c>
      <c r="J254" s="16">
        <f t="shared" si="44"/>
        <v>5.9820580795274282E-3</v>
      </c>
      <c r="K254" s="16">
        <f t="shared" si="49"/>
        <v>-8.5544683875344758E-3</v>
      </c>
      <c r="L254" s="16">
        <f t="shared" si="50"/>
        <v>0.30124001224408037</v>
      </c>
      <c r="M254" s="16">
        <f t="shared" si="51"/>
        <v>6.5996952874717379E-2</v>
      </c>
      <c r="N254" s="16">
        <f t="shared" si="52"/>
        <v>0.3002131961562442</v>
      </c>
      <c r="O254" s="16">
        <f t="shared" si="53"/>
        <v>-5.403283671566253E-2</v>
      </c>
      <c r="R254" s="5">
        <f>IF($T$1, J254, -0.2)</f>
        <v>-0.2</v>
      </c>
    </row>
    <row r="255" spans="2:18" x14ac:dyDescent="0.3">
      <c r="B255" s="16">
        <v>0.30298034678685137</v>
      </c>
      <c r="C255" s="16">
        <f t="shared" si="45"/>
        <v>6.0015037109408996E-2</v>
      </c>
      <c r="D255" s="16">
        <f t="shared" si="41"/>
        <v>5.9627780395160998E-3</v>
      </c>
      <c r="E255" s="16">
        <f t="shared" si="42"/>
        <v>-8.5546770625887676E-3</v>
      </c>
      <c r="F255" s="16">
        <f t="shared" si="43"/>
        <v>-8.5544683875344758E-3</v>
      </c>
      <c r="G255" s="16" t="str">
        <f t="shared" si="46"/>
        <v xml:space="preserve"> </v>
      </c>
      <c r="H255" s="16" t="str">
        <f t="shared" si="47"/>
        <v xml:space="preserve"> </v>
      </c>
      <c r="I255" s="16" t="str">
        <f t="shared" si="48"/>
        <v xml:space="preserve"> </v>
      </c>
      <c r="J255" s="16">
        <f t="shared" si="44"/>
        <v>5.9627780395160998E-3</v>
      </c>
      <c r="K255" s="16">
        <f t="shared" si="49"/>
        <v>-8.5544683875344758E-3</v>
      </c>
      <c r="L255" s="16">
        <f t="shared" si="50"/>
        <v>0.30349373726296613</v>
      </c>
      <c r="M255" s="16">
        <f t="shared" si="51"/>
        <v>6.5975619244234729E-2</v>
      </c>
      <c r="N255" s="16">
        <f t="shared" si="52"/>
        <v>0.30246695631073661</v>
      </c>
      <c r="O255" s="16">
        <f t="shared" si="53"/>
        <v>-5.4050063165202528E-2</v>
      </c>
      <c r="R255" s="5">
        <f>IF($T$1, J255, -0.2)</f>
        <v>-0.2</v>
      </c>
    </row>
    <row r="256" spans="2:18" x14ac:dyDescent="0.3">
      <c r="B256" s="16">
        <v>0.30524099627607926</v>
      </c>
      <c r="C256" s="16">
        <f t="shared" si="45"/>
        <v>6.0010701567711856E-2</v>
      </c>
      <c r="D256" s="16">
        <f t="shared" si="41"/>
        <v>5.9434389131840489E-3</v>
      </c>
      <c r="E256" s="16">
        <f t="shared" si="42"/>
        <v>-8.5546770625887676E-3</v>
      </c>
      <c r="F256" s="16">
        <f t="shared" si="43"/>
        <v>-8.5544683875344758E-3</v>
      </c>
      <c r="G256" s="16" t="str">
        <f t="shared" si="46"/>
        <v xml:space="preserve"> </v>
      </c>
      <c r="H256" s="16" t="str">
        <f t="shared" si="47"/>
        <v xml:space="preserve"> </v>
      </c>
      <c r="I256" s="16" t="str">
        <f t="shared" si="48"/>
        <v xml:space="preserve"> </v>
      </c>
      <c r="J256" s="16">
        <f t="shared" si="44"/>
        <v>5.9434389131840489E-3</v>
      </c>
      <c r="K256" s="16">
        <f t="shared" si="49"/>
        <v>-8.5544683875344758E-3</v>
      </c>
      <c r="L256" s="16">
        <f t="shared" si="50"/>
        <v>0.30575434966439202</v>
      </c>
      <c r="M256" s="16">
        <f t="shared" si="51"/>
        <v>6.5951944734839715E-2</v>
      </c>
      <c r="N256" s="16">
        <f t="shared" si="52"/>
        <v>0.30472764288776649</v>
      </c>
      <c r="O256" s="16">
        <f t="shared" si="53"/>
        <v>-5.4065066908471619E-2</v>
      </c>
      <c r="R256" s="5">
        <f>IF($T$1, J256, -0.2)</f>
        <v>-0.2</v>
      </c>
    </row>
    <row r="257" spans="2:18" x14ac:dyDescent="0.3">
      <c r="B257" s="16">
        <v>0.30750853026663305</v>
      </c>
      <c r="C257" s="16">
        <f t="shared" si="45"/>
        <v>6.0004085259245374E-2</v>
      </c>
      <c r="D257" s="16">
        <f t="shared" ref="D257:D320" si="54">IF($Q$1=1, IF(B257&lt;$A$8, ($A$10/6)*((B257^3)-3*$A$8*(B257^2)+($A$8^2)*(3-$A$8)*B257), (($A$10*($A$8^3))/6)*(1-B257)), " ")</f>
        <v>5.9240408921664182E-3</v>
      </c>
      <c r="E257" s="16">
        <f t="shared" ref="E257:E320" si="55">IF($Q$1=1,IF(B257&lt;$A$8, ($A$10/6)*(3*(B257^2)-6*$A$8*B257+($A$8^2)*(3-$A$8)), -($A$10*($A$8^3))/6), " ")</f>
        <v>-8.5546770625887676E-3</v>
      </c>
      <c r="F257" s="16">
        <f t="shared" ref="F257:F320" si="56">IF($Q$1=1, ATAN(E257), " ")</f>
        <v>-8.5544683875344758E-3</v>
      </c>
      <c r="G257" s="16" t="str">
        <f t="shared" si="46"/>
        <v xml:space="preserve"> </v>
      </c>
      <c r="H257" s="16" t="str">
        <f t="shared" si="47"/>
        <v xml:space="preserve"> </v>
      </c>
      <c r="I257" s="16" t="str">
        <f t="shared" si="48"/>
        <v xml:space="preserve"> </v>
      </c>
      <c r="J257" s="16">
        <f t="shared" ref="J257:J320" si="57">IF($Q$1=1, D257, G257)</f>
        <v>5.9240408921664182E-3</v>
      </c>
      <c r="K257" s="16">
        <f t="shared" si="49"/>
        <v>-8.5544683875344758E-3</v>
      </c>
      <c r="L257" s="16">
        <f t="shared" si="50"/>
        <v>0.3080218270566345</v>
      </c>
      <c r="M257" s="16">
        <f t="shared" si="51"/>
        <v>6.5925930647441316E-2</v>
      </c>
      <c r="N257" s="16">
        <f t="shared" si="52"/>
        <v>0.3069952334766316</v>
      </c>
      <c r="O257" s="16">
        <f t="shared" si="53"/>
        <v>-5.4077848863108478E-2</v>
      </c>
      <c r="R257" s="5">
        <f>IF($T$1, J257, -0.2)</f>
        <v>-0.2</v>
      </c>
    </row>
    <row r="258" spans="2:18" x14ac:dyDescent="0.3">
      <c r="B258" s="16">
        <v>0.30978292628908</v>
      </c>
      <c r="C258" s="16">
        <f t="shared" ref="C258:C321" si="58">IF(AND($Q$1=2, $A$3=1), 0, 5*($A$4/100)*(0.2969*SQRT(B258)-0.126*B258-0.3516*(B258^2)+0.2843*(B258^3)-0.1015*(B258^4)))</f>
        <v>5.9995189399762422E-2</v>
      </c>
      <c r="D258" s="16">
        <f t="shared" si="54"/>
        <v>5.9045841686819478E-3</v>
      </c>
      <c r="E258" s="16">
        <f t="shared" si="55"/>
        <v>-8.5546770625887676E-3</v>
      </c>
      <c r="F258" s="16">
        <f t="shared" si="56"/>
        <v>-8.5544683875344758E-3</v>
      </c>
      <c r="G258" s="16" t="str">
        <f t="shared" ref="G258:G321" si="59">IF($Q$1=2, IF(A260&lt;&gt;1, IF(B258&lt;$A$11, ($A$12/6)*((B258-$A$11)^3-$A$13*((1-$A$11)^3)*B258-($A$11^3)*B258+$A$11^3), ($A$12/6)*($A$13*(B258-$A$11)^3-$A$13*((1-$A$11)^3)*B258-($A$11^3)*B258+$A$11^3)), 0), " ")</f>
        <v xml:space="preserve"> </v>
      </c>
      <c r="H258" s="16" t="str">
        <f t="shared" ref="H258:H321" si="60">IF($Q$1=2, IF(A260&lt;&gt;1, IF(B258&lt;$A$11, ($A$12/6)*(3*(B258-$A$11)^2-$A$13*((1-$A$11)^3)-($A$11^3)), ($A$12/6)*(3*$A$13*(B258-$A$11)^2-$A$13*((1-$A$11)^3)-($A$11^3))),0 ), " ")</f>
        <v xml:space="preserve"> </v>
      </c>
      <c r="I258" s="16" t="str">
        <f t="shared" ref="I258:I321" si="61">IF($Q$1=2, IF(A260&lt;&gt;1,  ATAN(H258), 0), " ")</f>
        <v xml:space="preserve"> </v>
      </c>
      <c r="J258" s="16">
        <f t="shared" si="57"/>
        <v>5.9045841686819478E-3</v>
      </c>
      <c r="K258" s="16">
        <f t="shared" ref="K258:K321" si="62">IF($Q$1=1, F258, I258)</f>
        <v>-8.5544683875344758E-3</v>
      </c>
      <c r="L258" s="16">
        <f t="shared" ref="L258:L321" si="63">B258-C258*SIN(K258)</f>
        <v>0.31029614698066083</v>
      </c>
      <c r="M258" s="16">
        <f t="shared" ref="M258:M321" si="64">J258+C258*COS(K258)</f>
        <v>6.5897578389966641E-2</v>
      </c>
      <c r="N258" s="16">
        <f t="shared" ref="N258:N321" si="65">B258+C258*SIN(K258)</f>
        <v>0.30926970559749917</v>
      </c>
      <c r="O258" s="16">
        <f t="shared" ref="O258:O321" si="66">J258-C258*COS(K258)</f>
        <v>-5.4088410052602745E-2</v>
      </c>
      <c r="R258" s="5">
        <f>IF($T$1, J258, -0.2)</f>
        <v>-0.2</v>
      </c>
    </row>
    <row r="259" spans="2:18" x14ac:dyDescent="0.3">
      <c r="B259" s="16">
        <v>0.31206416180598984</v>
      </c>
      <c r="C259" s="16">
        <f t="shared" si="58"/>
        <v>5.9984015310918876E-2</v>
      </c>
      <c r="D259" s="16">
        <f t="shared" si="54"/>
        <v>5.8850689355310765E-3</v>
      </c>
      <c r="E259" s="16">
        <f t="shared" si="55"/>
        <v>-8.5546770625887676E-3</v>
      </c>
      <c r="F259" s="16">
        <f t="shared" si="56"/>
        <v>-8.5544683875344758E-3</v>
      </c>
      <c r="G259" s="16" t="str">
        <f t="shared" si="59"/>
        <v xml:space="preserve"> </v>
      </c>
      <c r="H259" s="16" t="str">
        <f t="shared" si="60"/>
        <v xml:space="preserve"> </v>
      </c>
      <c r="I259" s="16" t="str">
        <f t="shared" si="61"/>
        <v xml:space="preserve"> </v>
      </c>
      <c r="J259" s="16">
        <f t="shared" si="57"/>
        <v>5.8850689355310765E-3</v>
      </c>
      <c r="K259" s="16">
        <f t="shared" si="62"/>
        <v>-8.5544683875344758E-3</v>
      </c>
      <c r="L259" s="16">
        <f t="shared" si="63"/>
        <v>0.31257728691034675</v>
      </c>
      <c r="M259" s="16">
        <f t="shared" si="64"/>
        <v>6.5866889476823662E-2</v>
      </c>
      <c r="N259" s="16">
        <f t="shared" si="65"/>
        <v>0.31155103670163292</v>
      </c>
      <c r="O259" s="16">
        <f t="shared" si="66"/>
        <v>-5.4096751605761509E-2</v>
      </c>
      <c r="R259" s="5">
        <f>IF($T$1, J259, -0.2)</f>
        <v>-0.2</v>
      </c>
    </row>
    <row r="260" spans="2:18" x14ac:dyDescent="0.3">
      <c r="B260" s="16">
        <v>0.31435221421215875</v>
      </c>
      <c r="C260" s="16">
        <f t="shared" si="58"/>
        <v>5.9970564419716987E-2</v>
      </c>
      <c r="D260" s="16">
        <f t="shared" si="54"/>
        <v>5.8654953860940223E-3</v>
      </c>
      <c r="E260" s="16">
        <f t="shared" si="55"/>
        <v>-8.5546770625887676E-3</v>
      </c>
      <c r="F260" s="16">
        <f t="shared" si="56"/>
        <v>-8.5544683875344758E-3</v>
      </c>
      <c r="G260" s="16" t="str">
        <f t="shared" si="59"/>
        <v xml:space="preserve"> </v>
      </c>
      <c r="H260" s="16" t="str">
        <f t="shared" si="60"/>
        <v xml:space="preserve"> </v>
      </c>
      <c r="I260" s="16" t="str">
        <f t="shared" si="61"/>
        <v xml:space="preserve"> </v>
      </c>
      <c r="J260" s="16">
        <f t="shared" si="57"/>
        <v>5.8654953860940223E-3</v>
      </c>
      <c r="K260" s="16">
        <f t="shared" si="62"/>
        <v>-8.5544683875344758E-3</v>
      </c>
      <c r="L260" s="16">
        <f t="shared" si="63"/>
        <v>0.31486522425269547</v>
      </c>
      <c r="M260" s="16">
        <f t="shared" si="64"/>
        <v>6.5833865528342625E-2</v>
      </c>
      <c r="N260" s="16">
        <f t="shared" si="65"/>
        <v>0.31383920417162203</v>
      </c>
      <c r="O260" s="16">
        <f t="shared" si="66"/>
        <v>-5.4102874756154579E-2</v>
      </c>
      <c r="R260" s="5">
        <f>IF($T$1, J260, -0.2)</f>
        <v>-0.2</v>
      </c>
    </row>
    <row r="261" spans="2:18" x14ac:dyDescent="0.3">
      <c r="B261" s="16">
        <v>0.31664706083483307</v>
      </c>
      <c r="C261" s="16">
        <f t="shared" si="58"/>
        <v>5.9954838257928071E-2</v>
      </c>
      <c r="D261" s="16">
        <f t="shared" si="54"/>
        <v>5.845863714328871E-3</v>
      </c>
      <c r="E261" s="16">
        <f t="shared" si="55"/>
        <v>-8.5546770625887676E-3</v>
      </c>
      <c r="F261" s="16">
        <f t="shared" si="56"/>
        <v>-8.5544683875344758E-3</v>
      </c>
      <c r="G261" s="16" t="str">
        <f t="shared" si="59"/>
        <v xml:space="preserve"> </v>
      </c>
      <c r="H261" s="16" t="str">
        <f t="shared" si="60"/>
        <v xml:space="preserve"> </v>
      </c>
      <c r="I261" s="16" t="str">
        <f t="shared" si="61"/>
        <v xml:space="preserve"> </v>
      </c>
      <c r="J261" s="16">
        <f t="shared" si="57"/>
        <v>5.845863714328871E-3</v>
      </c>
      <c r="K261" s="16">
        <f t="shared" si="62"/>
        <v>-8.5544683875344758E-3</v>
      </c>
      <c r="L261" s="16">
        <f t="shared" si="63"/>
        <v>0.31715993634805667</v>
      </c>
      <c r="M261" s="16">
        <f t="shared" si="64"/>
        <v>6.5798508270196884E-2</v>
      </c>
      <c r="N261" s="16">
        <f t="shared" si="65"/>
        <v>0.31613418532160947</v>
      </c>
      <c r="O261" s="16">
        <f t="shared" si="66"/>
        <v>-5.4106780841539144E-2</v>
      </c>
      <c r="R261" s="5">
        <f>IF($T$1, J261, -0.2)</f>
        <v>-0.2</v>
      </c>
    </row>
    <row r="262" spans="2:18" x14ac:dyDescent="0.3">
      <c r="B262" s="16">
        <v>0.31894867893393375</v>
      </c>
      <c r="C262" s="16">
        <f t="shared" si="58"/>
        <v>5.9936838461494529E-2</v>
      </c>
      <c r="D262" s="16">
        <f t="shared" si="54"/>
        <v>5.8261741147696555E-3</v>
      </c>
      <c r="E262" s="16">
        <f t="shared" si="55"/>
        <v>-8.5546770625887676E-3</v>
      </c>
      <c r="F262" s="16">
        <f t="shared" si="56"/>
        <v>-8.5544683875344758E-3</v>
      </c>
      <c r="G262" s="16" t="str">
        <f t="shared" si="59"/>
        <v xml:space="preserve"> </v>
      </c>
      <c r="H262" s="16" t="str">
        <f t="shared" si="60"/>
        <v xml:space="preserve"> </v>
      </c>
      <c r="I262" s="16" t="str">
        <f t="shared" si="61"/>
        <v xml:space="preserve"> </v>
      </c>
      <c r="J262" s="16">
        <f t="shared" si="57"/>
        <v>5.8261741147696555E-3</v>
      </c>
      <c r="K262" s="16">
        <f t="shared" si="62"/>
        <v>-8.5544683875344758E-3</v>
      </c>
      <c r="L262" s="16">
        <f t="shared" si="63"/>
        <v>0.31946140047034577</v>
      </c>
      <c r="M262" s="16">
        <f t="shared" si="64"/>
        <v>6.5760819532803036E-2</v>
      </c>
      <c r="N262" s="16">
        <f t="shared" si="65"/>
        <v>0.31843595739752173</v>
      </c>
      <c r="O262" s="16">
        <f t="shared" si="66"/>
        <v>-5.4108471303263725E-2</v>
      </c>
      <c r="R262" s="5">
        <f>IF($T$1, J262, -0.2)</f>
        <v>-0.2</v>
      </c>
    </row>
    <row r="263" spans="2:18" x14ac:dyDescent="0.3">
      <c r="B263" s="16">
        <v>0.3212570457022822</v>
      </c>
      <c r="C263" s="16">
        <f t="shared" si="58"/>
        <v>5.991656676991125E-2</v>
      </c>
      <c r="D263" s="16">
        <f t="shared" si="54"/>
        <v>5.8064267825244228E-3</v>
      </c>
      <c r="E263" s="16">
        <f t="shared" si="55"/>
        <v>-8.5546770625887676E-3</v>
      </c>
      <c r="F263" s="16">
        <f t="shared" si="56"/>
        <v>-8.5544683875344758E-3</v>
      </c>
      <c r="G263" s="16" t="str">
        <f t="shared" si="59"/>
        <v xml:space="preserve"> </v>
      </c>
      <c r="H263" s="16" t="str">
        <f t="shared" si="60"/>
        <v xml:space="preserve"> </v>
      </c>
      <c r="I263" s="16" t="str">
        <f t="shared" si="61"/>
        <v xml:space="preserve"> </v>
      </c>
      <c r="J263" s="16">
        <f t="shared" si="57"/>
        <v>5.8064267825244228E-3</v>
      </c>
      <c r="K263" s="16">
        <f t="shared" si="62"/>
        <v>-8.5544683875344758E-3</v>
      </c>
      <c r="L263" s="16">
        <f t="shared" si="63"/>
        <v>0.32176959382726444</v>
      </c>
      <c r="M263" s="16">
        <f t="shared" si="64"/>
        <v>6.5720801250700345E-2</v>
      </c>
      <c r="N263" s="16">
        <f t="shared" si="65"/>
        <v>0.32074449757729995</v>
      </c>
      <c r="O263" s="16">
        <f t="shared" si="66"/>
        <v>-5.4107947685651497E-2</v>
      </c>
      <c r="R263" s="5">
        <f>IF($T$1, J263, -0.2)</f>
        <v>-0.2</v>
      </c>
    </row>
    <row r="264" spans="2:18" x14ac:dyDescent="0.3">
      <c r="B264" s="16">
        <v>0.32357213826582509</v>
      </c>
      <c r="C264" s="16">
        <f t="shared" si="58"/>
        <v>5.9894025025586314E-2</v>
      </c>
      <c r="D264" s="16">
        <f t="shared" si="54"/>
        <v>5.7866219132733125E-3</v>
      </c>
      <c r="E264" s="16">
        <f t="shared" si="55"/>
        <v>-8.5546770625887676E-3</v>
      </c>
      <c r="F264" s="16">
        <f t="shared" si="56"/>
        <v>-8.5544683875344758E-3</v>
      </c>
      <c r="G264" s="16" t="str">
        <f t="shared" si="59"/>
        <v xml:space="preserve"> </v>
      </c>
      <c r="H264" s="16" t="str">
        <f t="shared" si="60"/>
        <v xml:space="preserve"> </v>
      </c>
      <c r="I264" s="16" t="str">
        <f t="shared" si="61"/>
        <v xml:space="preserve"> </v>
      </c>
      <c r="J264" s="16">
        <f t="shared" si="57"/>
        <v>5.7866219132733125E-3</v>
      </c>
      <c r="K264" s="16">
        <f t="shared" si="62"/>
        <v>-8.5544683875344758E-3</v>
      </c>
      <c r="L264" s="16">
        <f t="shared" si="63"/>
        <v>0.32408449356051999</v>
      </c>
      <c r="M264" s="16">
        <f t="shared" si="64"/>
        <v>6.5678455461909618E-2</v>
      </c>
      <c r="N264" s="16">
        <f t="shared" si="65"/>
        <v>0.32305978297113019</v>
      </c>
      <c r="O264" s="16">
        <f t="shared" si="66"/>
        <v>-5.4105211635362999E-2</v>
      </c>
      <c r="R264" s="5">
        <f>IF($T$1, J264, -0.2)</f>
        <v>-0.2</v>
      </c>
    </row>
    <row r="265" spans="2:18" x14ac:dyDescent="0.3">
      <c r="B265" s="16">
        <v>0.32589393368386299</v>
      </c>
      <c r="C265" s="16">
        <f t="shared" si="58"/>
        <v>5.9869215173181674E-2</v>
      </c>
      <c r="D265" s="16">
        <f t="shared" si="54"/>
        <v>5.7667597032666001E-3</v>
      </c>
      <c r="E265" s="16">
        <f t="shared" si="55"/>
        <v>-8.5546770625887676E-3</v>
      </c>
      <c r="F265" s="16">
        <f t="shared" si="56"/>
        <v>-8.5544683875344758E-3</v>
      </c>
      <c r="G265" s="16" t="str">
        <f t="shared" si="59"/>
        <v xml:space="preserve"> </v>
      </c>
      <c r="H265" s="16" t="str">
        <f t="shared" si="60"/>
        <v xml:space="preserve"> </v>
      </c>
      <c r="I265" s="16" t="str">
        <f t="shared" si="61"/>
        <v xml:space="preserve"> </v>
      </c>
      <c r="J265" s="16">
        <f t="shared" si="57"/>
        <v>5.7667597032666001E-3</v>
      </c>
      <c r="K265" s="16">
        <f t="shared" si="62"/>
        <v>-8.5544683875344758E-3</v>
      </c>
      <c r="L265" s="16">
        <f t="shared" si="63"/>
        <v>0.32640607674604832</v>
      </c>
      <c r="M265" s="16">
        <f t="shared" si="64"/>
        <v>6.5633784307271958E-2</v>
      </c>
      <c r="N265" s="16">
        <f t="shared" si="65"/>
        <v>0.32538179062167766</v>
      </c>
      <c r="O265" s="16">
        <f t="shared" si="66"/>
        <v>-5.4100264900738756E-2</v>
      </c>
      <c r="R265" s="5">
        <f>IF($T$1, J265, -0.2)</f>
        <v>-0.2</v>
      </c>
    </row>
    <row r="266" spans="2:18" x14ac:dyDescent="0.3">
      <c r="B266" s="16">
        <v>0.3282224089492759</v>
      </c>
      <c r="C266" s="16">
        <f t="shared" si="58"/>
        <v>5.9842139258933211E-2</v>
      </c>
      <c r="D266" s="16">
        <f t="shared" si="54"/>
        <v>5.7468403493227665E-3</v>
      </c>
      <c r="E266" s="16">
        <f t="shared" si="55"/>
        <v>-8.5546770625887676E-3</v>
      </c>
      <c r="F266" s="16">
        <f t="shared" si="56"/>
        <v>-8.5544683875344758E-3</v>
      </c>
      <c r="G266" s="16" t="str">
        <f t="shared" si="59"/>
        <v xml:space="preserve"> </v>
      </c>
      <c r="H266" s="16" t="str">
        <f t="shared" si="60"/>
        <v xml:space="preserve"> </v>
      </c>
      <c r="I266" s="16" t="str">
        <f t="shared" si="61"/>
        <v xml:space="preserve"> </v>
      </c>
      <c r="J266" s="16">
        <f t="shared" si="57"/>
        <v>5.7468403493227665E-3</v>
      </c>
      <c r="K266" s="16">
        <f t="shared" si="62"/>
        <v>-8.5544683875344758E-3</v>
      </c>
      <c r="L266" s="16">
        <f t="shared" si="63"/>
        <v>0.32873432039423367</v>
      </c>
      <c r="M266" s="16">
        <f t="shared" si="64"/>
        <v>6.558679002976682E-2</v>
      </c>
      <c r="N266" s="16">
        <f t="shared" si="65"/>
        <v>0.32771049750431813</v>
      </c>
      <c r="O266" s="16">
        <f t="shared" si="66"/>
        <v>-5.409310933112129E-2</v>
      </c>
      <c r="R266" s="5">
        <f>IF($T$1, J266, -0.2)</f>
        <v>-0.2</v>
      </c>
    </row>
    <row r="267" spans="2:18" x14ac:dyDescent="0.3">
      <c r="B267" s="16">
        <v>0.33055754098875223</v>
      </c>
      <c r="C267" s="16">
        <f t="shared" si="58"/>
        <v>5.9812799429950658E-2</v>
      </c>
      <c r="D267" s="16">
        <f t="shared" si="54"/>
        <v>5.7268640488265425E-3</v>
      </c>
      <c r="E267" s="16">
        <f t="shared" si="55"/>
        <v>-8.5546770625887676E-3</v>
      </c>
      <c r="F267" s="16">
        <f t="shared" si="56"/>
        <v>-8.5544683875344758E-3</v>
      </c>
      <c r="G267" s="16" t="str">
        <f t="shared" si="59"/>
        <v xml:space="preserve"> </v>
      </c>
      <c r="H267" s="16" t="str">
        <f t="shared" si="60"/>
        <v xml:space="preserve"> </v>
      </c>
      <c r="I267" s="16" t="str">
        <f t="shared" si="61"/>
        <v xml:space="preserve"> </v>
      </c>
      <c r="J267" s="16">
        <f t="shared" si="57"/>
        <v>5.7268640488265425E-3</v>
      </c>
      <c r="K267" s="16">
        <f t="shared" si="62"/>
        <v>-8.5544683875344758E-3</v>
      </c>
      <c r="L267" s="16">
        <f t="shared" si="63"/>
        <v>0.33106920145013163</v>
      </c>
      <c r="M267" s="16">
        <f t="shared" si="64"/>
        <v>6.5537474973810142E-2</v>
      </c>
      <c r="N267" s="16">
        <f t="shared" si="65"/>
        <v>0.33004588052737283</v>
      </c>
      <c r="O267" s="16">
        <f t="shared" si="66"/>
        <v>-5.4083746876157052E-2</v>
      </c>
      <c r="R267" s="5">
        <f>IF($T$1, J267, -0.2)</f>
        <v>-0.2</v>
      </c>
    </row>
    <row r="268" spans="2:18" x14ac:dyDescent="0.3">
      <c r="B268" s="16">
        <v>0.33289930666301693</v>
      </c>
      <c r="C268" s="16">
        <f t="shared" si="58"/>
        <v>5.9781197933497815E-2</v>
      </c>
      <c r="D268" s="16">
        <f t="shared" si="54"/>
        <v>5.7068309997269527E-3</v>
      </c>
      <c r="E268" s="16">
        <f t="shared" si="55"/>
        <v>-8.5546770625887676E-3</v>
      </c>
      <c r="F268" s="16">
        <f t="shared" si="56"/>
        <v>-8.5544683875344758E-3</v>
      </c>
      <c r="G268" s="16" t="str">
        <f t="shared" si="59"/>
        <v xml:space="preserve"> </v>
      </c>
      <c r="H268" s="16" t="str">
        <f t="shared" si="60"/>
        <v xml:space="preserve"> </v>
      </c>
      <c r="I268" s="16" t="str">
        <f t="shared" si="61"/>
        <v xml:space="preserve"> </v>
      </c>
      <c r="J268" s="16">
        <f t="shared" si="57"/>
        <v>5.7068309997269527E-3</v>
      </c>
      <c r="K268" s="16">
        <f t="shared" si="62"/>
        <v>-8.5544683875344758E-3</v>
      </c>
      <c r="L268" s="16">
        <f t="shared" si="63"/>
        <v>0.33341069679369101</v>
      </c>
      <c r="M268" s="16">
        <f t="shared" si="64"/>
        <v>6.5485841584532495E-2</v>
      </c>
      <c r="N268" s="16">
        <f t="shared" si="65"/>
        <v>0.33238791653234284</v>
      </c>
      <c r="O268" s="16">
        <f t="shared" si="66"/>
        <v>-5.4072179585078588E-2</v>
      </c>
      <c r="R268" s="5">
        <f>IF($T$1, J268, -0.2)</f>
        <v>-0.2</v>
      </c>
    </row>
    <row r="269" spans="2:18" x14ac:dyDescent="0.3">
      <c r="B269" s="16">
        <v>0.33524768276706118</v>
      </c>
      <c r="C269" s="16">
        <f t="shared" si="58"/>
        <v>5.9747337116252207E-2</v>
      </c>
      <c r="D269" s="16">
        <f t="shared" si="54"/>
        <v>5.6867414005353535E-3</v>
      </c>
      <c r="E269" s="16">
        <f t="shared" si="55"/>
        <v>-8.5546770625887676E-3</v>
      </c>
      <c r="F269" s="16">
        <f t="shared" si="56"/>
        <v>-8.5544683875344758E-3</v>
      </c>
      <c r="G269" s="16" t="str">
        <f t="shared" si="59"/>
        <v xml:space="preserve"> </v>
      </c>
      <c r="H269" s="16" t="str">
        <f t="shared" si="60"/>
        <v xml:space="preserve"> </v>
      </c>
      <c r="I269" s="16" t="str">
        <f t="shared" si="61"/>
        <v xml:space="preserve"> </v>
      </c>
      <c r="J269" s="16">
        <f t="shared" si="57"/>
        <v>5.6867414005353535E-3</v>
      </c>
      <c r="K269" s="16">
        <f t="shared" si="62"/>
        <v>-8.5544683875344758E-3</v>
      </c>
      <c r="L269" s="16">
        <f t="shared" si="63"/>
        <v>0.33575878323997743</v>
      </c>
      <c r="M269" s="16">
        <f t="shared" si="64"/>
        <v>6.543189240703691E-2</v>
      </c>
      <c r="N269" s="16">
        <f t="shared" si="65"/>
        <v>0.33473658229414494</v>
      </c>
      <c r="O269" s="16">
        <f t="shared" si="66"/>
        <v>-5.4058409605966196E-2</v>
      </c>
      <c r="R269" s="5">
        <f>IF($T$1, J269, -0.2)</f>
        <v>-0.2</v>
      </c>
    </row>
    <row r="270" spans="2:18" x14ac:dyDescent="0.3">
      <c r="B270" s="16">
        <v>0.33760264603037182</v>
      </c>
      <c r="C270" s="16">
        <f t="shared" si="58"/>
        <v>5.9711219423545639E-2</v>
      </c>
      <c r="D270" s="16">
        <f t="shared" si="54"/>
        <v>5.6665954503234712E-3</v>
      </c>
      <c r="E270" s="16">
        <f t="shared" si="55"/>
        <v>-8.5546770625887676E-3</v>
      </c>
      <c r="F270" s="16">
        <f t="shared" si="56"/>
        <v>-8.5544683875344758E-3</v>
      </c>
      <c r="G270" s="16" t="str">
        <f t="shared" si="59"/>
        <v xml:space="preserve"> </v>
      </c>
      <c r="H270" s="16" t="str">
        <f t="shared" si="60"/>
        <v xml:space="preserve"> </v>
      </c>
      <c r="I270" s="16" t="str">
        <f t="shared" si="61"/>
        <v xml:space="preserve"> </v>
      </c>
      <c r="J270" s="16">
        <f t="shared" si="57"/>
        <v>5.6665954503234712E-3</v>
      </c>
      <c r="K270" s="16">
        <f t="shared" si="62"/>
        <v>-8.5544683875344758E-3</v>
      </c>
      <c r="L270" s="16">
        <f t="shared" si="63"/>
        <v>0.33811343753939588</v>
      </c>
      <c r="M270" s="16">
        <f t="shared" si="64"/>
        <v>6.5375630085637446E-2</v>
      </c>
      <c r="N270" s="16">
        <f t="shared" si="65"/>
        <v>0.33709185452134777</v>
      </c>
      <c r="O270" s="16">
        <f t="shared" si="66"/>
        <v>-5.40424391849905E-2</v>
      </c>
      <c r="R270" s="5">
        <f>IF($T$1, J270, -0.2)</f>
        <v>-0.2</v>
      </c>
    </row>
    <row r="271" spans="2:18" x14ac:dyDescent="0.3">
      <c r="B271" s="16">
        <v>0.33996417311716254</v>
      </c>
      <c r="C271" s="16">
        <f t="shared" si="58"/>
        <v>5.967284739858441E-2</v>
      </c>
      <c r="D271" s="16">
        <f t="shared" si="54"/>
        <v>5.6463933487214202E-3</v>
      </c>
      <c r="E271" s="16">
        <f t="shared" si="55"/>
        <v>-8.5546770625887676E-3</v>
      </c>
      <c r="F271" s="16">
        <f t="shared" si="56"/>
        <v>-8.5544683875344758E-3</v>
      </c>
      <c r="G271" s="16" t="str">
        <f t="shared" si="59"/>
        <v xml:space="preserve"> </v>
      </c>
      <c r="H271" s="16" t="str">
        <f t="shared" si="60"/>
        <v xml:space="preserve"> </v>
      </c>
      <c r="I271" s="16" t="str">
        <f t="shared" si="61"/>
        <v xml:space="preserve"> </v>
      </c>
      <c r="J271" s="16">
        <f t="shared" si="57"/>
        <v>5.6463933487214202E-3</v>
      </c>
      <c r="K271" s="16">
        <f t="shared" si="62"/>
        <v>-8.5544683875344758E-3</v>
      </c>
      <c r="L271" s="16">
        <f t="shared" si="63"/>
        <v>0.34047463637791558</v>
      </c>
      <c r="M271" s="16">
        <f t="shared" si="64"/>
        <v>6.5317057363077455E-2</v>
      </c>
      <c r="N271" s="16">
        <f t="shared" si="65"/>
        <v>0.33945370985640949</v>
      </c>
      <c r="O271" s="16">
        <f t="shared" si="66"/>
        <v>-5.4024270665634609E-2</v>
      </c>
      <c r="R271" s="5">
        <f>IF($T$1, J271, -0.2)</f>
        <v>-0.2</v>
      </c>
    </row>
    <row r="272" spans="2:18" x14ac:dyDescent="0.3">
      <c r="B272" s="16">
        <v>0.34233224062660483</v>
      </c>
      <c r="C272" s="16">
        <f t="shared" si="58"/>
        <v>5.9632223681650429E-2</v>
      </c>
      <c r="D272" s="16">
        <f t="shared" si="54"/>
        <v>5.6261352959157329E-3</v>
      </c>
      <c r="E272" s="16">
        <f t="shared" si="55"/>
        <v>-8.5546770625887676E-3</v>
      </c>
      <c r="F272" s="16">
        <f t="shared" si="56"/>
        <v>-8.5544683875344758E-3</v>
      </c>
      <c r="G272" s="16" t="str">
        <f t="shared" si="59"/>
        <v xml:space="preserve"> </v>
      </c>
      <c r="H272" s="16" t="str">
        <f t="shared" si="60"/>
        <v xml:space="preserve"> </v>
      </c>
      <c r="I272" s="16" t="str">
        <f t="shared" si="61"/>
        <v xml:space="preserve"> </v>
      </c>
      <c r="J272" s="16">
        <f t="shared" si="57"/>
        <v>5.6261352959157329E-3</v>
      </c>
      <c r="K272" s="16">
        <f t="shared" si="62"/>
        <v>-8.5544683875344758E-3</v>
      </c>
      <c r="L272" s="16">
        <f t="shared" si="63"/>
        <v>0.34284235637729404</v>
      </c>
      <c r="M272" s="16">
        <f t="shared" si="64"/>
        <v>6.5256177079728778E-2</v>
      </c>
      <c r="N272" s="16">
        <f t="shared" si="65"/>
        <v>0.34182212487591562</v>
      </c>
      <c r="O272" s="16">
        <f t="shared" si="66"/>
        <v>-5.400390648789731E-2</v>
      </c>
      <c r="R272" s="5">
        <f>IF($T$1, J272, -0.2)</f>
        <v>-0.2</v>
      </c>
    </row>
    <row r="273" spans="2:18" x14ac:dyDescent="0.3">
      <c r="B273" s="16">
        <v>0.34470682509305983</v>
      </c>
      <c r="C273" s="16">
        <f t="shared" si="58"/>
        <v>5.9589351009282761E-2</v>
      </c>
      <c r="D273" s="16">
        <f t="shared" si="54"/>
        <v>5.6058214926473704E-3</v>
      </c>
      <c r="E273" s="16">
        <f t="shared" si="55"/>
        <v>-8.5546770625887676E-3</v>
      </c>
      <c r="F273" s="16">
        <f t="shared" si="56"/>
        <v>-8.5544683875344758E-3</v>
      </c>
      <c r="G273" s="16" t="str">
        <f t="shared" si="59"/>
        <v xml:space="preserve"> </v>
      </c>
      <c r="H273" s="16" t="str">
        <f t="shared" si="60"/>
        <v xml:space="preserve"> </v>
      </c>
      <c r="I273" s="16" t="str">
        <f t="shared" si="61"/>
        <v xml:space="preserve"> </v>
      </c>
      <c r="J273" s="16">
        <f t="shared" si="57"/>
        <v>5.6058214926473704E-3</v>
      </c>
      <c r="K273" s="16">
        <f t="shared" si="62"/>
        <v>-8.5544683875344758E-3</v>
      </c>
      <c r="L273" s="16">
        <f t="shared" si="63"/>
        <v>0.34521657409530165</v>
      </c>
      <c r="M273" s="16">
        <f t="shared" si="64"/>
        <v>6.5192992172771302E-2</v>
      </c>
      <c r="N273" s="16">
        <f t="shared" si="65"/>
        <v>0.34419707609081801</v>
      </c>
      <c r="O273" s="16">
        <f t="shared" si="66"/>
        <v>-5.3981349187476567E-2</v>
      </c>
      <c r="R273" s="5">
        <f>IF($T$1, J273, -0.2)</f>
        <v>-0.2</v>
      </c>
    </row>
    <row r="274" spans="2:18" x14ac:dyDescent="0.3">
      <c r="B274" s="16">
        <v>0.34708790298631065</v>
      </c>
      <c r="C274" s="16">
        <f t="shared" si="58"/>
        <v>5.954423221343981E-2</v>
      </c>
      <c r="D274" s="16">
        <f t="shared" si="54"/>
        <v>5.5854521402097408E-3</v>
      </c>
      <c r="E274" s="16">
        <f t="shared" si="55"/>
        <v>-8.5546770625887676E-3</v>
      </c>
      <c r="F274" s="16">
        <f t="shared" si="56"/>
        <v>-8.5544683875344758E-3</v>
      </c>
      <c r="G274" s="16" t="str">
        <f t="shared" si="59"/>
        <v xml:space="preserve"> </v>
      </c>
      <c r="H274" s="16" t="str">
        <f t="shared" si="60"/>
        <v xml:space="preserve"> </v>
      </c>
      <c r="I274" s="16" t="str">
        <f t="shared" si="61"/>
        <v xml:space="preserve"> </v>
      </c>
      <c r="J274" s="16">
        <f t="shared" si="57"/>
        <v>5.5854521402097408E-3</v>
      </c>
      <c r="K274" s="16">
        <f t="shared" si="62"/>
        <v>-8.5544683875344758E-3</v>
      </c>
      <c r="L274" s="16">
        <f t="shared" si="63"/>
        <v>0.34759726602594715</v>
      </c>
      <c r="M274" s="16">
        <f t="shared" si="64"/>
        <v>6.5127505675353248E-2</v>
      </c>
      <c r="N274" s="16">
        <f t="shared" si="65"/>
        <v>0.34657853994667415</v>
      </c>
      <c r="O274" s="16">
        <f t="shared" si="66"/>
        <v>-5.3956601394933773E-2</v>
      </c>
      <c r="R274" s="5">
        <f>IF($T$1, J274, -0.2)</f>
        <v>-0.2</v>
      </c>
    </row>
    <row r="275" spans="2:18" x14ac:dyDescent="0.3">
      <c r="B275" s="16">
        <v>0.34947545071179609</v>
      </c>
      <c r="C275" s="16">
        <f t="shared" si="58"/>
        <v>5.949687022064272E-2</v>
      </c>
      <c r="D275" s="16">
        <f t="shared" si="54"/>
        <v>5.565027440446694E-3</v>
      </c>
      <c r="E275" s="16">
        <f t="shared" si="55"/>
        <v>-8.5546770625887676E-3</v>
      </c>
      <c r="F275" s="16">
        <f t="shared" si="56"/>
        <v>-8.5544683875344758E-3</v>
      </c>
      <c r="G275" s="16" t="str">
        <f t="shared" si="59"/>
        <v xml:space="preserve"> </v>
      </c>
      <c r="H275" s="16" t="str">
        <f t="shared" si="60"/>
        <v xml:space="preserve"> </v>
      </c>
      <c r="I275" s="16" t="str">
        <f t="shared" si="61"/>
        <v xml:space="preserve"> </v>
      </c>
      <c r="J275" s="16">
        <f t="shared" si="57"/>
        <v>5.565027440446694E-3</v>
      </c>
      <c r="K275" s="16">
        <f t="shared" si="62"/>
        <v>-8.5544683875344758E-3</v>
      </c>
      <c r="L275" s="16">
        <f t="shared" si="63"/>
        <v>0.34998440859970392</v>
      </c>
      <c r="M275" s="16">
        <f t="shared" si="64"/>
        <v>6.5059720715732516E-2</v>
      </c>
      <c r="N275" s="16">
        <f t="shared" si="65"/>
        <v>0.34896649282388825</v>
      </c>
      <c r="O275" s="16">
        <f t="shared" si="66"/>
        <v>-5.3929665834839123E-2</v>
      </c>
      <c r="R275" s="5">
        <f>IF($T$1, J275, -0.2)</f>
        <v>-0.2</v>
      </c>
    </row>
    <row r="276" spans="2:18" x14ac:dyDescent="0.3">
      <c r="B276" s="16">
        <v>0.35186944461084391</v>
      </c>
      <c r="C276" s="16">
        <f t="shared" si="58"/>
        <v>5.9447268051099095E-2</v>
      </c>
      <c r="D276" s="16">
        <f t="shared" si="54"/>
        <v>5.5445475957505326E-3</v>
      </c>
      <c r="E276" s="16">
        <f t="shared" si="55"/>
        <v>-8.5546770625887676E-3</v>
      </c>
      <c r="F276" s="16">
        <f t="shared" si="56"/>
        <v>-8.5544683875344758E-3</v>
      </c>
      <c r="G276" s="16" t="str">
        <f t="shared" si="59"/>
        <v xml:space="preserve"> </v>
      </c>
      <c r="H276" s="16" t="str">
        <f t="shared" si="60"/>
        <v xml:space="preserve"> </v>
      </c>
      <c r="I276" s="16" t="str">
        <f t="shared" si="61"/>
        <v xml:space="preserve"> </v>
      </c>
      <c r="J276" s="16">
        <f t="shared" si="57"/>
        <v>5.5445475957505326E-3</v>
      </c>
      <c r="K276" s="16">
        <f t="shared" si="62"/>
        <v>-8.5544683875344758E-3</v>
      </c>
      <c r="L276" s="16">
        <f t="shared" si="63"/>
        <v>0.35237797818373562</v>
      </c>
      <c r="M276" s="16">
        <f t="shared" si="64"/>
        <v>6.4989640516398481E-2</v>
      </c>
      <c r="N276" s="16">
        <f t="shared" si="65"/>
        <v>0.35136091103795219</v>
      </c>
      <c r="O276" s="16">
        <f t="shared" si="66"/>
        <v>-5.3900545324897423E-2</v>
      </c>
      <c r="R276" s="5">
        <f>IF($T$1, J276, -0.2)</f>
        <v>-0.2</v>
      </c>
    </row>
    <row r="277" spans="2:18" x14ac:dyDescent="0.3">
      <c r="B277" s="16">
        <v>0.35426986096090574</v>
      </c>
      <c r="C277" s="16">
        <f t="shared" si="58"/>
        <v>5.9395428817808835E-2</v>
      </c>
      <c r="D277" s="16">
        <f t="shared" si="54"/>
        <v>5.5240128090599952E-3</v>
      </c>
      <c r="E277" s="16">
        <f t="shared" si="55"/>
        <v>-8.5546770625887676E-3</v>
      </c>
      <c r="F277" s="16">
        <f t="shared" si="56"/>
        <v>-8.5544683875344758E-3</v>
      </c>
      <c r="G277" s="16" t="str">
        <f t="shared" si="59"/>
        <v xml:space="preserve"> </v>
      </c>
      <c r="H277" s="16" t="str">
        <f t="shared" si="60"/>
        <v xml:space="preserve"> </v>
      </c>
      <c r="I277" s="16" t="str">
        <f t="shared" si="61"/>
        <v xml:space="preserve"> </v>
      </c>
      <c r="J277" s="16">
        <f t="shared" si="57"/>
        <v>5.5240128090599952E-3</v>
      </c>
      <c r="K277" s="16">
        <f t="shared" si="62"/>
        <v>-8.5544683875344758E-3</v>
      </c>
      <c r="L277" s="16">
        <f t="shared" si="63"/>
        <v>0.35477795108212362</v>
      </c>
      <c r="M277" s="16">
        <f t="shared" si="64"/>
        <v>6.4917268393175923E-2</v>
      </c>
      <c r="N277" s="16">
        <f t="shared" si="65"/>
        <v>0.35376177083968785</v>
      </c>
      <c r="O277" s="16">
        <f t="shared" si="66"/>
        <v>-5.3869242775055927E-2</v>
      </c>
      <c r="R277" s="5">
        <f>IF($T$1, J277, -0.2)</f>
        <v>-0.2</v>
      </c>
    </row>
    <row r="278" spans="2:18" x14ac:dyDescent="0.3">
      <c r="B278" s="16">
        <v>0.35667667597579156</v>
      </c>
      <c r="C278" s="16">
        <f t="shared" si="58"/>
        <v>5.9341355725650372E-2</v>
      </c>
      <c r="D278" s="16">
        <f t="shared" si="54"/>
        <v>5.5034232838582576E-3</v>
      </c>
      <c r="E278" s="16">
        <f t="shared" si="55"/>
        <v>-8.5546770625887676E-3</v>
      </c>
      <c r="F278" s="16">
        <f t="shared" si="56"/>
        <v>-8.5544683875344758E-3</v>
      </c>
      <c r="G278" s="16" t="str">
        <f t="shared" si="59"/>
        <v xml:space="preserve"> </v>
      </c>
      <c r="H278" s="16" t="str">
        <f t="shared" si="60"/>
        <v xml:space="preserve"> </v>
      </c>
      <c r="I278" s="16" t="str">
        <f t="shared" si="61"/>
        <v xml:space="preserve"> </v>
      </c>
      <c r="J278" s="16">
        <f t="shared" si="57"/>
        <v>5.5034232838582576E-3</v>
      </c>
      <c r="K278" s="16">
        <f t="shared" si="62"/>
        <v>-8.5544683875344758E-3</v>
      </c>
      <c r="L278" s="16">
        <f t="shared" si="63"/>
        <v>0.35718430353609365</v>
      </c>
      <c r="M278" s="16">
        <f t="shared" si="64"/>
        <v>6.4842607754309153E-2</v>
      </c>
      <c r="N278" s="16">
        <f t="shared" si="65"/>
        <v>0.35616904841548946</v>
      </c>
      <c r="O278" s="16">
        <f t="shared" si="66"/>
        <v>-5.3835761186592633E-2</v>
      </c>
      <c r="R278" s="5">
        <f>IF($T$1, J278, -0.2)</f>
        <v>-0.2</v>
      </c>
    </row>
    <row r="279" spans="2:18" x14ac:dyDescent="0.3">
      <c r="B279" s="16">
        <v>0.35908986580590629</v>
      </c>
      <c r="C279" s="16">
        <f t="shared" si="58"/>
        <v>5.9285052070449172E-2</v>
      </c>
      <c r="D279" s="16">
        <f t="shared" si="54"/>
        <v>5.4827792241709025E-3</v>
      </c>
      <c r="E279" s="16">
        <f t="shared" si="55"/>
        <v>-8.5546770625887676E-3</v>
      </c>
      <c r="F279" s="16">
        <f t="shared" si="56"/>
        <v>-8.5544683875344758E-3</v>
      </c>
      <c r="G279" s="16" t="str">
        <f t="shared" si="59"/>
        <v xml:space="preserve"> </v>
      </c>
      <c r="H279" s="16" t="str">
        <f t="shared" si="60"/>
        <v xml:space="preserve"> </v>
      </c>
      <c r="I279" s="16" t="str">
        <f t="shared" si="61"/>
        <v xml:space="preserve"> </v>
      </c>
      <c r="J279" s="16">
        <f t="shared" si="57"/>
        <v>5.4827792241709025E-3</v>
      </c>
      <c r="K279" s="16">
        <f t="shared" si="62"/>
        <v>-8.5544683875344758E-3</v>
      </c>
      <c r="L279" s="16">
        <f t="shared" si="63"/>
        <v>0.35959701172424424</v>
      </c>
      <c r="M279" s="16">
        <f t="shared" si="64"/>
        <v>6.4765662099528637E-2</v>
      </c>
      <c r="N279" s="16">
        <f t="shared" si="65"/>
        <v>0.35858271988756835</v>
      </c>
      <c r="O279" s="16">
        <f t="shared" si="66"/>
        <v>-5.3800103651186829E-2</v>
      </c>
      <c r="R279" s="5">
        <f>IF($T$1, J279, -0.2)</f>
        <v>-0.2</v>
      </c>
    </row>
    <row r="280" spans="2:18" x14ac:dyDescent="0.3">
      <c r="B280" s="16">
        <v>0.36150940653848485</v>
      </c>
      <c r="C280" s="16">
        <f t="shared" si="58"/>
        <v>5.9226521238027158E-2</v>
      </c>
      <c r="D280" s="16">
        <f t="shared" si="54"/>
        <v>5.4620808345639139E-3</v>
      </c>
      <c r="E280" s="16">
        <f t="shared" si="55"/>
        <v>-8.5546770625887676E-3</v>
      </c>
      <c r="F280" s="16">
        <f t="shared" si="56"/>
        <v>-8.5544683875344758E-3</v>
      </c>
      <c r="G280" s="16" t="str">
        <f t="shared" si="59"/>
        <v xml:space="preserve"> </v>
      </c>
      <c r="H280" s="16" t="str">
        <f t="shared" si="60"/>
        <v xml:space="preserve"> </v>
      </c>
      <c r="I280" s="16" t="str">
        <f t="shared" si="61"/>
        <v xml:space="preserve"> </v>
      </c>
      <c r="J280" s="16">
        <f t="shared" si="57"/>
        <v>5.4620808345639139E-3</v>
      </c>
      <c r="K280" s="16">
        <f t="shared" si="62"/>
        <v>-8.5544683875344758E-3</v>
      </c>
      <c r="L280" s="16">
        <f t="shared" si="63"/>
        <v>0.3620160517627739</v>
      </c>
      <c r="M280" s="16">
        <f t="shared" si="64"/>
        <v>6.4686435019098404E-2</v>
      </c>
      <c r="N280" s="16">
        <f t="shared" si="65"/>
        <v>0.36100276131419579</v>
      </c>
      <c r="O280" s="16">
        <f t="shared" si="66"/>
        <v>-5.3762273349970573E-2</v>
      </c>
      <c r="R280" s="5">
        <f>IF($T$1, J280, -0.2)</f>
        <v>-0.2</v>
      </c>
    </row>
    <row r="281" spans="2:18" x14ac:dyDescent="0.3">
      <c r="B281" s="16">
        <v>0.36393527419783034</v>
      </c>
      <c r="C281" s="16">
        <f t="shared" si="58"/>
        <v>5.9165766703234646E-2</v>
      </c>
      <c r="D281" s="16">
        <f t="shared" si="54"/>
        <v>5.441328320141635E-3</v>
      </c>
      <c r="E281" s="16">
        <f t="shared" si="55"/>
        <v>-8.5546770625887676E-3</v>
      </c>
      <c r="F281" s="16">
        <f t="shared" si="56"/>
        <v>-8.5544683875344758E-3</v>
      </c>
      <c r="G281" s="16" t="str">
        <f t="shared" si="59"/>
        <v xml:space="preserve"> </v>
      </c>
      <c r="H281" s="16" t="str">
        <f t="shared" si="60"/>
        <v xml:space="preserve"> </v>
      </c>
      <c r="I281" s="16" t="str">
        <f t="shared" si="61"/>
        <v xml:space="preserve"> </v>
      </c>
      <c r="J281" s="16">
        <f t="shared" si="57"/>
        <v>5.441328320141635E-3</v>
      </c>
      <c r="K281" s="16">
        <f t="shared" si="62"/>
        <v>-8.5544683875344758E-3</v>
      </c>
      <c r="L281" s="16">
        <f t="shared" si="63"/>
        <v>0.36444139970571088</v>
      </c>
      <c r="M281" s="16">
        <f t="shared" si="64"/>
        <v>6.4604930192845952E-2</v>
      </c>
      <c r="N281" s="16">
        <f t="shared" si="65"/>
        <v>0.3634291486899498</v>
      </c>
      <c r="O281" s="16">
        <f t="shared" si="66"/>
        <v>-5.3722273552562684E-2</v>
      </c>
      <c r="R281" s="5">
        <f>IF($T$1, J281, -0.2)</f>
        <v>-0.2</v>
      </c>
    </row>
    <row r="282" spans="2:18" x14ac:dyDescent="0.3">
      <c r="B282" s="16">
        <v>0.36636744474555105</v>
      </c>
      <c r="C282" s="16">
        <f t="shared" si="58"/>
        <v>5.9102792028963624E-2</v>
      </c>
      <c r="D282" s="16">
        <f t="shared" si="54"/>
        <v>5.4205218865447441E-3</v>
      </c>
      <c r="E282" s="16">
        <f t="shared" si="55"/>
        <v>-8.5546770625887676E-3</v>
      </c>
      <c r="F282" s="16">
        <f t="shared" si="56"/>
        <v>-8.5544683875344758E-3</v>
      </c>
      <c r="G282" s="16" t="str">
        <f t="shared" si="59"/>
        <v xml:space="preserve"> </v>
      </c>
      <c r="H282" s="16" t="str">
        <f t="shared" si="60"/>
        <v xml:space="preserve"> </v>
      </c>
      <c r="I282" s="16" t="str">
        <f t="shared" si="61"/>
        <v xml:space="preserve"> </v>
      </c>
      <c r="J282" s="16">
        <f t="shared" si="57"/>
        <v>5.4205218865447441E-3</v>
      </c>
      <c r="K282" s="16">
        <f t="shared" si="62"/>
        <v>-8.5544683875344758E-3</v>
      </c>
      <c r="L282" s="16">
        <f t="shared" si="63"/>
        <v>0.36687303154514173</v>
      </c>
      <c r="M282" s="16">
        <f t="shared" si="64"/>
        <v>6.4521151389173609E-2</v>
      </c>
      <c r="N282" s="16">
        <f t="shared" si="65"/>
        <v>0.36586185794596038</v>
      </c>
      <c r="O282" s="16">
        <f t="shared" si="66"/>
        <v>-5.3680107616084126E-2</v>
      </c>
      <c r="R282" s="5">
        <f>IF($T$1, J282, -0.2)</f>
        <v>-0.2</v>
      </c>
    </row>
    <row r="283" spans="2:18" x14ac:dyDescent="0.3">
      <c r="B283" s="16">
        <v>0.36880589408079867</v>
      </c>
      <c r="C283" s="16">
        <f t="shared" si="58"/>
        <v>5.9037600865143772E-2</v>
      </c>
      <c r="D283" s="16">
        <f t="shared" si="54"/>
        <v>5.3996617399482165E-3</v>
      </c>
      <c r="E283" s="16">
        <f t="shared" si="55"/>
        <v>-8.5546770625887676E-3</v>
      </c>
      <c r="F283" s="16">
        <f t="shared" si="56"/>
        <v>-8.5544683875344758E-3</v>
      </c>
      <c r="G283" s="16" t="str">
        <f t="shared" si="59"/>
        <v xml:space="preserve"> </v>
      </c>
      <c r="H283" s="16" t="str">
        <f t="shared" si="60"/>
        <v xml:space="preserve"> </v>
      </c>
      <c r="I283" s="16" t="str">
        <f t="shared" si="61"/>
        <v xml:space="preserve"> </v>
      </c>
      <c r="J283" s="16">
        <f t="shared" si="57"/>
        <v>5.3996617399482165E-3</v>
      </c>
      <c r="K283" s="16">
        <f t="shared" si="62"/>
        <v>-8.5544683875344758E-3</v>
      </c>
      <c r="L283" s="16">
        <f t="shared" si="63"/>
        <v>0.36931092321144099</v>
      </c>
      <c r="M283" s="16">
        <f t="shared" si="64"/>
        <v>6.4435102464052471E-2</v>
      </c>
      <c r="N283" s="16">
        <f t="shared" si="65"/>
        <v>0.36830086495015635</v>
      </c>
      <c r="O283" s="16">
        <f t="shared" si="66"/>
        <v>-5.3635778984156043E-2</v>
      </c>
      <c r="R283" s="5">
        <f>IF($T$1, J283, -0.2)</f>
        <v>-0.2</v>
      </c>
    </row>
    <row r="284" spans="2:18" x14ac:dyDescent="0.3">
      <c r="B284" s="16">
        <v>0.3712505980405072</v>
      </c>
      <c r="C284" s="16">
        <f t="shared" si="58"/>
        <v>5.8970196947720169E-2</v>
      </c>
      <c r="D284" s="16">
        <f t="shared" si="54"/>
        <v>5.3787480870592782E-3</v>
      </c>
      <c r="E284" s="16">
        <f t="shared" si="55"/>
        <v>-8.5546770625887676E-3</v>
      </c>
      <c r="F284" s="16">
        <f t="shared" si="56"/>
        <v>-8.5544683875344758E-3</v>
      </c>
      <c r="G284" s="16" t="str">
        <f t="shared" si="59"/>
        <v xml:space="preserve"> </v>
      </c>
      <c r="H284" s="16" t="str">
        <f t="shared" si="60"/>
        <v xml:space="preserve"> </v>
      </c>
      <c r="I284" s="16" t="str">
        <f t="shared" si="61"/>
        <v xml:space="preserve"> </v>
      </c>
      <c r="J284" s="16">
        <f t="shared" si="57"/>
        <v>5.3787480870592782E-3</v>
      </c>
      <c r="K284" s="16">
        <f t="shared" si="62"/>
        <v>-8.5544683875344758E-3</v>
      </c>
      <c r="L284" s="16">
        <f t="shared" si="63"/>
        <v>0.37175505057350122</v>
      </c>
      <c r="M284" s="16">
        <f t="shared" si="64"/>
        <v>6.4346787359998145E-2</v>
      </c>
      <c r="N284" s="16">
        <f t="shared" si="65"/>
        <v>0.37074614550751317</v>
      </c>
      <c r="O284" s="16">
        <f t="shared" si="66"/>
        <v>-5.3589291185879594E-2</v>
      </c>
      <c r="R284" s="5">
        <f>IF($T$1, J284, -0.2)</f>
        <v>-0.2</v>
      </c>
    </row>
    <row r="285" spans="2:18" x14ac:dyDescent="0.3">
      <c r="B285" s="16">
        <v>0.37370153239963222</v>
      </c>
      <c r="C285" s="16">
        <f t="shared" si="58"/>
        <v>5.8900584097614221E-2</v>
      </c>
      <c r="D285" s="16">
        <f t="shared" si="54"/>
        <v>5.3577811351153606E-3</v>
      </c>
      <c r="E285" s="16">
        <f t="shared" si="55"/>
        <v>-8.5546770625887676E-3</v>
      </c>
      <c r="F285" s="16">
        <f t="shared" si="56"/>
        <v>-8.5544683875344758E-3</v>
      </c>
      <c r="G285" s="16" t="str">
        <f t="shared" si="59"/>
        <v xml:space="preserve"> </v>
      </c>
      <c r="H285" s="16" t="str">
        <f t="shared" si="60"/>
        <v xml:space="preserve"> </v>
      </c>
      <c r="I285" s="16" t="str">
        <f t="shared" si="61"/>
        <v xml:space="preserve"> </v>
      </c>
      <c r="J285" s="16">
        <f t="shared" si="57"/>
        <v>5.3577811351153606E-3</v>
      </c>
      <c r="K285" s="16">
        <f t="shared" si="62"/>
        <v>-8.5544683875344758E-3</v>
      </c>
      <c r="L285" s="16">
        <f t="shared" si="63"/>
        <v>0.37420538943896364</v>
      </c>
      <c r="M285" s="16">
        <f t="shared" si="64"/>
        <v>6.4256210105029674E-2</v>
      </c>
      <c r="N285" s="16">
        <f t="shared" si="65"/>
        <v>0.3731976753603008</v>
      </c>
      <c r="O285" s="16">
        <f t="shared" si="66"/>
        <v>-5.3540647834798949E-2</v>
      </c>
      <c r="R285" s="5">
        <f>IF($T$1, J285, -0.2)</f>
        <v>-0.2</v>
      </c>
    </row>
    <row r="286" spans="2:18" x14ac:dyDescent="0.3">
      <c r="B286" s="16">
        <v>0.37615867287139115</v>
      </c>
      <c r="C286" s="16">
        <f t="shared" si="58"/>
        <v>5.8828766219666664E-2</v>
      </c>
      <c r="D286" s="16">
        <f t="shared" si="54"/>
        <v>5.336761091882046E-3</v>
      </c>
      <c r="E286" s="16">
        <f t="shared" si="55"/>
        <v>-8.5546770625887676E-3</v>
      </c>
      <c r="F286" s="16">
        <f t="shared" si="56"/>
        <v>-8.5544683875344758E-3</v>
      </c>
      <c r="G286" s="16" t="str">
        <f t="shared" si="59"/>
        <v xml:space="preserve"> </v>
      </c>
      <c r="H286" s="16" t="str">
        <f t="shared" si="60"/>
        <v xml:space="preserve"> </v>
      </c>
      <c r="I286" s="16" t="str">
        <f t="shared" si="61"/>
        <v xml:space="preserve"> </v>
      </c>
      <c r="J286" s="16">
        <f t="shared" si="57"/>
        <v>5.336761091882046E-3</v>
      </c>
      <c r="K286" s="16">
        <f t="shared" si="62"/>
        <v>-8.5544683875344758E-3</v>
      </c>
      <c r="L286" s="16">
        <f t="shared" si="63"/>
        <v>0.37666191555444906</v>
      </c>
      <c r="M286" s="16">
        <f t="shared" si="64"/>
        <v>6.4163374811610496E-2</v>
      </c>
      <c r="N286" s="16">
        <f t="shared" si="65"/>
        <v>0.37565543018833325</v>
      </c>
      <c r="O286" s="16">
        <f t="shared" si="66"/>
        <v>-5.3489852627846397E-2</v>
      </c>
      <c r="R286" s="5">
        <f>IF($T$1, J286, -0.2)</f>
        <v>-0.2</v>
      </c>
    </row>
    <row r="287" spans="2:18" x14ac:dyDescent="0.3">
      <c r="B287" s="16">
        <v>0.37862199510750394</v>
      </c>
      <c r="C287" s="16">
        <f t="shared" si="58"/>
        <v>5.8754747301563735E-2</v>
      </c>
      <c r="D287" s="16">
        <f t="shared" si="54"/>
        <v>5.3156881656510075E-3</v>
      </c>
      <c r="E287" s="16">
        <f t="shared" si="55"/>
        <v>-8.5546770625887676E-3</v>
      </c>
      <c r="F287" s="16">
        <f t="shared" si="56"/>
        <v>-8.5544683875344758E-3</v>
      </c>
      <c r="G287" s="16" t="str">
        <f t="shared" si="59"/>
        <v xml:space="preserve"> </v>
      </c>
      <c r="H287" s="16" t="str">
        <f t="shared" si="60"/>
        <v xml:space="preserve"> </v>
      </c>
      <c r="I287" s="16" t="str">
        <f t="shared" si="61"/>
        <v xml:space="preserve"> </v>
      </c>
      <c r="J287" s="16">
        <f t="shared" si="57"/>
        <v>5.3156881656510075E-3</v>
      </c>
      <c r="K287" s="16">
        <f t="shared" si="62"/>
        <v>-8.5544683875344758E-3</v>
      </c>
      <c r="L287" s="16">
        <f t="shared" si="63"/>
        <v>0.37912460460578956</v>
      </c>
      <c r="M287" s="16">
        <f t="shared" si="64"/>
        <v>6.40682856755726E-2</v>
      </c>
      <c r="N287" s="16">
        <f t="shared" si="65"/>
        <v>0.37811938560921832</v>
      </c>
      <c r="O287" s="16">
        <f t="shared" si="66"/>
        <v>-5.3436909344270582E-2</v>
      </c>
      <c r="R287" s="5">
        <f>IF($T$1, J287, -0.2)</f>
        <v>-0.2</v>
      </c>
    </row>
    <row r="288" spans="2:18" x14ac:dyDescent="0.3">
      <c r="B288" s="16">
        <v>0.38109147469843418</v>
      </c>
      <c r="C288" s="16">
        <f t="shared" si="58"/>
        <v>5.8678531412746496E-2</v>
      </c>
      <c r="D288" s="16">
        <f t="shared" si="54"/>
        <v>5.294562565237945E-3</v>
      </c>
      <c r="E288" s="16">
        <f t="shared" si="55"/>
        <v>-8.5546770625887676E-3</v>
      </c>
      <c r="F288" s="16">
        <f t="shared" si="56"/>
        <v>-8.5544683875344758E-3</v>
      </c>
      <c r="G288" s="16" t="str">
        <f t="shared" si="59"/>
        <v xml:space="preserve"> </v>
      </c>
      <c r="H288" s="16" t="str">
        <f t="shared" si="60"/>
        <v xml:space="preserve"> </v>
      </c>
      <c r="I288" s="16" t="str">
        <f t="shared" si="61"/>
        <v xml:space="preserve"> </v>
      </c>
      <c r="J288" s="16">
        <f t="shared" si="57"/>
        <v>5.294562565237945E-3</v>
      </c>
      <c r="K288" s="16">
        <f t="shared" si="62"/>
        <v>-8.5544683875344758E-3</v>
      </c>
      <c r="L288" s="16">
        <f t="shared" si="63"/>
        <v>0.3815934322182602</v>
      </c>
      <c r="M288" s="16">
        <f t="shared" si="64"/>
        <v>6.3970946975023854E-2</v>
      </c>
      <c r="N288" s="16">
        <f t="shared" si="65"/>
        <v>0.38058951717860817</v>
      </c>
      <c r="O288" s="16">
        <f t="shared" si="66"/>
        <v>-5.3381821844547969E-2</v>
      </c>
      <c r="R288" s="5">
        <f>IF($T$1, J288, -0.2)</f>
        <v>-0.2</v>
      </c>
    </row>
    <row r="289" spans="2:18" x14ac:dyDescent="0.3">
      <c r="B289" s="16">
        <v>0.38356708717363108</v>
      </c>
      <c r="C289" s="16">
        <f t="shared" si="58"/>
        <v>5.8600122703303087E-2</v>
      </c>
      <c r="D289" s="16">
        <f t="shared" si="54"/>
        <v>5.2733844999805195E-3</v>
      </c>
      <c r="E289" s="16">
        <f t="shared" si="55"/>
        <v>-8.5546770625887676E-3</v>
      </c>
      <c r="F289" s="16">
        <f t="shared" si="56"/>
        <v>-8.5544683875344758E-3</v>
      </c>
      <c r="G289" s="16" t="str">
        <f t="shared" si="59"/>
        <v xml:space="preserve"> </v>
      </c>
      <c r="H289" s="16" t="str">
        <f t="shared" si="60"/>
        <v xml:space="preserve"> </v>
      </c>
      <c r="I289" s="16" t="str">
        <f t="shared" si="61"/>
        <v xml:space="preserve"> </v>
      </c>
      <c r="J289" s="16">
        <f t="shared" si="57"/>
        <v>5.2733844999805195E-3</v>
      </c>
      <c r="K289" s="16">
        <f t="shared" si="62"/>
        <v>-8.5544683875344758E-3</v>
      </c>
      <c r="L289" s="16">
        <f t="shared" si="63"/>
        <v>0.38406837395681159</v>
      </c>
      <c r="M289" s="16">
        <f t="shared" si="64"/>
        <v>6.3871363069238241E-2</v>
      </c>
      <c r="N289" s="16">
        <f t="shared" si="65"/>
        <v>0.38306580039045057</v>
      </c>
      <c r="O289" s="16">
        <f t="shared" si="66"/>
        <v>-5.3324594069277198E-2</v>
      </c>
      <c r="R289" s="5">
        <f>IF($T$1, J289, -0.2)</f>
        <v>-0.2</v>
      </c>
    </row>
    <row r="290" spans="2:18" x14ac:dyDescent="0.3">
      <c r="B290" s="16">
        <v>0.38604880800177188</v>
      </c>
      <c r="C290" s="16">
        <f t="shared" si="58"/>
        <v>5.8519525402844899E-2</v>
      </c>
      <c r="D290" s="16">
        <f t="shared" si="54"/>
        <v>5.2521541797362747E-3</v>
      </c>
      <c r="E290" s="16">
        <f t="shared" si="55"/>
        <v>-8.5546770625887676E-3</v>
      </c>
      <c r="F290" s="16">
        <f t="shared" si="56"/>
        <v>-8.5544683875344758E-3</v>
      </c>
      <c r="G290" s="16" t="str">
        <f t="shared" si="59"/>
        <v xml:space="preserve"> </v>
      </c>
      <c r="H290" s="16" t="str">
        <f t="shared" si="60"/>
        <v xml:space="preserve"> </v>
      </c>
      <c r="I290" s="16" t="str">
        <f t="shared" si="61"/>
        <v xml:space="preserve"> </v>
      </c>
      <c r="J290" s="16">
        <f t="shared" si="57"/>
        <v>5.2521541797362747E-3</v>
      </c>
      <c r="K290" s="16">
        <f t="shared" si="62"/>
        <v>-8.5544683875344758E-3</v>
      </c>
      <c r="L290" s="16">
        <f t="shared" si="63"/>
        <v>0.38654940532630255</v>
      </c>
      <c r="M290" s="16">
        <f t="shared" si="64"/>
        <v>6.3769538397529898E-2</v>
      </c>
      <c r="N290" s="16">
        <f t="shared" si="65"/>
        <v>0.38554821067724121</v>
      </c>
      <c r="O290" s="16">
        <f t="shared" si="66"/>
        <v>-5.3265230038057346E-2</v>
      </c>
      <c r="R290" s="5">
        <f>IF($T$1, J290, -0.2)</f>
        <v>-0.2</v>
      </c>
    </row>
    <row r="291" spans="2:18" x14ac:dyDescent="0.3">
      <c r="B291" s="16">
        <v>0.3885366125910048</v>
      </c>
      <c r="C291" s="16">
        <f t="shared" si="58"/>
        <v>5.843674381936588E-2</v>
      </c>
      <c r="D291" s="16">
        <f t="shared" si="54"/>
        <v>5.2308718148805604E-3</v>
      </c>
      <c r="E291" s="16">
        <f t="shared" si="55"/>
        <v>-8.5546770625887676E-3</v>
      </c>
      <c r="F291" s="16">
        <f t="shared" si="56"/>
        <v>-8.5544683875344758E-3</v>
      </c>
      <c r="G291" s="16" t="str">
        <f t="shared" si="59"/>
        <v xml:space="preserve"> </v>
      </c>
      <c r="H291" s="16" t="str">
        <f t="shared" si="60"/>
        <v xml:space="preserve"> </v>
      </c>
      <c r="I291" s="16" t="str">
        <f t="shared" si="61"/>
        <v xml:space="preserve"> </v>
      </c>
      <c r="J291" s="16">
        <f t="shared" si="57"/>
        <v>5.2308718148805604E-3</v>
      </c>
      <c r="K291" s="16">
        <f t="shared" si="62"/>
        <v>-8.5544683875344758E-3</v>
      </c>
      <c r="L291" s="16">
        <f t="shared" si="63"/>
        <v>0.38903650177173343</v>
      </c>
      <c r="M291" s="16">
        <f t="shared" si="64"/>
        <v>6.3665477478110521E-2</v>
      </c>
      <c r="N291" s="16">
        <f t="shared" si="65"/>
        <v>0.38803672341027617</v>
      </c>
      <c r="O291" s="16">
        <f t="shared" si="66"/>
        <v>-5.3203733848349394E-2</v>
      </c>
      <c r="R291" s="5">
        <f>IF($T$1, J291, -0.2)</f>
        <v>-0.2</v>
      </c>
    </row>
    <row r="292" spans="2:18" x14ac:dyDescent="0.3">
      <c r="B292" s="16">
        <v>0.39103047628919319</v>
      </c>
      <c r="C292" s="16">
        <f t="shared" si="58"/>
        <v>5.8351782338086133E-2</v>
      </c>
      <c r="D292" s="16">
        <f t="shared" si="54"/>
        <v>5.209537616304446E-3</v>
      </c>
      <c r="E292" s="16">
        <f t="shared" si="55"/>
        <v>-8.5546770625887676E-3</v>
      </c>
      <c r="F292" s="16">
        <f t="shared" si="56"/>
        <v>-8.5544683875344758E-3</v>
      </c>
      <c r="G292" s="16" t="str">
        <f t="shared" si="59"/>
        <v xml:space="preserve"> </v>
      </c>
      <c r="H292" s="16" t="str">
        <f t="shared" si="60"/>
        <v xml:space="preserve"> </v>
      </c>
      <c r="I292" s="16" t="str">
        <f t="shared" si="61"/>
        <v xml:space="preserve"> </v>
      </c>
      <c r="J292" s="16">
        <f t="shared" si="57"/>
        <v>5.209537616304446E-3</v>
      </c>
      <c r="K292" s="16">
        <f t="shared" si="62"/>
        <v>-8.5544683875344758E-3</v>
      </c>
      <c r="L292" s="16">
        <f t="shared" si="63"/>
        <v>0.39152963867848045</v>
      </c>
      <c r="M292" s="16">
        <f t="shared" si="64"/>
        <v>6.3559184906930827E-2</v>
      </c>
      <c r="N292" s="16">
        <f t="shared" si="65"/>
        <v>0.39053131389990592</v>
      </c>
      <c r="O292" s="16">
        <f t="shared" si="66"/>
        <v>-5.314010967432193E-2</v>
      </c>
      <c r="R292" s="5">
        <f>IF($T$1, J292, -0.2)</f>
        <v>-0.2</v>
      </c>
    </row>
    <row r="293" spans="2:18" x14ac:dyDescent="0.3">
      <c r="B293" s="16">
        <v>0.39353037438415939</v>
      </c>
      <c r="C293" s="16">
        <f t="shared" si="58"/>
        <v>5.826464542027944E-2</v>
      </c>
      <c r="D293" s="16">
        <f t="shared" si="54"/>
        <v>5.1881517954126292E-3</v>
      </c>
      <c r="E293" s="16">
        <f t="shared" si="55"/>
        <v>-8.5546770625887676E-3</v>
      </c>
      <c r="F293" s="16">
        <f t="shared" si="56"/>
        <v>-8.5544683875344758E-3</v>
      </c>
      <c r="G293" s="16" t="str">
        <f t="shared" si="59"/>
        <v xml:space="preserve"> </v>
      </c>
      <c r="H293" s="16" t="str">
        <f t="shared" si="60"/>
        <v xml:space="preserve"> </v>
      </c>
      <c r="I293" s="16" t="str">
        <f t="shared" si="61"/>
        <v xml:space="preserve"> </v>
      </c>
      <c r="J293" s="16">
        <f t="shared" si="57"/>
        <v>5.1881517954126292E-3</v>
      </c>
      <c r="K293" s="16">
        <f t="shared" si="62"/>
        <v>-8.5544683875344758E-3</v>
      </c>
      <c r="L293" s="16">
        <f t="shared" si="63"/>
        <v>0.39402879137252922</v>
      </c>
      <c r="M293" s="16">
        <f t="shared" si="64"/>
        <v>6.345066535650605E-2</v>
      </c>
      <c r="N293" s="16">
        <f t="shared" si="65"/>
        <v>0.39303195739578956</v>
      </c>
      <c r="O293" s="16">
        <f t="shared" si="66"/>
        <v>-5.307436176568079E-2</v>
      </c>
      <c r="R293" s="5">
        <f>IF($T$1, J293, -0.2)</f>
        <v>-0.2</v>
      </c>
    </row>
    <row r="294" spans="2:18" x14ac:dyDescent="0.3">
      <c r="B294" s="16">
        <v>0.3960362821039296</v>
      </c>
      <c r="C294" s="16">
        <f t="shared" si="58"/>
        <v>5.8175337602084987E-2</v>
      </c>
      <c r="D294" s="16">
        <f t="shared" si="54"/>
        <v>5.1667145641213462E-3</v>
      </c>
      <c r="E294" s="16">
        <f t="shared" si="55"/>
        <v>-8.5546770625887676E-3</v>
      </c>
      <c r="F294" s="16">
        <f t="shared" si="56"/>
        <v>-8.5544683875344758E-3</v>
      </c>
      <c r="G294" s="16" t="str">
        <f t="shared" si="59"/>
        <v xml:space="preserve"> </v>
      </c>
      <c r="H294" s="16" t="str">
        <f t="shared" si="60"/>
        <v xml:space="preserve"> </v>
      </c>
      <c r="I294" s="16" t="str">
        <f t="shared" si="61"/>
        <v xml:space="preserve"> </v>
      </c>
      <c r="J294" s="16">
        <f t="shared" si="57"/>
        <v>5.1667145641213462E-3</v>
      </c>
      <c r="K294" s="16">
        <f t="shared" si="62"/>
        <v>-8.5544683875344758E-3</v>
      </c>
      <c r="L294" s="16">
        <f t="shared" si="63"/>
        <v>0.39653393512070978</v>
      </c>
      <c r="M294" s="16">
        <f t="shared" si="64"/>
        <v>6.3339923574725648E-2</v>
      </c>
      <c r="N294" s="16">
        <f t="shared" si="65"/>
        <v>0.39553862908714943</v>
      </c>
      <c r="O294" s="16">
        <f t="shared" si="66"/>
        <v>-5.3006494446482949E-2</v>
      </c>
      <c r="R294" s="5">
        <f>IF($T$1, J294, -0.2)</f>
        <v>-0.2</v>
      </c>
    </row>
    <row r="295" spans="2:18" x14ac:dyDescent="0.3">
      <c r="B295" s="16">
        <v>0.39854817461698</v>
      </c>
      <c r="C295" s="16">
        <f t="shared" si="58"/>
        <v>5.8083863493303516E-2</v>
      </c>
      <c r="D295" s="16">
        <f t="shared" si="54"/>
        <v>5.1452261348562661E-3</v>
      </c>
      <c r="E295" s="16">
        <f t="shared" si="55"/>
        <v>-8.5546770625887676E-3</v>
      </c>
      <c r="F295" s="16">
        <f t="shared" si="56"/>
        <v>-8.5544683875344758E-3</v>
      </c>
      <c r="G295" s="16" t="str">
        <f t="shared" si="59"/>
        <v xml:space="preserve"> </v>
      </c>
      <c r="H295" s="16" t="str">
        <f t="shared" si="60"/>
        <v xml:space="preserve"> </v>
      </c>
      <c r="I295" s="16" t="str">
        <f t="shared" si="61"/>
        <v xml:space="preserve"> </v>
      </c>
      <c r="J295" s="16">
        <f t="shared" si="57"/>
        <v>5.1452261348562661E-3</v>
      </c>
      <c r="K295" s="16">
        <f t="shared" si="62"/>
        <v>-8.5544683875344758E-3</v>
      </c>
      <c r="L295" s="16">
        <f t="shared" si="63"/>
        <v>0.3990450451309322</v>
      </c>
      <c r="M295" s="16">
        <f t="shared" si="64"/>
        <v>6.322696438364736E-2</v>
      </c>
      <c r="N295" s="16">
        <f t="shared" si="65"/>
        <v>0.3980513041030278</v>
      </c>
      <c r="O295" s="16">
        <f t="shared" si="66"/>
        <v>-5.2936512113934825E-2</v>
      </c>
      <c r="R295" s="5">
        <f>IF($T$1, J295, -0.2)</f>
        <v>-0.2</v>
      </c>
    </row>
    <row r="296" spans="2:18" x14ac:dyDescent="0.3">
      <c r="B296" s="16">
        <v>0.4010660270324814</v>
      </c>
      <c r="C296" s="16">
        <f t="shared" si="58"/>
        <v>5.799022777617855E-2</v>
      </c>
      <c r="D296" s="16">
        <f t="shared" si="54"/>
        <v>5.1236867205503925E-3</v>
      </c>
      <c r="E296" s="16">
        <f t="shared" si="55"/>
        <v>-8.5546770625887676E-3</v>
      </c>
      <c r="F296" s="16">
        <f t="shared" si="56"/>
        <v>-8.5544683875344758E-3</v>
      </c>
      <c r="G296" s="16" t="str">
        <f t="shared" si="59"/>
        <v xml:space="preserve"> </v>
      </c>
      <c r="H296" s="16" t="str">
        <f t="shared" si="60"/>
        <v xml:space="preserve"> </v>
      </c>
      <c r="I296" s="16" t="str">
        <f t="shared" si="61"/>
        <v xml:space="preserve"> </v>
      </c>
      <c r="J296" s="16">
        <f t="shared" si="57"/>
        <v>5.1236867205503925E-3</v>
      </c>
      <c r="K296" s="16">
        <f t="shared" si="62"/>
        <v>-8.5544683875344758E-3</v>
      </c>
      <c r="L296" s="16">
        <f t="shared" si="63"/>
        <v>0.40156209655242092</v>
      </c>
      <c r="M296" s="16">
        <f t="shared" si="64"/>
        <v>6.3111792678276393E-2</v>
      </c>
      <c r="N296" s="16">
        <f t="shared" si="65"/>
        <v>0.40056995751254187</v>
      </c>
      <c r="O296" s="16">
        <f t="shared" si="66"/>
        <v>-5.2864419237175608E-2</v>
      </c>
      <c r="R296" s="5">
        <f>IF($T$1, J296, -0.2)</f>
        <v>-0.2</v>
      </c>
    </row>
    <row r="297" spans="2:18" x14ac:dyDescent="0.3">
      <c r="B297" s="16">
        <v>0.40358981440054742</v>
      </c>
      <c r="C297" s="16">
        <f t="shared" si="58"/>
        <v>5.7894435204162133E-2</v>
      </c>
      <c r="D297" s="16">
        <f t="shared" si="54"/>
        <v>5.1020965346419466E-3</v>
      </c>
      <c r="E297" s="16">
        <f t="shared" si="55"/>
        <v>-8.5546770625887676E-3</v>
      </c>
      <c r="F297" s="16">
        <f t="shared" si="56"/>
        <v>-8.5544683875344758E-3</v>
      </c>
      <c r="G297" s="16" t="str">
        <f t="shared" si="59"/>
        <v xml:space="preserve"> </v>
      </c>
      <c r="H297" s="16" t="str">
        <f t="shared" si="60"/>
        <v xml:space="preserve"> </v>
      </c>
      <c r="I297" s="16" t="str">
        <f t="shared" si="61"/>
        <v xml:space="preserve"> </v>
      </c>
      <c r="J297" s="16">
        <f t="shared" si="57"/>
        <v>5.1020965346419466E-3</v>
      </c>
      <c r="K297" s="16">
        <f t="shared" si="62"/>
        <v>-8.5544683875344758E-3</v>
      </c>
      <c r="L297" s="16">
        <f t="shared" si="63"/>
        <v>0.40408506447595233</v>
      </c>
      <c r="M297" s="16">
        <f t="shared" si="64"/>
        <v>6.299441342532909E-2</v>
      </c>
      <c r="N297" s="16">
        <f t="shared" si="65"/>
        <v>0.40309456432514251</v>
      </c>
      <c r="O297" s="16">
        <f t="shared" si="66"/>
        <v>-5.2790220356045192E-2</v>
      </c>
      <c r="R297" s="5">
        <f>IF($T$1, J297, -0.2)</f>
        <v>-0.2</v>
      </c>
    </row>
    <row r="298" spans="2:18" x14ac:dyDescent="0.3">
      <c r="B298" s="16">
        <v>0.40611951171248117</v>
      </c>
      <c r="C298" s="16">
        <f t="shared" si="58"/>
        <v>5.7796490600665849E-2</v>
      </c>
      <c r="D298" s="16">
        <f t="shared" si="54"/>
        <v>5.0804557910722548E-3</v>
      </c>
      <c r="E298" s="16">
        <f t="shared" si="55"/>
        <v>-8.5546770625887676E-3</v>
      </c>
      <c r="F298" s="16">
        <f t="shared" si="56"/>
        <v>-8.5544683875344758E-3</v>
      </c>
      <c r="G298" s="16" t="str">
        <f t="shared" si="59"/>
        <v xml:space="preserve"> </v>
      </c>
      <c r="H298" s="16" t="str">
        <f t="shared" si="60"/>
        <v xml:space="preserve"> </v>
      </c>
      <c r="I298" s="16" t="str">
        <f t="shared" si="61"/>
        <v xml:space="preserve"> </v>
      </c>
      <c r="J298" s="16">
        <f t="shared" si="57"/>
        <v>5.0804557910722548E-3</v>
      </c>
      <c r="K298" s="16">
        <f t="shared" si="62"/>
        <v>-8.5544683875344758E-3</v>
      </c>
      <c r="L298" s="16">
        <f t="shared" si="63"/>
        <v>0.40661392393409068</v>
      </c>
      <c r="M298" s="16">
        <f t="shared" si="64"/>
        <v>6.2874831661981864E-2</v>
      </c>
      <c r="N298" s="16">
        <f t="shared" si="65"/>
        <v>0.40562509949087167</v>
      </c>
      <c r="O298" s="16">
        <f t="shared" si="66"/>
        <v>-5.2713920079837356E-2</v>
      </c>
      <c r="R298" s="5">
        <f>IF($T$1, J298, -0.2)</f>
        <v>-0.2</v>
      </c>
    </row>
    <row r="299" spans="2:18" x14ac:dyDescent="0.3">
      <c r="B299" s="16">
        <v>0.4086550939010225</v>
      </c>
      <c r="C299" s="16">
        <f t="shared" si="58"/>
        <v>5.7696398857797371E-2</v>
      </c>
      <c r="D299" s="16">
        <f t="shared" si="54"/>
        <v>5.0587647042836317E-3</v>
      </c>
      <c r="E299" s="16">
        <f t="shared" si="55"/>
        <v>-8.5546770625887676E-3</v>
      </c>
      <c r="F299" s="16">
        <f t="shared" si="56"/>
        <v>-8.5544683875344758E-3</v>
      </c>
      <c r="G299" s="16" t="str">
        <f t="shared" si="59"/>
        <v xml:space="preserve"> </v>
      </c>
      <c r="H299" s="16" t="str">
        <f t="shared" si="60"/>
        <v xml:space="preserve"> </v>
      </c>
      <c r="I299" s="16" t="str">
        <f t="shared" si="61"/>
        <v xml:space="preserve"> </v>
      </c>
      <c r="J299" s="16">
        <f t="shared" si="57"/>
        <v>5.0587647042836317E-3</v>
      </c>
      <c r="K299" s="16">
        <f t="shared" si="62"/>
        <v>-8.5544683875344758E-3</v>
      </c>
      <c r="L299" s="16">
        <f t="shared" si="63"/>
        <v>0.40914864990142474</v>
      </c>
      <c r="M299" s="16">
        <f t="shared" si="64"/>
        <v>6.2753052494605721E-2</v>
      </c>
      <c r="N299" s="16">
        <f t="shared" si="65"/>
        <v>0.40816153790062026</v>
      </c>
      <c r="O299" s="16">
        <f t="shared" si="66"/>
        <v>-5.2635523086038458E-2</v>
      </c>
      <c r="R299" s="5">
        <f>IF($T$1, J299, -0.2)</f>
        <v>-0.2</v>
      </c>
    </row>
    <row r="300" spans="2:18" x14ac:dyDescent="0.3">
      <c r="B300" s="16">
        <v>0.41119653584059757</v>
      </c>
      <c r="C300" s="16">
        <f t="shared" si="58"/>
        <v>5.759416493508239E-2</v>
      </c>
      <c r="D300" s="16">
        <f t="shared" si="54"/>
        <v>5.0370234892172473E-3</v>
      </c>
      <c r="E300" s="16">
        <f t="shared" si="55"/>
        <v>-8.5546770625887676E-3</v>
      </c>
      <c r="F300" s="16">
        <f t="shared" si="56"/>
        <v>-8.5544683875344758E-3</v>
      </c>
      <c r="G300" s="16" t="str">
        <f t="shared" si="59"/>
        <v xml:space="preserve"> </v>
      </c>
      <c r="H300" s="16" t="str">
        <f t="shared" si="60"/>
        <v xml:space="preserve"> </v>
      </c>
      <c r="I300" s="16" t="str">
        <f t="shared" si="61"/>
        <v xml:space="preserve"> </v>
      </c>
      <c r="J300" s="16">
        <f t="shared" si="57"/>
        <v>5.0370234892172473E-3</v>
      </c>
      <c r="K300" s="16">
        <f t="shared" si="62"/>
        <v>-8.5544683875344758E-3</v>
      </c>
      <c r="L300" s="16">
        <f t="shared" si="63"/>
        <v>0.41168921729480629</v>
      </c>
      <c r="M300" s="16">
        <f t="shared" si="64"/>
        <v>6.262908109748605E-2</v>
      </c>
      <c r="N300" s="16">
        <f t="shared" si="65"/>
        <v>0.41070385438638884</v>
      </c>
      <c r="O300" s="16">
        <f t="shared" si="66"/>
        <v>-5.2555034119051561E-2</v>
      </c>
      <c r="R300" s="5">
        <f>IF($T$1, J300, -0.2)</f>
        <v>-0.2</v>
      </c>
    </row>
    <row r="301" spans="2:18" x14ac:dyDescent="0.3">
      <c r="B301" s="16">
        <v>0.41374381234756619</v>
      </c>
      <c r="C301" s="16">
        <f t="shared" si="58"/>
        <v>5.7489793858172496E-2</v>
      </c>
      <c r="D301" s="16">
        <f t="shared" si="54"/>
        <v>5.015232361311012E-3</v>
      </c>
      <c r="E301" s="16">
        <f t="shared" si="55"/>
        <v>-8.5546770625887676E-3</v>
      </c>
      <c r="F301" s="16">
        <f t="shared" si="56"/>
        <v>-8.5544683875344758E-3</v>
      </c>
      <c r="G301" s="16" t="str">
        <f t="shared" si="59"/>
        <v xml:space="preserve"> </v>
      </c>
      <c r="H301" s="16" t="str">
        <f t="shared" si="60"/>
        <v xml:space="preserve"> </v>
      </c>
      <c r="I301" s="16" t="str">
        <f t="shared" si="61"/>
        <v xml:space="preserve"> </v>
      </c>
      <c r="J301" s="16">
        <f t="shared" si="57"/>
        <v>5.015232361311012E-3</v>
      </c>
      <c r="K301" s="16">
        <f t="shared" si="62"/>
        <v>-8.5544683875344758E-3</v>
      </c>
      <c r="L301" s="16">
        <f t="shared" si="63"/>
        <v>0.41423560097358642</v>
      </c>
      <c r="M301" s="16">
        <f t="shared" si="64"/>
        <v>6.2502922711528477E-2</v>
      </c>
      <c r="N301" s="16">
        <f t="shared" si="65"/>
        <v>0.41325202372154596</v>
      </c>
      <c r="O301" s="16">
        <f t="shared" si="66"/>
        <v>-5.247245798890645E-2</v>
      </c>
      <c r="R301" s="5">
        <f>IF($T$1, J301, -0.2)</f>
        <v>-0.2</v>
      </c>
    </row>
    <row r="302" spans="2:18" x14ac:dyDescent="0.3">
      <c r="B302" s="16">
        <v>0.41629689818047322</v>
      </c>
      <c r="C302" s="16">
        <f t="shared" si="58"/>
        <v>5.7383290717539025E-2</v>
      </c>
      <c r="D302" s="16">
        <f t="shared" si="54"/>
        <v>4.9933915364974218E-3</v>
      </c>
      <c r="E302" s="16">
        <f t="shared" si="55"/>
        <v>-8.5546770625887676E-3</v>
      </c>
      <c r="F302" s="16">
        <f t="shared" si="56"/>
        <v>-8.5544683875344758E-3</v>
      </c>
      <c r="G302" s="16" t="str">
        <f t="shared" si="59"/>
        <v xml:space="preserve"> </v>
      </c>
      <c r="H302" s="16" t="str">
        <f t="shared" si="60"/>
        <v xml:space="preserve"> </v>
      </c>
      <c r="I302" s="16" t="str">
        <f t="shared" si="61"/>
        <v xml:space="preserve"> </v>
      </c>
      <c r="J302" s="16">
        <f t="shared" si="57"/>
        <v>4.9933915364974218E-3</v>
      </c>
      <c r="K302" s="16">
        <f t="shared" si="62"/>
        <v>-8.5544683875344758E-3</v>
      </c>
      <c r="L302" s="16">
        <f t="shared" si="63"/>
        <v>0.41678777573985559</v>
      </c>
      <c r="M302" s="16">
        <f t="shared" si="64"/>
        <v>6.2374582642950552E-2</v>
      </c>
      <c r="N302" s="16">
        <f t="shared" si="65"/>
        <v>0.41580602062109084</v>
      </c>
      <c r="O302" s="16">
        <f t="shared" si="66"/>
        <v>-5.2387799569955706E-2</v>
      </c>
      <c r="R302" s="5">
        <f>IF($T$1, J302, -0.2)</f>
        <v>-0.2</v>
      </c>
    </row>
    <row r="303" spans="2:18" x14ac:dyDescent="0.3">
      <c r="B303" s="16">
        <v>0.41885576804029723</v>
      </c>
      <c r="C303" s="16">
        <f t="shared" si="58"/>
        <v>5.7274660667153449E-2</v>
      </c>
      <c r="D303" s="16">
        <f t="shared" si="54"/>
        <v>4.9715012312014353E-3</v>
      </c>
      <c r="E303" s="16">
        <f t="shared" si="55"/>
        <v>-8.5546770625887676E-3</v>
      </c>
      <c r="F303" s="16">
        <f t="shared" si="56"/>
        <v>-8.5544683875344758E-3</v>
      </c>
      <c r="G303" s="16" t="str">
        <f t="shared" si="59"/>
        <v xml:space="preserve"> </v>
      </c>
      <c r="H303" s="16" t="str">
        <f t="shared" si="60"/>
        <v xml:space="preserve"> </v>
      </c>
      <c r="I303" s="16" t="str">
        <f t="shared" si="61"/>
        <v xml:space="preserve"> </v>
      </c>
      <c r="J303" s="16">
        <f t="shared" si="57"/>
        <v>4.9715012312014353E-3</v>
      </c>
      <c r="K303" s="16">
        <f t="shared" si="62"/>
        <v>-8.5544683875344758E-3</v>
      </c>
      <c r="L303" s="16">
        <f t="shared" si="63"/>
        <v>0.41934571633868151</v>
      </c>
      <c r="M303" s="16">
        <f t="shared" si="64"/>
        <v>6.2244066261960142E-2</v>
      </c>
      <c r="N303" s="16">
        <f t="shared" si="65"/>
        <v>0.41836581974191295</v>
      </c>
      <c r="O303" s="16">
        <f t="shared" si="66"/>
        <v>-5.2301063799557269E-2</v>
      </c>
      <c r="R303" s="5">
        <f>IF($T$1, J303, -0.2)</f>
        <v>-0.2</v>
      </c>
    </row>
    <row r="304" spans="2:18" x14ac:dyDescent="0.3">
      <c r="B304" s="16">
        <v>0.42142039657070196</v>
      </c>
      <c r="C304" s="16">
        <f t="shared" si="58"/>
        <v>5.716390892315406E-2</v>
      </c>
      <c r="D304" s="16">
        <f t="shared" si="54"/>
        <v>4.9495616623383212E-3</v>
      </c>
      <c r="E304" s="16">
        <f t="shared" si="55"/>
        <v>-8.5546770625887676E-3</v>
      </c>
      <c r="F304" s="16">
        <f t="shared" si="56"/>
        <v>-8.5544683875344758E-3</v>
      </c>
      <c r="G304" s="16" t="str">
        <f t="shared" si="59"/>
        <v xml:space="preserve"> </v>
      </c>
      <c r="H304" s="16" t="str">
        <f t="shared" si="60"/>
        <v xml:space="preserve"> </v>
      </c>
      <c r="I304" s="16" t="str">
        <f t="shared" si="61"/>
        <v xml:space="preserve"> </v>
      </c>
      <c r="J304" s="16">
        <f t="shared" si="57"/>
        <v>4.9495616623383212E-3</v>
      </c>
      <c r="K304" s="16">
        <f t="shared" si="62"/>
        <v>-8.5544683875344758E-3</v>
      </c>
      <c r="L304" s="16">
        <f t="shared" si="63"/>
        <v>0.42190939745834849</v>
      </c>
      <c r="M304" s="16">
        <f t="shared" si="64"/>
        <v>6.2111379001419956E-2</v>
      </c>
      <c r="N304" s="16">
        <f t="shared" si="65"/>
        <v>0.42093139568305543</v>
      </c>
      <c r="O304" s="16">
        <f t="shared" si="66"/>
        <v>-5.2212255676743313E-2</v>
      </c>
      <c r="R304" s="5">
        <f>IF($T$1, J304, -0.2)</f>
        <v>-0.2</v>
      </c>
    </row>
    <row r="305" spans="2:18" x14ac:dyDescent="0.3">
      <c r="B305" s="16">
        <v>0.42399075835828748</v>
      </c>
      <c r="C305" s="16">
        <f t="shared" si="58"/>
        <v>5.7051040762499373E-2</v>
      </c>
      <c r="D305" s="16">
        <f t="shared" si="54"/>
        <v>4.9275730473115091E-3</v>
      </c>
      <c r="E305" s="16">
        <f t="shared" si="55"/>
        <v>-8.5546770625887676E-3</v>
      </c>
      <c r="F305" s="16">
        <f t="shared" si="56"/>
        <v>-8.5544683875344758E-3</v>
      </c>
      <c r="G305" s="16" t="str">
        <f t="shared" si="59"/>
        <v xml:space="preserve"> </v>
      </c>
      <c r="H305" s="16" t="str">
        <f t="shared" si="60"/>
        <v xml:space="preserve"> </v>
      </c>
      <c r="I305" s="16" t="str">
        <f t="shared" si="61"/>
        <v xml:space="preserve"> </v>
      </c>
      <c r="J305" s="16">
        <f t="shared" si="57"/>
        <v>4.9275730473115091E-3</v>
      </c>
      <c r="K305" s="16">
        <f t="shared" si="62"/>
        <v>-8.5544683875344758E-3</v>
      </c>
      <c r="L305" s="16">
        <f t="shared" si="63"/>
        <v>0.42447879373059771</v>
      </c>
      <c r="M305" s="16">
        <f t="shared" si="64"/>
        <v>6.197652635549885E-2</v>
      </c>
      <c r="N305" s="16">
        <f t="shared" si="65"/>
        <v>0.42350272298597724</v>
      </c>
      <c r="O305" s="16">
        <f t="shared" si="66"/>
        <v>-5.2121380260875837E-2</v>
      </c>
      <c r="R305" s="5">
        <f>IF($T$1, J305, -0.2)</f>
        <v>-0.2</v>
      </c>
    </row>
    <row r="306" spans="2:18" x14ac:dyDescent="0.3">
      <c r="B306" s="16">
        <v>0.42656682793284162</v>
      </c>
      <c r="C306" s="16">
        <f t="shared" si="58"/>
        <v>5.6936061521608954E-2</v>
      </c>
      <c r="D306" s="16">
        <f t="shared" si="54"/>
        <v>4.905535604010438E-3</v>
      </c>
      <c r="E306" s="16">
        <f t="shared" si="55"/>
        <v>-8.5546770625887676E-3</v>
      </c>
      <c r="F306" s="16">
        <f t="shared" si="56"/>
        <v>-8.5544683875344758E-3</v>
      </c>
      <c r="G306" s="16" t="str">
        <f t="shared" si="59"/>
        <v xml:space="preserve"> </v>
      </c>
      <c r="H306" s="16" t="str">
        <f t="shared" si="60"/>
        <v xml:space="preserve"> </v>
      </c>
      <c r="I306" s="16" t="str">
        <f t="shared" si="61"/>
        <v xml:space="preserve"> </v>
      </c>
      <c r="J306" s="16">
        <f t="shared" si="57"/>
        <v>4.905535604010438E-3</v>
      </c>
      <c r="K306" s="16">
        <f t="shared" si="62"/>
        <v>-8.5544683875344758E-3</v>
      </c>
      <c r="L306" s="16">
        <f t="shared" si="63"/>
        <v>0.42705387973086673</v>
      </c>
      <c r="M306" s="16">
        <f t="shared" si="64"/>
        <v>6.1839513878310576E-2</v>
      </c>
      <c r="N306" s="16">
        <f t="shared" si="65"/>
        <v>0.42607977613481651</v>
      </c>
      <c r="O306" s="16">
        <f t="shared" si="66"/>
        <v>-5.2028442670289707E-2</v>
      </c>
      <c r="R306" s="5">
        <f>IF($T$1, J306, -0.2)</f>
        <v>-0.2</v>
      </c>
    </row>
    <row r="307" spans="2:18" x14ac:dyDescent="0.3">
      <c r="B307" s="16">
        <v>0.42914857976759269</v>
      </c>
      <c r="C307" s="16">
        <f t="shared" si="58"/>
        <v>5.6818976594991147E-2</v>
      </c>
      <c r="D307" s="16">
        <f t="shared" si="54"/>
        <v>4.8834495508083961E-3</v>
      </c>
      <c r="E307" s="16">
        <f t="shared" si="55"/>
        <v>-8.5546770625887676E-3</v>
      </c>
      <c r="F307" s="16">
        <f t="shared" si="56"/>
        <v>-8.5544683875344758E-3</v>
      </c>
      <c r="G307" s="16" t="str">
        <f t="shared" si="59"/>
        <v xml:space="preserve"> </v>
      </c>
      <c r="H307" s="16" t="str">
        <f t="shared" si="60"/>
        <v xml:space="preserve"> </v>
      </c>
      <c r="I307" s="16" t="str">
        <f t="shared" si="61"/>
        <v xml:space="preserve"> </v>
      </c>
      <c r="J307" s="16">
        <f t="shared" si="57"/>
        <v>4.8834495508083961E-3</v>
      </c>
      <c r="K307" s="16">
        <f t="shared" si="62"/>
        <v>-8.5544683875344758E-3</v>
      </c>
      <c r="L307" s="16">
        <f t="shared" si="63"/>
        <v>0.4296346299785303</v>
      </c>
      <c r="M307" s="16">
        <f t="shared" si="64"/>
        <v>6.1700347182539396E-2</v>
      </c>
      <c r="N307" s="16">
        <f t="shared" si="65"/>
        <v>0.42866252955665507</v>
      </c>
      <c r="O307" s="16">
        <f t="shared" si="66"/>
        <v>-5.1933448080922602E-2</v>
      </c>
      <c r="R307" s="5">
        <f>IF($T$1, J307, -0.2)</f>
        <v>-0.2</v>
      </c>
    </row>
    <row r="308" spans="2:18" x14ac:dyDescent="0.3">
      <c r="B308" s="16">
        <v>0.43173598827946269</v>
      </c>
      <c r="C308" s="16">
        <f t="shared" si="58"/>
        <v>5.6699791433858483E-2</v>
      </c>
      <c r="D308" s="16">
        <f t="shared" si="54"/>
        <v>4.8613151065603549E-3</v>
      </c>
      <c r="E308" s="16">
        <f t="shared" si="55"/>
        <v>-8.5546770625887676E-3</v>
      </c>
      <c r="F308" s="16">
        <f t="shared" si="56"/>
        <v>-8.5544683875344758E-3</v>
      </c>
      <c r="G308" s="16" t="str">
        <f t="shared" si="59"/>
        <v xml:space="preserve"> </v>
      </c>
      <c r="H308" s="16" t="str">
        <f t="shared" si="60"/>
        <v xml:space="preserve"> </v>
      </c>
      <c r="I308" s="16" t="str">
        <f t="shared" si="61"/>
        <v xml:space="preserve"> </v>
      </c>
      <c r="J308" s="16">
        <f t="shared" si="57"/>
        <v>4.8613151065603549E-3</v>
      </c>
      <c r="K308" s="16">
        <f t="shared" si="62"/>
        <v>-8.5544683875344758E-3</v>
      </c>
      <c r="L308" s="16">
        <f t="shared" si="63"/>
        <v>0.43222101893714221</v>
      </c>
      <c r="M308" s="16">
        <f t="shared" si="64"/>
        <v>6.1559031938053344E-2</v>
      </c>
      <c r="N308" s="16">
        <f t="shared" si="65"/>
        <v>0.43125095762178317</v>
      </c>
      <c r="O308" s="16">
        <f t="shared" si="66"/>
        <v>-5.1836401724932632E-2</v>
      </c>
      <c r="R308" s="5">
        <f>IF($T$1, J308, -0.2)</f>
        <v>-0.2</v>
      </c>
    </row>
    <row r="309" spans="2:18" x14ac:dyDescent="0.3">
      <c r="B309" s="16">
        <v>0.43432902782932004</v>
      </c>
      <c r="C309" s="16">
        <f t="shared" si="58"/>
        <v>5.6578511544730849E-2</v>
      </c>
      <c r="D309" s="16">
        <f t="shared" si="54"/>
        <v>4.8391324906008051E-3</v>
      </c>
      <c r="E309" s="16">
        <f t="shared" si="55"/>
        <v>-8.5546770625887676E-3</v>
      </c>
      <c r="F309" s="16">
        <f t="shared" si="56"/>
        <v>-8.5544683875344758E-3</v>
      </c>
      <c r="G309" s="16" t="str">
        <f t="shared" si="59"/>
        <v xml:space="preserve"> </v>
      </c>
      <c r="H309" s="16" t="str">
        <f t="shared" si="60"/>
        <v xml:space="preserve"> </v>
      </c>
      <c r="I309" s="16" t="str">
        <f t="shared" si="61"/>
        <v xml:space="preserve"> </v>
      </c>
      <c r="J309" s="16">
        <f t="shared" si="57"/>
        <v>4.8391324906008051E-3</v>
      </c>
      <c r="K309" s="16">
        <f t="shared" si="62"/>
        <v>-8.5544683875344758E-3</v>
      </c>
      <c r="L309" s="16">
        <f t="shared" si="63"/>
        <v>0.43481302101467562</v>
      </c>
      <c r="M309" s="16">
        <f t="shared" si="64"/>
        <v>6.1415573870505315E-2</v>
      </c>
      <c r="N309" s="16">
        <f t="shared" si="65"/>
        <v>0.43384503464396446</v>
      </c>
      <c r="O309" s="16">
        <f t="shared" si="66"/>
        <v>-5.1737308889303703E-2</v>
      </c>
      <c r="R309" s="5">
        <f>IF($T$1, J309, -0.2)</f>
        <v>-0.2</v>
      </c>
    </row>
    <row r="310" spans="2:18" x14ac:dyDescent="0.3">
      <c r="B310" s="16">
        <v>0.43692767272223476</v>
      </c>
      <c r="C310" s="16">
        <f t="shared" si="58"/>
        <v>5.6455142488026709E-2</v>
      </c>
      <c r="D310" s="16">
        <f t="shared" si="54"/>
        <v>4.8169019227415743E-3</v>
      </c>
      <c r="E310" s="16">
        <f t="shared" si="55"/>
        <v>-8.5546770625887676E-3</v>
      </c>
      <c r="F310" s="16">
        <f t="shared" si="56"/>
        <v>-8.5544683875344758E-3</v>
      </c>
      <c r="G310" s="16" t="str">
        <f t="shared" si="59"/>
        <v xml:space="preserve"> </v>
      </c>
      <c r="H310" s="16" t="str">
        <f t="shared" si="60"/>
        <v xml:space="preserve"> </v>
      </c>
      <c r="I310" s="16" t="str">
        <f t="shared" si="61"/>
        <v xml:space="preserve"> </v>
      </c>
      <c r="J310" s="16">
        <f t="shared" si="57"/>
        <v>4.8169019227415743E-3</v>
      </c>
      <c r="K310" s="16">
        <f t="shared" si="62"/>
        <v>-8.5544683875344758E-3</v>
      </c>
      <c r="L310" s="16">
        <f t="shared" si="63"/>
        <v>0.43741061056376634</v>
      </c>
      <c r="M310" s="16">
        <f t="shared" si="64"/>
        <v>6.1269978759922163E-2</v>
      </c>
      <c r="N310" s="16">
        <f t="shared" si="65"/>
        <v>0.43644473488070318</v>
      </c>
      <c r="O310" s="16">
        <f t="shared" si="66"/>
        <v>-5.1636174914439011E-2</v>
      </c>
      <c r="R310" s="5">
        <f>IF($T$1, J310, -0.2)</f>
        <v>-0.2</v>
      </c>
    </row>
    <row r="311" spans="2:18" x14ac:dyDescent="0.3">
      <c r="B311" s="16">
        <v>0.43953189720773167</v>
      </c>
      <c r="C311" s="16">
        <f t="shared" si="58"/>
        <v>5.6329689876642719E-2</v>
      </c>
      <c r="D311" s="16">
        <f t="shared" si="54"/>
        <v>4.7946236232696612E-3</v>
      </c>
      <c r="E311" s="16">
        <f t="shared" si="55"/>
        <v>-8.5546770625887676E-3</v>
      </c>
      <c r="F311" s="16">
        <f t="shared" si="56"/>
        <v>-8.5544683875344758E-3</v>
      </c>
      <c r="G311" s="16" t="str">
        <f t="shared" si="59"/>
        <v xml:space="preserve"> </v>
      </c>
      <c r="H311" s="16" t="str">
        <f t="shared" si="60"/>
        <v xml:space="preserve"> </v>
      </c>
      <c r="I311" s="16" t="str">
        <f t="shared" si="61"/>
        <v xml:space="preserve"> </v>
      </c>
      <c r="J311" s="16">
        <f t="shared" si="57"/>
        <v>4.7946236232696612E-3</v>
      </c>
      <c r="K311" s="16">
        <f t="shared" si="62"/>
        <v>-8.5544683875344758E-3</v>
      </c>
      <c r="L311" s="16">
        <f t="shared" si="63"/>
        <v>0.44001376188195401</v>
      </c>
      <c r="M311" s="16">
        <f t="shared" si="64"/>
        <v>6.1122252439282168E-2</v>
      </c>
      <c r="N311" s="16">
        <f t="shared" si="65"/>
        <v>0.43905003253350933</v>
      </c>
      <c r="O311" s="16">
        <f t="shared" si="66"/>
        <v>-5.1533005192742842E-2</v>
      </c>
      <c r="R311" s="5">
        <f>IF($T$1, J311, -0.2)</f>
        <v>-0.2</v>
      </c>
    </row>
    <row r="312" spans="2:18" x14ac:dyDescent="0.3">
      <c r="B312" s="16">
        <v>0.4421416754800469</v>
      </c>
      <c r="C312" s="16">
        <f t="shared" si="58"/>
        <v>5.6202159374521603E-2</v>
      </c>
      <c r="D312" s="16">
        <f t="shared" si="54"/>
        <v>4.7722978129450437E-3</v>
      </c>
      <c r="E312" s="16">
        <f t="shared" si="55"/>
        <v>-8.5546770625887676E-3</v>
      </c>
      <c r="F312" s="16">
        <f t="shared" si="56"/>
        <v>-8.5544683875344758E-3</v>
      </c>
      <c r="G312" s="16" t="str">
        <f t="shared" si="59"/>
        <v xml:space="preserve"> </v>
      </c>
      <c r="H312" s="16" t="str">
        <f t="shared" si="60"/>
        <v xml:space="preserve"> </v>
      </c>
      <c r="I312" s="16" t="str">
        <f t="shared" si="61"/>
        <v xml:space="preserve"> </v>
      </c>
      <c r="J312" s="16">
        <f t="shared" si="57"/>
        <v>4.7722978129450437E-3</v>
      </c>
      <c r="K312" s="16">
        <f t="shared" si="62"/>
        <v>-8.5544683875344758E-3</v>
      </c>
      <c r="L312" s="16">
        <f t="shared" si="63"/>
        <v>0.44262244921192617</v>
      </c>
      <c r="M312" s="16">
        <f t="shared" si="64"/>
        <v>6.0972400793080785E-2</v>
      </c>
      <c r="N312" s="16">
        <f t="shared" si="65"/>
        <v>0.44166090174816763</v>
      </c>
      <c r="O312" s="16">
        <f t="shared" si="66"/>
        <v>-5.1427805167190692E-2</v>
      </c>
      <c r="R312" s="5">
        <f>IF($T$1, J312, -0.2)</f>
        <v>-0.2</v>
      </c>
    </row>
    <row r="313" spans="2:18" x14ac:dyDescent="0.3">
      <c r="B313" s="16">
        <v>0.44475698167838285</v>
      </c>
      <c r="C313" s="16">
        <f t="shared" si="58"/>
        <v>5.6072556695209254E-2</v>
      </c>
      <c r="D313" s="16">
        <f t="shared" si="54"/>
        <v>4.7499247129984927E-3</v>
      </c>
      <c r="E313" s="16">
        <f t="shared" si="55"/>
        <v>-8.5546770625887676E-3</v>
      </c>
      <c r="F313" s="16">
        <f t="shared" si="56"/>
        <v>-8.5544683875344758E-3</v>
      </c>
      <c r="G313" s="16" t="str">
        <f t="shared" si="59"/>
        <v xml:space="preserve"> </v>
      </c>
      <c r="H313" s="16" t="str">
        <f t="shared" si="60"/>
        <v xml:space="preserve"> </v>
      </c>
      <c r="I313" s="16" t="str">
        <f t="shared" si="61"/>
        <v xml:space="preserve"> </v>
      </c>
      <c r="J313" s="16">
        <f t="shared" si="57"/>
        <v>4.7499247129984927E-3</v>
      </c>
      <c r="K313" s="16">
        <f t="shared" si="62"/>
        <v>-8.5544683875344758E-3</v>
      </c>
      <c r="L313" s="16">
        <f t="shared" si="63"/>
        <v>0.445236646741761</v>
      </c>
      <c r="M313" s="16">
        <f t="shared" si="64"/>
        <v>6.0820429755885613E-2</v>
      </c>
      <c r="N313" s="16">
        <f t="shared" si="65"/>
        <v>0.44427731661500469</v>
      </c>
      <c r="O313" s="16">
        <f t="shared" si="66"/>
        <v>-5.1320580329888635E-2</v>
      </c>
      <c r="R313" s="5">
        <f>IF($T$1, J313, -0.2)</f>
        <v>-0.2</v>
      </c>
    </row>
    <row r="314" spans="2:18" x14ac:dyDescent="0.3">
      <c r="B314" s="16">
        <v>0.44737778988716459</v>
      </c>
      <c r="C314" s="16">
        <f t="shared" si="58"/>
        <v>5.5940887600400592E-2</v>
      </c>
      <c r="D314" s="16">
        <f t="shared" si="54"/>
        <v>4.7275045451293839E-3</v>
      </c>
      <c r="E314" s="16">
        <f t="shared" si="55"/>
        <v>-8.5546770625887676E-3</v>
      </c>
      <c r="F314" s="16">
        <f t="shared" si="56"/>
        <v>-8.5544683875344758E-3</v>
      </c>
      <c r="G314" s="16" t="str">
        <f t="shared" si="59"/>
        <v xml:space="preserve"> </v>
      </c>
      <c r="H314" s="16" t="str">
        <f t="shared" si="60"/>
        <v xml:space="preserve"> </v>
      </c>
      <c r="I314" s="16" t="str">
        <f t="shared" si="61"/>
        <v xml:space="preserve"> </v>
      </c>
      <c r="J314" s="16">
        <f t="shared" si="57"/>
        <v>4.7275045451293839E-3</v>
      </c>
      <c r="K314" s="16">
        <f t="shared" si="62"/>
        <v>-8.5544683875344758E-3</v>
      </c>
      <c r="L314" s="16">
        <f t="shared" si="63"/>
        <v>0.44785632860517116</v>
      </c>
      <c r="M314" s="16">
        <f t="shared" si="64"/>
        <v>6.0666345310880165E-2</v>
      </c>
      <c r="N314" s="16">
        <f t="shared" si="65"/>
        <v>0.44689925116915802</v>
      </c>
      <c r="O314" s="16">
        <f t="shared" si="66"/>
        <v>-5.1211336220621392E-2</v>
      </c>
      <c r="R314" s="5">
        <f>IF($T$1, J314, -0.2)</f>
        <v>-0.2</v>
      </c>
    </row>
    <row r="315" spans="2:18" x14ac:dyDescent="0.3">
      <c r="B315" s="16">
        <v>0.45000407413629695</v>
      </c>
      <c r="C315" s="16">
        <f t="shared" si="58"/>
        <v>5.5807157898474999E-2</v>
      </c>
      <c r="D315" s="16">
        <f t="shared" si="54"/>
        <v>4.7050375315034927E-3</v>
      </c>
      <c r="E315" s="16">
        <f t="shared" si="55"/>
        <v>-8.5546770625887676E-3</v>
      </c>
      <c r="F315" s="16">
        <f t="shared" si="56"/>
        <v>-8.5544683875344758E-3</v>
      </c>
      <c r="G315" s="16" t="str">
        <f t="shared" si="59"/>
        <v xml:space="preserve"> </v>
      </c>
      <c r="H315" s="16" t="str">
        <f t="shared" si="60"/>
        <v xml:space="preserve"> </v>
      </c>
      <c r="I315" s="16" t="str">
        <f t="shared" si="61"/>
        <v xml:space="preserve"> </v>
      </c>
      <c r="J315" s="16">
        <f t="shared" si="57"/>
        <v>4.7050375315034927E-3</v>
      </c>
      <c r="K315" s="16">
        <f t="shared" si="62"/>
        <v>-8.5544683875344758E-3</v>
      </c>
      <c r="L315" s="16">
        <f t="shared" si="63"/>
        <v>0.4504814688817485</v>
      </c>
      <c r="M315" s="16">
        <f t="shared" si="64"/>
        <v>6.0510153488397056E-2</v>
      </c>
      <c r="N315" s="16">
        <f t="shared" si="65"/>
        <v>0.4495266793908454</v>
      </c>
      <c r="O315" s="16">
        <f t="shared" si="66"/>
        <v>-5.1100078425390064E-2</v>
      </c>
      <c r="R315" s="5">
        <f>IF($T$1, J315, -0.2)</f>
        <v>-0.2</v>
      </c>
    </row>
    <row r="316" spans="2:18" x14ac:dyDescent="0.3">
      <c r="B316" s="16">
        <v>0.45263580840142115</v>
      </c>
      <c r="C316" s="16">
        <f t="shared" si="58"/>
        <v>5.5671373443021199E-2</v>
      </c>
      <c r="D316" s="16">
        <f t="shared" si="54"/>
        <v>4.6825238947508056E-3</v>
      </c>
      <c r="E316" s="16">
        <f t="shared" si="55"/>
        <v>-8.5546770625887676E-3</v>
      </c>
      <c r="F316" s="16">
        <f t="shared" si="56"/>
        <v>-8.5544683875344758E-3</v>
      </c>
      <c r="G316" s="16" t="str">
        <f t="shared" si="59"/>
        <v xml:space="preserve"> </v>
      </c>
      <c r="H316" s="16" t="str">
        <f t="shared" si="60"/>
        <v xml:space="preserve"> </v>
      </c>
      <c r="I316" s="16" t="str">
        <f t="shared" si="61"/>
        <v xml:space="preserve"> </v>
      </c>
      <c r="J316" s="16">
        <f t="shared" si="57"/>
        <v>4.6825238947508056E-3</v>
      </c>
      <c r="K316" s="16">
        <f t="shared" si="62"/>
        <v>-8.5544683875344758E-3</v>
      </c>
      <c r="L316" s="16">
        <f t="shared" si="63"/>
        <v>0.45311204159720792</v>
      </c>
      <c r="M316" s="16">
        <f t="shared" si="64"/>
        <v>6.0351860364440804E-2</v>
      </c>
      <c r="N316" s="16">
        <f t="shared" si="65"/>
        <v>0.45215957520563438</v>
      </c>
      <c r="O316" s="16">
        <f t="shared" si="66"/>
        <v>-5.09868125749392E-2</v>
      </c>
      <c r="R316" s="5">
        <f>IF($T$1, J316, -0.2)</f>
        <v>-0.2</v>
      </c>
    </row>
    <row r="317" spans="2:18" x14ac:dyDescent="0.3">
      <c r="B317" s="16">
        <v>0.45527296660417349</v>
      </c>
      <c r="C317" s="16">
        <f t="shared" si="58"/>
        <v>5.5533540131352359E-2</v>
      </c>
      <c r="D317" s="16">
        <f t="shared" si="54"/>
        <v>4.6599638579633024E-3</v>
      </c>
      <c r="E317" s="16">
        <f t="shared" si="55"/>
        <v>-8.5546770625887676E-3</v>
      </c>
      <c r="F317" s="16">
        <f t="shared" si="56"/>
        <v>-8.5544683875344758E-3</v>
      </c>
      <c r="G317" s="16" t="str">
        <f t="shared" si="59"/>
        <v xml:space="preserve"> </v>
      </c>
      <c r="H317" s="16" t="str">
        <f t="shared" si="60"/>
        <v xml:space="preserve"> </v>
      </c>
      <c r="I317" s="16" t="str">
        <f t="shared" si="61"/>
        <v xml:space="preserve"> </v>
      </c>
      <c r="J317" s="16">
        <f t="shared" si="57"/>
        <v>4.6599638579633024E-3</v>
      </c>
      <c r="K317" s="16">
        <f t="shared" si="62"/>
        <v>-8.5544683875344758E-3</v>
      </c>
      <c r="L317" s="16">
        <f t="shared" si="63"/>
        <v>0.45574802072363357</v>
      </c>
      <c r="M317" s="16">
        <f t="shared" si="64"/>
        <v>6.0191472059200793E-2</v>
      </c>
      <c r="N317" s="16">
        <f t="shared" si="65"/>
        <v>0.45479791248471341</v>
      </c>
      <c r="O317" s="16">
        <f t="shared" si="66"/>
        <v>-5.0871544343274192E-2</v>
      </c>
      <c r="R317" s="5">
        <f>IF($T$1, J317, -0.2)</f>
        <v>-0.2</v>
      </c>
    </row>
    <row r="318" spans="2:18" x14ac:dyDescent="0.3">
      <c r="B318" s="16">
        <v>0.45791552261244328</v>
      </c>
      <c r="C318" s="16">
        <f t="shared" si="58"/>
        <v>5.5393663903010835E-2</v>
      </c>
      <c r="D318" s="16">
        <f t="shared" si="54"/>
        <v>4.6373576446927505E-3</v>
      </c>
      <c r="E318" s="16">
        <f t="shared" si="55"/>
        <v>-8.5546770625887676E-3</v>
      </c>
      <c r="F318" s="16">
        <f t="shared" si="56"/>
        <v>-8.5544683875344758E-3</v>
      </c>
      <c r="G318" s="16" t="str">
        <f t="shared" si="59"/>
        <v xml:space="preserve"> </v>
      </c>
      <c r="H318" s="16" t="str">
        <f t="shared" si="60"/>
        <v xml:space="preserve"> </v>
      </c>
      <c r="I318" s="16" t="str">
        <f t="shared" si="61"/>
        <v xml:space="preserve"> </v>
      </c>
      <c r="J318" s="16">
        <f t="shared" si="57"/>
        <v>4.6373576446927505E-3</v>
      </c>
      <c r="K318" s="16">
        <f t="shared" si="62"/>
        <v>-8.5544683875344758E-3</v>
      </c>
      <c r="L318" s="16">
        <f t="shared" si="63"/>
        <v>0.45838938017972369</v>
      </c>
      <c r="M318" s="16">
        <f t="shared" si="64"/>
        <v>6.0028994735553835E-2</v>
      </c>
      <c r="N318" s="16">
        <f t="shared" si="65"/>
        <v>0.45744166504516287</v>
      </c>
      <c r="O318" s="16">
        <f t="shared" si="66"/>
        <v>-5.0754279446168331E-2</v>
      </c>
      <c r="R318" s="5">
        <f>IF($T$1, J318, -0.2)</f>
        <v>-0.2</v>
      </c>
    </row>
    <row r="319" spans="2:18" x14ac:dyDescent="0.3">
      <c r="B319" s="16">
        <v>0.46056345024063217</v>
      </c>
      <c r="C319" s="16">
        <f t="shared" si="58"/>
        <v>5.5251750738264001E-2</v>
      </c>
      <c r="D319" s="16">
        <f t="shared" si="54"/>
        <v>4.6147054789484887E-3</v>
      </c>
      <c r="E319" s="16">
        <f t="shared" si="55"/>
        <v>-8.5546770625887676E-3</v>
      </c>
      <c r="F319" s="16">
        <f t="shared" si="56"/>
        <v>-8.5544683875344758E-3</v>
      </c>
      <c r="G319" s="16" t="str">
        <f t="shared" si="59"/>
        <v xml:space="preserve"> </v>
      </c>
      <c r="H319" s="16" t="str">
        <f t="shared" si="60"/>
        <v xml:space="preserve"> </v>
      </c>
      <c r="I319" s="16" t="str">
        <f t="shared" si="61"/>
        <v xml:space="preserve"> </v>
      </c>
      <c r="J319" s="16">
        <f t="shared" si="57"/>
        <v>4.6147054789484887E-3</v>
      </c>
      <c r="K319" s="16">
        <f t="shared" si="62"/>
        <v>-8.5544683875344758E-3</v>
      </c>
      <c r="L319" s="16">
        <f t="shared" si="63"/>
        <v>0.46103609383103739</v>
      </c>
      <c r="M319" s="16">
        <f t="shared" si="64"/>
        <v>5.9864434597557803E-2</v>
      </c>
      <c r="N319" s="16">
        <f t="shared" si="65"/>
        <v>0.46009080665022695</v>
      </c>
      <c r="O319" s="16">
        <f t="shared" si="66"/>
        <v>-5.0635023639660826E-2</v>
      </c>
      <c r="R319" s="5">
        <f>IF($T$1, J319, -0.2)</f>
        <v>-0.2</v>
      </c>
    </row>
    <row r="320" spans="2:18" x14ac:dyDescent="0.3">
      <c r="B320" s="16">
        <v>0.46321672324991292</v>
      </c>
      <c r="C320" s="16">
        <f t="shared" si="58"/>
        <v>5.510780665659027E-2</v>
      </c>
      <c r="D320" s="16">
        <f t="shared" si="54"/>
        <v>4.5920075851952086E-3</v>
      </c>
      <c r="E320" s="16">
        <f t="shared" si="55"/>
        <v>-8.5546770625887676E-3</v>
      </c>
      <c r="F320" s="16">
        <f t="shared" si="56"/>
        <v>-8.5544683875344758E-3</v>
      </c>
      <c r="G320" s="16" t="str">
        <f t="shared" si="59"/>
        <v xml:space="preserve"> </v>
      </c>
      <c r="H320" s="16" t="str">
        <f t="shared" si="60"/>
        <v xml:space="preserve"> </v>
      </c>
      <c r="I320" s="16" t="str">
        <f t="shared" si="61"/>
        <v xml:space="preserve"> </v>
      </c>
      <c r="J320" s="16">
        <f t="shared" si="57"/>
        <v>4.5920075851952086E-3</v>
      </c>
      <c r="K320" s="16">
        <f t="shared" si="62"/>
        <v>-8.5544683875344758E-3</v>
      </c>
      <c r="L320" s="16">
        <f t="shared" si="63"/>
        <v>0.46368813549024013</v>
      </c>
      <c r="M320" s="16">
        <f t="shared" si="64"/>
        <v>5.9697797888935561E-2</v>
      </c>
      <c r="N320" s="16">
        <f t="shared" si="65"/>
        <v>0.46274531100958571</v>
      </c>
      <c r="O320" s="16">
        <f t="shared" si="66"/>
        <v>-5.0513782718545147E-2</v>
      </c>
      <c r="R320" s="5">
        <f>IF($T$1, J320, -0.2)</f>
        <v>-0.2</v>
      </c>
    </row>
    <row r="321" spans="2:18" x14ac:dyDescent="0.3">
      <c r="B321" s="16">
        <v>0.46587531534849058</v>
      </c>
      <c r="C321" s="16">
        <f t="shared" si="58"/>
        <v>5.4961837715156558E-2</v>
      </c>
      <c r="D321" s="16">
        <f t="shared" ref="D321:D384" si="67">IF($Q$1=1, IF(B321&lt;$A$8, ($A$10/6)*((B321^3)-3*$A$8*(B321^2)+($A$8^2)*(3-$A$8)*B321), (($A$10*($A$8^3))/6)*(1-B321)), " ")</f>
        <v>4.5692641883507265E-3</v>
      </c>
      <c r="E321" s="16">
        <f t="shared" ref="E321:E384" si="68">IF($Q$1=1,IF(B321&lt;$A$8, ($A$10/6)*(3*(B321^2)-6*$A$8*B321+($A$8^2)*(3-$A$8)), -($A$10*($A$8^3))/6), " ")</f>
        <v>-8.5546770625887676E-3</v>
      </c>
      <c r="F321" s="16">
        <f t="shared" ref="F321:F384" si="69">IF($Q$1=1, ATAN(E321), " ")</f>
        <v>-8.5544683875344758E-3</v>
      </c>
      <c r="G321" s="16" t="str">
        <f t="shared" si="59"/>
        <v xml:space="preserve"> </v>
      </c>
      <c r="H321" s="16" t="str">
        <f t="shared" si="60"/>
        <v xml:space="preserve"> </v>
      </c>
      <c r="I321" s="16" t="str">
        <f t="shared" si="61"/>
        <v xml:space="preserve"> </v>
      </c>
      <c r="J321" s="16">
        <f t="shared" ref="J321:J384" si="70">IF($Q$1=1, D321, G321)</f>
        <v>4.5692641883507265E-3</v>
      </c>
      <c r="K321" s="16">
        <f t="shared" si="62"/>
        <v>-8.5544683875344758E-3</v>
      </c>
      <c r="L321" s="16">
        <f t="shared" si="63"/>
        <v>0.46634547891735229</v>
      </c>
      <c r="M321" s="16">
        <f t="shared" si="64"/>
        <v>5.9529090891550229E-2</v>
      </c>
      <c r="N321" s="16">
        <f t="shared" si="65"/>
        <v>0.46540515177962888</v>
      </c>
      <c r="O321" s="16">
        <f t="shared" si="66"/>
        <v>-5.0390562514848775E-2</v>
      </c>
      <c r="R321" s="5">
        <f>IF($T$1, J321, -0.2)</f>
        <v>-0.2</v>
      </c>
    </row>
    <row r="322" spans="2:18" x14ac:dyDescent="0.3">
      <c r="B322" s="16">
        <v>0.46853920019186157</v>
      </c>
      <c r="C322" s="16">
        <f t="shared" ref="C322:C385" si="71">IF(AND($Q$1=2, $A$3=1), 0, 5*($A$4/100)*(0.2969*SQRT(B322)-0.126*B322-0.3516*(B322^2)+0.2843*(B322^3)-0.1015*(B322^4)))</f>
        <v>5.4813850007286766E-2</v>
      </c>
      <c r="D322" s="16">
        <f t="shared" si="67"/>
        <v>4.5464755137837624E-3</v>
      </c>
      <c r="E322" s="16">
        <f t="shared" si="68"/>
        <v>-8.5546770625887676E-3</v>
      </c>
      <c r="F322" s="16">
        <f t="shared" si="69"/>
        <v>-8.5544683875344758E-3</v>
      </c>
      <c r="G322" s="16" t="str">
        <f t="shared" ref="G322:G385" si="72">IF($Q$1=2, IF(A324&lt;&gt;1, IF(B322&lt;$A$11, ($A$12/6)*((B322-$A$11)^3-$A$13*((1-$A$11)^3)*B322-($A$11^3)*B322+$A$11^3), ($A$12/6)*($A$13*(B322-$A$11)^3-$A$13*((1-$A$11)^3)*B322-($A$11^3)*B322+$A$11^3)), 0), " ")</f>
        <v xml:space="preserve"> </v>
      </c>
      <c r="H322" s="16" t="str">
        <f t="shared" ref="H322:H385" si="73">IF($Q$1=2, IF(A324&lt;&gt;1, IF(B322&lt;$A$11, ($A$12/6)*(3*(B322-$A$11)^2-$A$13*((1-$A$11)^3)-($A$11^3)), ($A$12/6)*(3*$A$13*(B322-$A$11)^2-$A$13*((1-$A$11)^3)-($A$11^3))),0 ), " ")</f>
        <v xml:space="preserve"> </v>
      </c>
      <c r="I322" s="16" t="str">
        <f t="shared" ref="I322:I385" si="74">IF($Q$1=2, IF(A324&lt;&gt;1,  ATAN(H322), 0), " ")</f>
        <v xml:space="preserve"> </v>
      </c>
      <c r="J322" s="16">
        <f t="shared" si="70"/>
        <v>4.5464755137837624E-3</v>
      </c>
      <c r="K322" s="16">
        <f t="shared" ref="K322:K385" si="75">IF($Q$1=1, F322, I322)</f>
        <v>-8.5544683875344758E-3</v>
      </c>
      <c r="L322" s="16">
        <f t="shared" ref="L322:L385" si="76">B322-C322*SIN(K322)</f>
        <v>0.46900809781999475</v>
      </c>
      <c r="M322" s="16">
        <f t="shared" ref="M322:M385" si="77">J322+C322*COS(K322)</f>
        <v>5.9358319923871465E-2</v>
      </c>
      <c r="N322" s="16">
        <f t="shared" ref="N322:N385" si="78">B322+C322*SIN(K322)</f>
        <v>0.46807030256372839</v>
      </c>
      <c r="O322" s="16">
        <f t="shared" ref="O322:O385" si="79">J322-C322*COS(K322)</f>
        <v>-5.0265368896303946E-2</v>
      </c>
      <c r="R322" s="5">
        <f>IF($T$1, J322, -0.2)</f>
        <v>-0.2</v>
      </c>
    </row>
    <row r="323" spans="2:18" x14ac:dyDescent="0.3">
      <c r="B323" s="16">
        <v>0.47120835138307604</v>
      </c>
      <c r="C323" s="16">
        <f t="shared" si="71"/>
        <v>5.466384966092195E-2</v>
      </c>
      <c r="D323" s="16">
        <f t="shared" si="67"/>
        <v>4.5236417873116986E-3</v>
      </c>
      <c r="E323" s="16">
        <f t="shared" si="68"/>
        <v>-8.5546770625887676E-3</v>
      </c>
      <c r="F323" s="16">
        <f t="shared" si="69"/>
        <v>-8.5544683875344758E-3</v>
      </c>
      <c r="G323" s="16" t="str">
        <f t="shared" si="72"/>
        <v xml:space="preserve"> </v>
      </c>
      <c r="H323" s="16" t="str">
        <f t="shared" si="73"/>
        <v xml:space="preserve"> </v>
      </c>
      <c r="I323" s="16" t="str">
        <f t="shared" si="74"/>
        <v xml:space="preserve"> </v>
      </c>
      <c r="J323" s="16">
        <f t="shared" si="70"/>
        <v>4.5236417873116986E-3</v>
      </c>
      <c r="K323" s="16">
        <f t="shared" si="75"/>
        <v>-8.5544683875344758E-3</v>
      </c>
      <c r="L323" s="16">
        <f t="shared" si="76"/>
        <v>0.47167596585363825</v>
      </c>
      <c r="M323" s="16">
        <f t="shared" si="77"/>
        <v>5.9185491339433495E-2</v>
      </c>
      <c r="N323" s="16">
        <f t="shared" si="78"/>
        <v>0.47074073691251384</v>
      </c>
      <c r="O323" s="16">
        <f t="shared" si="79"/>
        <v>-5.0138207764810101E-2</v>
      </c>
      <c r="R323" s="5">
        <f>IF($T$1, J323, -0.2)</f>
        <v>-0.2</v>
      </c>
    </row>
    <row r="324" spans="2:18" x14ac:dyDescent="0.3">
      <c r="B324" s="16">
        <v>0.47388274247299855</v>
      </c>
      <c r="C324" s="16">
        <f t="shared" si="71"/>
        <v>5.4511842837072409E-2</v>
      </c>
      <c r="D324" s="16">
        <f t="shared" si="67"/>
        <v>4.5007632351983465E-3</v>
      </c>
      <c r="E324" s="16">
        <f t="shared" si="68"/>
        <v>-8.5546770625887676E-3</v>
      </c>
      <c r="F324" s="16">
        <f t="shared" si="69"/>
        <v>-8.5544683875344758E-3</v>
      </c>
      <c r="G324" s="16" t="str">
        <f t="shared" si="72"/>
        <v xml:space="preserve"> </v>
      </c>
      <c r="H324" s="16" t="str">
        <f t="shared" si="73"/>
        <v xml:space="preserve"> </v>
      </c>
      <c r="I324" s="16" t="str">
        <f t="shared" si="74"/>
        <v xml:space="preserve"> </v>
      </c>
      <c r="J324" s="16">
        <f t="shared" si="70"/>
        <v>4.5007632351983465E-3</v>
      </c>
      <c r="K324" s="16">
        <f t="shared" si="75"/>
        <v>-8.5544683875344758E-3</v>
      </c>
      <c r="L324" s="16">
        <f t="shared" si="76"/>
        <v>0.47434905662185095</v>
      </c>
      <c r="M324" s="16">
        <f t="shared" si="77"/>
        <v>5.9010611525285001E-2</v>
      </c>
      <c r="N324" s="16">
        <f t="shared" si="78"/>
        <v>0.47341642832414615</v>
      </c>
      <c r="O324" s="16">
        <f t="shared" si="79"/>
        <v>-5.0009085054888311E-2</v>
      </c>
      <c r="R324" s="5">
        <f>IF($T$1, J324, -0.2)</f>
        <v>-0.2</v>
      </c>
    </row>
    <row r="325" spans="2:18" x14ac:dyDescent="0.3">
      <c r="B325" s="16">
        <v>0.47656234696057043</v>
      </c>
      <c r="C325" s="16">
        <f t="shared" si="71"/>
        <v>5.4357835728261999E-2</v>
      </c>
      <c r="D325" s="16">
        <f t="shared" si="67"/>
        <v>4.4778400841517059E-3</v>
      </c>
      <c r="E325" s="16">
        <f t="shared" si="68"/>
        <v>-8.5546770625887676E-3</v>
      </c>
      <c r="F325" s="16">
        <f t="shared" si="69"/>
        <v>-8.5544683875344758E-3</v>
      </c>
      <c r="G325" s="16" t="str">
        <f t="shared" si="72"/>
        <v xml:space="preserve"> </v>
      </c>
      <c r="H325" s="16" t="str">
        <f t="shared" si="73"/>
        <v xml:space="preserve"> </v>
      </c>
      <c r="I325" s="16" t="str">
        <f t="shared" si="74"/>
        <v xml:space="preserve"> </v>
      </c>
      <c r="J325" s="16">
        <f t="shared" si="70"/>
        <v>4.4778400841517059E-3</v>
      </c>
      <c r="K325" s="16">
        <f t="shared" si="75"/>
        <v>-8.5544683875344758E-3</v>
      </c>
      <c r="L325" s="16">
        <f t="shared" si="76"/>
        <v>0.47702734367654726</v>
      </c>
      <c r="M325" s="16">
        <f t="shared" si="77"/>
        <v>5.8833686900431253E-2</v>
      </c>
      <c r="N325" s="16">
        <f t="shared" si="78"/>
        <v>0.4760973502445936</v>
      </c>
      <c r="O325" s="16">
        <f t="shared" si="79"/>
        <v>-4.9878006732127847E-2</v>
      </c>
      <c r="R325" s="5">
        <f>IF($T$1, J325, -0.2)</f>
        <v>-0.2</v>
      </c>
    </row>
    <row r="326" spans="2:18" x14ac:dyDescent="0.3">
      <c r="B326" s="16">
        <v>0.47924713829307297</v>
      </c>
      <c r="C326" s="16">
        <f t="shared" si="71"/>
        <v>5.420183455696459E-2</v>
      </c>
      <c r="D326" s="16">
        <f t="shared" si="67"/>
        <v>4.4548725613217091E-3</v>
      </c>
      <c r="E326" s="16">
        <f t="shared" si="68"/>
        <v>-8.5546770625887676E-3</v>
      </c>
      <c r="F326" s="16">
        <f t="shared" si="69"/>
        <v>-8.5544683875344758E-3</v>
      </c>
      <c r="G326" s="16" t="str">
        <f t="shared" si="72"/>
        <v xml:space="preserve"> </v>
      </c>
      <c r="H326" s="16" t="str">
        <f t="shared" si="73"/>
        <v xml:space="preserve"> </v>
      </c>
      <c r="I326" s="16" t="str">
        <f t="shared" si="74"/>
        <v xml:space="preserve"> </v>
      </c>
      <c r="J326" s="16">
        <f t="shared" si="70"/>
        <v>4.4548725613217091E-3</v>
      </c>
      <c r="K326" s="16">
        <f t="shared" si="75"/>
        <v>-8.5544683875344758E-3</v>
      </c>
      <c r="L326" s="16">
        <f t="shared" si="76"/>
        <v>0.47971080051823772</v>
      </c>
      <c r="M326" s="16">
        <f t="shared" si="77"/>
        <v>5.8654723914268389E-2</v>
      </c>
      <c r="N326" s="16">
        <f t="shared" si="78"/>
        <v>0.47878347606790822</v>
      </c>
      <c r="O326" s="16">
        <f t="shared" si="79"/>
        <v>-4.9744978791624969E-2</v>
      </c>
      <c r="R326" s="5">
        <f>IF($T$1, J326, -0.2)</f>
        <v>-0.2</v>
      </c>
    </row>
    <row r="327" spans="2:18" x14ac:dyDescent="0.3">
      <c r="B327" s="16">
        <v>0.48193708986638928</v>
      </c>
      <c r="C327" s="16">
        <f t="shared" si="71"/>
        <v>5.4043845574033703E-2</v>
      </c>
      <c r="D327" s="16">
        <f t="shared" si="67"/>
        <v>4.4318608942979856E-3</v>
      </c>
      <c r="E327" s="16">
        <f t="shared" si="68"/>
        <v>-8.5546770625887676E-3</v>
      </c>
      <c r="F327" s="16">
        <f t="shared" si="69"/>
        <v>-8.5544683875344758E-3</v>
      </c>
      <c r="G327" s="16" t="str">
        <f t="shared" si="72"/>
        <v xml:space="preserve"> </v>
      </c>
      <c r="H327" s="16" t="str">
        <f t="shared" si="73"/>
        <v xml:space="preserve"> </v>
      </c>
      <c r="I327" s="16" t="str">
        <f t="shared" si="74"/>
        <v xml:space="preserve"> </v>
      </c>
      <c r="J327" s="16">
        <f t="shared" si="70"/>
        <v>4.4318608942979856E-3</v>
      </c>
      <c r="K327" s="16">
        <f t="shared" si="75"/>
        <v>-8.5544683875344758E-3</v>
      </c>
      <c r="L327" s="16">
        <f t="shared" si="76"/>
        <v>0.48239940059627762</v>
      </c>
      <c r="M327" s="16">
        <f t="shared" si="77"/>
        <v>5.8473729045010844E-2</v>
      </c>
      <c r="N327" s="16">
        <f t="shared" si="78"/>
        <v>0.48147477913650094</v>
      </c>
      <c r="O327" s="16">
        <f t="shared" si="79"/>
        <v>-4.9610007256414873E-2</v>
      </c>
      <c r="R327" s="5">
        <f>IF($T$1, J327, -0.2)</f>
        <v>-0.2</v>
      </c>
    </row>
    <row r="328" spans="2:18" x14ac:dyDescent="0.3">
      <c r="B328" s="16">
        <v>0.48463217502526945</v>
      </c>
      <c r="C328" s="16">
        <f t="shared" si="71"/>
        <v>5.38838750571249E-2</v>
      </c>
      <c r="D328" s="16">
        <f t="shared" si="67"/>
        <v>4.4088053111075902E-3</v>
      </c>
      <c r="E328" s="16">
        <f t="shared" si="68"/>
        <v>-8.5546770625887676E-3</v>
      </c>
      <c r="F328" s="16">
        <f t="shared" si="69"/>
        <v>-8.5544683875344758E-3</v>
      </c>
      <c r="G328" s="16" t="str">
        <f t="shared" si="72"/>
        <v xml:space="preserve"> </v>
      </c>
      <c r="H328" s="16" t="str">
        <f t="shared" si="73"/>
        <v xml:space="preserve"> </v>
      </c>
      <c r="I328" s="16" t="str">
        <f t="shared" si="74"/>
        <v xml:space="preserve"> </v>
      </c>
      <c r="J328" s="16">
        <f t="shared" si="70"/>
        <v>4.4088053111075902E-3</v>
      </c>
      <c r="K328" s="16">
        <f t="shared" si="75"/>
        <v>-8.5544683875344758E-3</v>
      </c>
      <c r="L328" s="16">
        <f t="shared" si="76"/>
        <v>0.48509311730911836</v>
      </c>
      <c r="M328" s="16">
        <f t="shared" si="77"/>
        <v>5.8290708798111532E-2</v>
      </c>
      <c r="N328" s="16">
        <f t="shared" si="78"/>
        <v>0.48417123274142054</v>
      </c>
      <c r="O328" s="16">
        <f t="shared" si="79"/>
        <v>-4.9473098175896346E-2</v>
      </c>
      <c r="R328" s="5">
        <f>IF($T$1, J328, -0.2)</f>
        <v>-0.2</v>
      </c>
    </row>
    <row r="329" spans="2:18" x14ac:dyDescent="0.3">
      <c r="B329" s="16">
        <v>0.48733236706359295</v>
      </c>
      <c r="C329" s="16">
        <f t="shared" si="71"/>
        <v>5.3721929309111717E-2</v>
      </c>
      <c r="D329" s="16">
        <f t="shared" si="67"/>
        <v>4.385706040212759E-3</v>
      </c>
      <c r="E329" s="16">
        <f t="shared" si="68"/>
        <v>-8.5546770625887676E-3</v>
      </c>
      <c r="F329" s="16">
        <f t="shared" si="69"/>
        <v>-8.5544683875344758E-3</v>
      </c>
      <c r="G329" s="16" t="str">
        <f t="shared" si="72"/>
        <v xml:space="preserve"> </v>
      </c>
      <c r="H329" s="16" t="str">
        <f t="shared" si="73"/>
        <v xml:space="preserve"> </v>
      </c>
      <c r="I329" s="16" t="str">
        <f t="shared" si="74"/>
        <v xml:space="preserve"> </v>
      </c>
      <c r="J329" s="16">
        <f t="shared" si="70"/>
        <v>4.385706040212759E-3</v>
      </c>
      <c r="K329" s="16">
        <f t="shared" si="75"/>
        <v>-8.5544683875344758E-3</v>
      </c>
      <c r="L329" s="16">
        <f t="shared" si="76"/>
        <v>0.48779192400455645</v>
      </c>
      <c r="M329" s="16">
        <f t="shared" si="77"/>
        <v>5.8105669704675608E-2</v>
      </c>
      <c r="N329" s="16">
        <f t="shared" si="78"/>
        <v>0.48687281012262945</v>
      </c>
      <c r="O329" s="16">
        <f t="shared" si="79"/>
        <v>-4.9334257624250089E-2</v>
      </c>
      <c r="R329" s="5">
        <f>IF($T$1, J329, -0.2)</f>
        <v>-0.2</v>
      </c>
    </row>
    <row r="330" spans="2:18" x14ac:dyDescent="0.3">
      <c r="B330" s="16">
        <v>0.49003763922463506</v>
      </c>
      <c r="C330" s="16">
        <f t="shared" si="71"/>
        <v>5.3558014656495068E-2</v>
      </c>
      <c r="D330" s="16">
        <f t="shared" si="67"/>
        <v>4.3625633105086326E-3</v>
      </c>
      <c r="E330" s="16">
        <f t="shared" si="68"/>
        <v>-8.5546770625887676E-3</v>
      </c>
      <c r="F330" s="16">
        <f t="shared" si="69"/>
        <v>-8.5544683875344758E-3</v>
      </c>
      <c r="G330" s="16" t="str">
        <f t="shared" si="72"/>
        <v xml:space="preserve"> </v>
      </c>
      <c r="H330" s="16" t="str">
        <f t="shared" si="73"/>
        <v xml:space="preserve"> </v>
      </c>
      <c r="I330" s="16" t="str">
        <f t="shared" si="74"/>
        <v xml:space="preserve"> </v>
      </c>
      <c r="J330" s="16">
        <f t="shared" si="70"/>
        <v>4.3625633105086326E-3</v>
      </c>
      <c r="K330" s="16">
        <f t="shared" si="75"/>
        <v>-8.5544683875344758E-3</v>
      </c>
      <c r="L330" s="16">
        <f t="shared" si="76"/>
        <v>0.49049579397998638</v>
      </c>
      <c r="M330" s="16">
        <f t="shared" si="77"/>
        <v>5.7918618319867658E-2</v>
      </c>
      <c r="N330" s="16">
        <f t="shared" si="78"/>
        <v>0.48957948446928373</v>
      </c>
      <c r="O330" s="16">
        <f t="shared" si="79"/>
        <v>-4.9193491698850393E-2</v>
      </c>
      <c r="R330" s="5">
        <f>IF($T$1, J330, -0.2)</f>
        <v>-0.2</v>
      </c>
    </row>
    <row r="331" spans="2:18" x14ac:dyDescent="0.3">
      <c r="B331" s="16">
        <v>0.49274796470133042</v>
      </c>
      <c r="C331" s="16">
        <f t="shared" si="71"/>
        <v>5.3392137447806728E-2</v>
      </c>
      <c r="D331" s="16">
        <f t="shared" si="67"/>
        <v>4.3393773513209968E-3</v>
      </c>
      <c r="E331" s="16">
        <f t="shared" si="68"/>
        <v>-8.5546770625887676E-3</v>
      </c>
      <c r="F331" s="16">
        <f t="shared" si="69"/>
        <v>-8.5544683875344758E-3</v>
      </c>
      <c r="G331" s="16" t="str">
        <f t="shared" si="72"/>
        <v xml:space="preserve"> </v>
      </c>
      <c r="H331" s="16" t="str">
        <f t="shared" si="73"/>
        <v xml:space="preserve"> </v>
      </c>
      <c r="I331" s="16" t="str">
        <f t="shared" si="74"/>
        <v xml:space="preserve"> </v>
      </c>
      <c r="J331" s="16">
        <f t="shared" si="70"/>
        <v>4.3393773513209968E-3</v>
      </c>
      <c r="K331" s="16">
        <f t="shared" si="75"/>
        <v>-8.5544683875344758E-3</v>
      </c>
      <c r="L331" s="16">
        <f t="shared" si="76"/>
        <v>0.49320470048265042</v>
      </c>
      <c r="M331" s="16">
        <f t="shared" si="77"/>
        <v>5.7729561221312939E-2</v>
      </c>
      <c r="N331" s="16">
        <f t="shared" si="78"/>
        <v>0.49229122892001043</v>
      </c>
      <c r="O331" s="16">
        <f t="shared" si="79"/>
        <v>-4.9050806518670942E-2</v>
      </c>
      <c r="R331" s="5">
        <f>IF($T$1, J331, -0.2)</f>
        <v>-0.2</v>
      </c>
    </row>
    <row r="332" spans="2:18" x14ac:dyDescent="0.3">
      <c r="B332" s="16">
        <v>0.4954633166365402</v>
      </c>
      <c r="C332" s="16">
        <f t="shared" si="71"/>
        <v>5.3224304052006975E-2</v>
      </c>
      <c r="D332" s="16">
        <f t="shared" si="67"/>
        <v>4.3161483924040013E-3</v>
      </c>
      <c r="E332" s="16">
        <f t="shared" si="68"/>
        <v>-8.5546770625887676E-3</v>
      </c>
      <c r="F332" s="16">
        <f t="shared" si="69"/>
        <v>-8.5544683875344758E-3</v>
      </c>
      <c r="G332" s="16" t="str">
        <f t="shared" si="72"/>
        <v xml:space="preserve"> </v>
      </c>
      <c r="H332" s="16" t="str">
        <f t="shared" si="73"/>
        <v xml:space="preserve"> </v>
      </c>
      <c r="I332" s="16" t="str">
        <f t="shared" si="74"/>
        <v xml:space="preserve"> </v>
      </c>
      <c r="J332" s="16">
        <f t="shared" si="70"/>
        <v>4.3161483924040013E-3</v>
      </c>
      <c r="K332" s="16">
        <f t="shared" si="75"/>
        <v>-8.5544683875344758E-3</v>
      </c>
      <c r="L332" s="16">
        <f t="shared" si="76"/>
        <v>0.49591861670989223</v>
      </c>
      <c r="M332" s="16">
        <f t="shared" si="77"/>
        <v>5.7538505007492857E-2</v>
      </c>
      <c r="N332" s="16">
        <f t="shared" si="78"/>
        <v>0.49500801656318816</v>
      </c>
      <c r="O332" s="16">
        <f t="shared" si="79"/>
        <v>-4.8906208222684849E-2</v>
      </c>
      <c r="R332" s="5">
        <f>IF($T$1, J332, -0.2)</f>
        <v>-0.2</v>
      </c>
    </row>
    <row r="333" spans="2:18" x14ac:dyDescent="0.3">
      <c r="B333" s="16">
        <v>0.4981836681233166</v>
      </c>
      <c r="C333" s="16">
        <f t="shared" si="71"/>
        <v>5.3054520856876917E-2</v>
      </c>
      <c r="D333" s="16">
        <f t="shared" si="67"/>
        <v>4.2928766639378961E-3</v>
      </c>
      <c r="E333" s="16">
        <f t="shared" si="68"/>
        <v>-8.5546770625887676E-3</v>
      </c>
      <c r="F333" s="16">
        <f t="shared" si="69"/>
        <v>-8.5544683875344758E-3</v>
      </c>
      <c r="G333" s="16" t="str">
        <f t="shared" si="72"/>
        <v xml:space="preserve"> </v>
      </c>
      <c r="H333" s="16" t="str">
        <f t="shared" si="73"/>
        <v xml:space="preserve"> </v>
      </c>
      <c r="I333" s="16" t="str">
        <f t="shared" si="74"/>
        <v xml:space="preserve"> </v>
      </c>
      <c r="J333" s="16">
        <f t="shared" si="70"/>
        <v>4.2928766639378961E-3</v>
      </c>
      <c r="K333" s="16">
        <f t="shared" si="75"/>
        <v>-8.5544683875344758E-3</v>
      </c>
      <c r="L333" s="16">
        <f t="shared" si="76"/>
        <v>0.49863751580940735</v>
      </c>
      <c r="M333" s="16">
        <f t="shared" si="77"/>
        <v>5.7345456296135029E-2</v>
      </c>
      <c r="N333" s="16">
        <f t="shared" si="78"/>
        <v>0.49772982043722586</v>
      </c>
      <c r="O333" s="16">
        <f t="shared" si="79"/>
        <v>-4.8759702968259232E-2</v>
      </c>
      <c r="R333" s="5">
        <f>IF($T$1, J333, -0.2)</f>
        <v>-0.2</v>
      </c>
    </row>
    <row r="334" spans="2:18" x14ac:dyDescent="0.3">
      <c r="B334" s="16">
        <v>0.50090899220517071</v>
      </c>
      <c r="C334" s="16">
        <f t="shared" si="71"/>
        <v>5.2882794267405581E-2</v>
      </c>
      <c r="D334" s="16">
        <f t="shared" si="67"/>
        <v>4.2695623965267378E-3</v>
      </c>
      <c r="E334" s="16">
        <f t="shared" si="68"/>
        <v>-8.5546770625887676E-3</v>
      </c>
      <c r="F334" s="16">
        <f t="shared" si="69"/>
        <v>-8.5544683875344758E-3</v>
      </c>
      <c r="G334" s="16" t="str">
        <f t="shared" si="72"/>
        <v xml:space="preserve"> </v>
      </c>
      <c r="H334" s="16" t="str">
        <f t="shared" si="73"/>
        <v xml:space="preserve"> </v>
      </c>
      <c r="I334" s="16" t="str">
        <f t="shared" si="74"/>
        <v xml:space="preserve"> </v>
      </c>
      <c r="J334" s="16">
        <f t="shared" si="70"/>
        <v>4.2695623965267378E-3</v>
      </c>
      <c r="K334" s="16">
        <f t="shared" si="75"/>
        <v>-8.5544683875344758E-3</v>
      </c>
      <c r="L334" s="16">
        <f t="shared" si="76"/>
        <v>0.50136137087949739</v>
      </c>
      <c r="M334" s="16">
        <f t="shared" si="77"/>
        <v>5.7150421722598203E-2</v>
      </c>
      <c r="N334" s="16">
        <f t="shared" si="78"/>
        <v>0.50045661353084403</v>
      </c>
      <c r="O334" s="16">
        <f t="shared" si="79"/>
        <v>-4.8611296929544724E-2</v>
      </c>
      <c r="R334" s="5">
        <f>IF($T$1, J334, -0.2)</f>
        <v>-0.2</v>
      </c>
    </row>
    <row r="335" spans="2:18" x14ac:dyDescent="0.3">
      <c r="B335" s="16">
        <v>0.50363926187633923</v>
      </c>
      <c r="C335" s="16">
        <f t="shared" si="71"/>
        <v>5.27091307041722E-2</v>
      </c>
      <c r="D335" s="16">
        <f t="shared" si="67"/>
        <v>4.2462058211961105E-3</v>
      </c>
      <c r="E335" s="16">
        <f t="shared" si="68"/>
        <v>-8.5546770625887676E-3</v>
      </c>
      <c r="F335" s="16">
        <f t="shared" si="69"/>
        <v>-8.5544683875344758E-3</v>
      </c>
      <c r="G335" s="16" t="str">
        <f t="shared" si="72"/>
        <v xml:space="preserve"> </v>
      </c>
      <c r="H335" s="16" t="str">
        <f t="shared" si="73"/>
        <v xml:space="preserve"> </v>
      </c>
      <c r="I335" s="16" t="str">
        <f t="shared" si="74"/>
        <v xml:space="preserve"> </v>
      </c>
      <c r="J335" s="16">
        <f t="shared" si="70"/>
        <v>4.2462058211961105E-3</v>
      </c>
      <c r="K335" s="16">
        <f t="shared" si="75"/>
        <v>-8.5544683875344758E-3</v>
      </c>
      <c r="L335" s="16">
        <f t="shared" si="76"/>
        <v>0.50409015496932319</v>
      </c>
      <c r="M335" s="16">
        <f t="shared" si="77"/>
        <v>5.6953407938252251E-2</v>
      </c>
      <c r="N335" s="16">
        <f t="shared" si="78"/>
        <v>0.50318836878335527</v>
      </c>
      <c r="O335" s="16">
        <f t="shared" si="79"/>
        <v>-4.8460996295860037E-2</v>
      </c>
      <c r="R335" s="5">
        <f>IF($T$1, J335, -0.2)</f>
        <v>-0.2</v>
      </c>
    </row>
    <row r="336" spans="2:18" x14ac:dyDescent="0.3">
      <c r="B336" s="16">
        <v>0.50637445008205195</v>
      </c>
      <c r="C336" s="16">
        <f t="shared" si="71"/>
        <v>5.2533536601723795E-2</v>
      </c>
      <c r="D336" s="16">
        <f t="shared" si="67"/>
        <v>4.2228071693908367E-3</v>
      </c>
      <c r="E336" s="16">
        <f t="shared" si="68"/>
        <v>-8.5546770625887676E-3</v>
      </c>
      <c r="F336" s="16">
        <f t="shared" si="69"/>
        <v>-8.5544683875344758E-3</v>
      </c>
      <c r="G336" s="16" t="str">
        <f t="shared" si="72"/>
        <v xml:space="preserve"> </v>
      </c>
      <c r="H336" s="16" t="str">
        <f t="shared" si="73"/>
        <v xml:space="preserve"> </v>
      </c>
      <c r="I336" s="16" t="str">
        <f t="shared" si="74"/>
        <v xml:space="preserve"> </v>
      </c>
      <c r="J336" s="16">
        <f t="shared" si="70"/>
        <v>4.2228071693908367E-3</v>
      </c>
      <c r="K336" s="16">
        <f t="shared" si="75"/>
        <v>-8.5544683875344758E-3</v>
      </c>
      <c r="L336" s="16">
        <f t="shared" si="76"/>
        <v>0.50682384107915801</v>
      </c>
      <c r="M336" s="16">
        <f t="shared" si="77"/>
        <v>5.6754421608853613E-2</v>
      </c>
      <c r="N336" s="16">
        <f t="shared" si="78"/>
        <v>0.50592505908494589</v>
      </c>
      <c r="O336" s="16">
        <f t="shared" si="79"/>
        <v>-4.8308807270071939E-2</v>
      </c>
      <c r="R336" s="5">
        <f>IF($T$1, J336, -0.2)</f>
        <v>-0.2</v>
      </c>
    </row>
    <row r="337" spans="2:18" x14ac:dyDescent="0.3">
      <c r="B337" s="16">
        <v>0.50911452971880011</v>
      </c>
      <c r="C337" s="16">
        <f t="shared" si="71"/>
        <v>5.2356018406949117E-2</v>
      </c>
      <c r="D337" s="16">
        <f t="shared" si="67"/>
        <v>4.1993666729726806E-3</v>
      </c>
      <c r="E337" s="16">
        <f t="shared" si="68"/>
        <v>-8.5546770625887676E-3</v>
      </c>
      <c r="F337" s="16">
        <f t="shared" si="69"/>
        <v>-8.5544683875344758E-3</v>
      </c>
      <c r="G337" s="16" t="str">
        <f t="shared" si="72"/>
        <v xml:space="preserve"> </v>
      </c>
      <c r="H337" s="16" t="str">
        <f t="shared" si="73"/>
        <v xml:space="preserve"> </v>
      </c>
      <c r="I337" s="16" t="str">
        <f t="shared" si="74"/>
        <v xml:space="preserve"> </v>
      </c>
      <c r="J337" s="16">
        <f t="shared" si="70"/>
        <v>4.1993666729726806E-3</v>
      </c>
      <c r="K337" s="16">
        <f t="shared" si="75"/>
        <v>-8.5544683875344758E-3</v>
      </c>
      <c r="L337" s="16">
        <f t="shared" si="76"/>
        <v>0.50956240216064197</v>
      </c>
      <c r="M337" s="16">
        <f t="shared" si="77"/>
        <v>5.655346941291689E-2</v>
      </c>
      <c r="N337" s="16">
        <f t="shared" si="78"/>
        <v>0.50866665727695826</v>
      </c>
      <c r="O337" s="16">
        <f t="shared" si="79"/>
        <v>-4.8154736066971529E-2</v>
      </c>
      <c r="R337" s="5">
        <f>IF($T$1, J337, -0.2)</f>
        <v>-0.2</v>
      </c>
    </row>
    <row r="338" spans="2:18" x14ac:dyDescent="0.3">
      <c r="B338" s="16">
        <v>0.51185947363460449</v>
      </c>
      <c r="C338" s="16">
        <f t="shared" si="71"/>
        <v>5.2176582577447915E-2</v>
      </c>
      <c r="D338" s="16">
        <f t="shared" si="67"/>
        <v>4.1758845642180563E-3</v>
      </c>
      <c r="E338" s="16">
        <f t="shared" si="68"/>
        <v>-8.5546770625887676E-3</v>
      </c>
      <c r="F338" s="16">
        <f t="shared" si="69"/>
        <v>-8.5544683875344758E-3</v>
      </c>
      <c r="G338" s="16" t="str">
        <f t="shared" si="72"/>
        <v xml:space="preserve"> </v>
      </c>
      <c r="H338" s="16" t="str">
        <f t="shared" si="73"/>
        <v xml:space="preserve"> </v>
      </c>
      <c r="I338" s="16" t="str">
        <f t="shared" si="74"/>
        <v xml:space="preserve"> </v>
      </c>
      <c r="J338" s="16">
        <f t="shared" si="70"/>
        <v>4.1758845642180563E-3</v>
      </c>
      <c r="K338" s="16">
        <f t="shared" si="75"/>
        <v>-8.5544683875344758E-3</v>
      </c>
      <c r="L338" s="16">
        <f t="shared" si="76"/>
        <v>0.51230581111703655</v>
      </c>
      <c r="M338" s="16">
        <f t="shared" si="77"/>
        <v>5.6350558040081974E-2</v>
      </c>
      <c r="N338" s="16">
        <f t="shared" si="78"/>
        <v>0.51141313615217243</v>
      </c>
      <c r="O338" s="16">
        <f t="shared" si="79"/>
        <v>-4.7998788911645857E-2</v>
      </c>
      <c r="R338" s="5">
        <f>IF($T$1, J338, -0.2)</f>
        <v>-0.2</v>
      </c>
    </row>
    <row r="339" spans="2:18" x14ac:dyDescent="0.3">
      <c r="B339" s="16">
        <v>0.51460925462928531</v>
      </c>
      <c r="C339" s="16">
        <f t="shared" si="71"/>
        <v>5.1995235579897173E-2</v>
      </c>
      <c r="D339" s="16">
        <f t="shared" si="67"/>
        <v>4.1523610758157177E-3</v>
      </c>
      <c r="E339" s="16">
        <f t="shared" si="68"/>
        <v>-8.5546770625887676E-3</v>
      </c>
      <c r="F339" s="16">
        <f t="shared" si="69"/>
        <v>-8.5544683875344758E-3</v>
      </c>
      <c r="G339" s="16" t="str">
        <f t="shared" si="72"/>
        <v xml:space="preserve"> </v>
      </c>
      <c r="H339" s="16" t="str">
        <f t="shared" si="73"/>
        <v xml:space="preserve"> </v>
      </c>
      <c r="I339" s="16" t="str">
        <f t="shared" si="74"/>
        <v xml:space="preserve"> </v>
      </c>
      <c r="J339" s="16">
        <f t="shared" si="70"/>
        <v>4.1523610758157177E-3</v>
      </c>
      <c r="K339" s="16">
        <f t="shared" si="75"/>
        <v>-8.5544683875344758E-3</v>
      </c>
      <c r="L339" s="16">
        <f t="shared" si="76"/>
        <v>0.51505404080348027</v>
      </c>
      <c r="M339" s="16">
        <f t="shared" si="77"/>
        <v>5.6145694189477992E-2</v>
      </c>
      <c r="N339" s="16">
        <f t="shared" si="78"/>
        <v>0.51416446845509034</v>
      </c>
      <c r="O339" s="16">
        <f t="shared" si="79"/>
        <v>-4.7840972037846562E-2</v>
      </c>
      <c r="R339" s="5">
        <f>IF($T$1, J339, -0.2)</f>
        <v>-0.2</v>
      </c>
    </row>
    <row r="340" spans="2:18" x14ac:dyDescent="0.3">
      <c r="B340" s="16">
        <v>0.51736384545473046</v>
      </c>
      <c r="C340" s="16">
        <f t="shared" si="71"/>
        <v>5.1811983888413939E-2</v>
      </c>
      <c r="D340" s="16">
        <f t="shared" si="67"/>
        <v>4.1287964408644653E-3</v>
      </c>
      <c r="E340" s="16">
        <f t="shared" si="68"/>
        <v>-8.5546770625887676E-3</v>
      </c>
      <c r="F340" s="16">
        <f t="shared" si="69"/>
        <v>-8.5544683875344758E-3</v>
      </c>
      <c r="G340" s="16" t="str">
        <f t="shared" si="72"/>
        <v xml:space="preserve"> </v>
      </c>
      <c r="H340" s="16" t="str">
        <f t="shared" si="73"/>
        <v xml:space="preserve"> </v>
      </c>
      <c r="I340" s="16" t="str">
        <f t="shared" si="74"/>
        <v xml:space="preserve"> </v>
      </c>
      <c r="J340" s="16">
        <f t="shared" si="70"/>
        <v>4.1287964408644653E-3</v>
      </c>
      <c r="K340" s="16">
        <f t="shared" si="75"/>
        <v>-8.5544683875344758E-3</v>
      </c>
      <c r="L340" s="16">
        <f t="shared" si="76"/>
        <v>0.51780706402724308</v>
      </c>
      <c r="M340" s="16">
        <f t="shared" si="77"/>
        <v>5.5938884568083914E-2</v>
      </c>
      <c r="N340" s="16">
        <f t="shared" si="78"/>
        <v>0.51692062688221785</v>
      </c>
      <c r="O340" s="16">
        <f t="shared" si="79"/>
        <v>-4.768129168635498E-2</v>
      </c>
      <c r="R340" s="5">
        <f>IF($T$1, J340, -0.2)</f>
        <v>-0.2</v>
      </c>
    </row>
    <row r="341" spans="2:18" x14ac:dyDescent="0.3">
      <c r="B341" s="16">
        <v>0.52012321881516699</v>
      </c>
      <c r="C341" s="16">
        <f t="shared" si="71"/>
        <v>5.1626833982914989E-2</v>
      </c>
      <c r="D341" s="16">
        <f t="shared" si="67"/>
        <v>4.1051908928708197E-3</v>
      </c>
      <c r="E341" s="16">
        <f t="shared" si="68"/>
        <v>-8.5546770625887676E-3</v>
      </c>
      <c r="F341" s="16">
        <f t="shared" si="69"/>
        <v>-8.5544683875344758E-3</v>
      </c>
      <c r="G341" s="16" t="str">
        <f t="shared" si="72"/>
        <v xml:space="preserve"> </v>
      </c>
      <c r="H341" s="16" t="str">
        <f t="shared" si="73"/>
        <v xml:space="preserve"> </v>
      </c>
      <c r="I341" s="16" t="str">
        <f t="shared" si="74"/>
        <v xml:space="preserve"> </v>
      </c>
      <c r="J341" s="16">
        <f t="shared" si="70"/>
        <v>4.1051908928708197E-3</v>
      </c>
      <c r="K341" s="16">
        <f t="shared" si="75"/>
        <v>-8.5544683875344758E-3</v>
      </c>
      <c r="L341" s="16">
        <f t="shared" si="76"/>
        <v>0.52056485354798354</v>
      </c>
      <c r="M341" s="16">
        <f t="shared" si="77"/>
        <v>5.5730135889085937E-2</v>
      </c>
      <c r="N341" s="16">
        <f t="shared" si="78"/>
        <v>0.51968158408235043</v>
      </c>
      <c r="O341" s="16">
        <f t="shared" si="79"/>
        <v>-4.7519754103344296E-2</v>
      </c>
      <c r="R341" s="5">
        <f>IF($T$1, J341, -0.2)</f>
        <v>-0.2</v>
      </c>
    </row>
    <row r="342" spans="2:18" x14ac:dyDescent="0.3">
      <c r="B342" s="16">
        <v>0.52288734736743059</v>
      </c>
      <c r="C342" s="16">
        <f t="shared" si="71"/>
        <v>5.1439792347474214E-2</v>
      </c>
      <c r="D342" s="16">
        <f t="shared" si="67"/>
        <v>4.0815446657467237E-3</v>
      </c>
      <c r="E342" s="16">
        <f t="shared" si="68"/>
        <v>-8.5546770625887676E-3</v>
      </c>
      <c r="F342" s="16">
        <f t="shared" si="69"/>
        <v>-8.5544683875344758E-3</v>
      </c>
      <c r="G342" s="16" t="str">
        <f t="shared" si="72"/>
        <v xml:space="preserve"> </v>
      </c>
      <c r="H342" s="16" t="str">
        <f t="shared" si="73"/>
        <v xml:space="preserve"> </v>
      </c>
      <c r="I342" s="16" t="str">
        <f t="shared" si="74"/>
        <v xml:space="preserve"> </v>
      </c>
      <c r="J342" s="16">
        <f t="shared" si="70"/>
        <v>4.0815446657467237E-3</v>
      </c>
      <c r="K342" s="16">
        <f t="shared" si="75"/>
        <v>-8.5544683875344758E-3</v>
      </c>
      <c r="L342" s="16">
        <f t="shared" si="76"/>
        <v>0.52332738207800444</v>
      </c>
      <c r="M342" s="16">
        <f t="shared" si="77"/>
        <v>5.5519454870232646E-2</v>
      </c>
      <c r="N342" s="16">
        <f t="shared" si="78"/>
        <v>0.52244731265685673</v>
      </c>
      <c r="O342" s="16">
        <f t="shared" si="79"/>
        <v>-4.7356365538739204E-2</v>
      </c>
      <c r="R342" s="5">
        <f>IF($T$1, J342, -0.2)</f>
        <v>-0.2</v>
      </c>
    </row>
    <row r="343" spans="2:18" x14ac:dyDescent="0.3">
      <c r="B343" s="16">
        <v>0.52565620372123711</v>
      </c>
      <c r="C343" s="16">
        <f t="shared" si="71"/>
        <v>5.1250865468677256E-2</v>
      </c>
      <c r="D343" s="16">
        <f t="shared" si="67"/>
        <v>4.0578579938072117E-3</v>
      </c>
      <c r="E343" s="16">
        <f t="shared" si="68"/>
        <v>-8.5546770625887676E-3</v>
      </c>
      <c r="F343" s="16">
        <f t="shared" si="69"/>
        <v>-8.5544683875344758E-3</v>
      </c>
      <c r="G343" s="16" t="str">
        <f t="shared" si="72"/>
        <v xml:space="preserve"> </v>
      </c>
      <c r="H343" s="16" t="str">
        <f t="shared" si="73"/>
        <v xml:space="preserve"> </v>
      </c>
      <c r="I343" s="16" t="str">
        <f t="shared" si="74"/>
        <v xml:space="preserve"> </v>
      </c>
      <c r="J343" s="16">
        <f t="shared" si="70"/>
        <v>4.0578579938072117E-3</v>
      </c>
      <c r="K343" s="16">
        <f t="shared" si="75"/>
        <v>-8.5544683875344758E-3</v>
      </c>
      <c r="L343" s="16">
        <f t="shared" si="76"/>
        <v>0.52609462228251025</v>
      </c>
      <c r="M343" s="16">
        <f t="shared" si="77"/>
        <v>5.5306848232187386E-2</v>
      </c>
      <c r="N343" s="16">
        <f t="shared" si="78"/>
        <v>0.52521778515996398</v>
      </c>
      <c r="O343" s="16">
        <f t="shared" si="79"/>
        <v>-4.7191132244572956E-2</v>
      </c>
      <c r="R343" s="5">
        <f>IF($T$1, J343, -0.2)</f>
        <v>-0.2</v>
      </c>
    </row>
    <row r="344" spans="2:18" x14ac:dyDescent="0.3">
      <c r="B344" s="16">
        <v>0.52842976043945322</v>
      </c>
      <c r="C344" s="16">
        <f t="shared" si="71"/>
        <v>5.1060059833974651E-2</v>
      </c>
      <c r="D344" s="16">
        <f t="shared" si="67"/>
        <v>4.0341311117680998E-3</v>
      </c>
      <c r="E344" s="16">
        <f t="shared" si="68"/>
        <v>-8.5546770625887676E-3</v>
      </c>
      <c r="F344" s="16">
        <f t="shared" si="69"/>
        <v>-8.5544683875344758E-3</v>
      </c>
      <c r="G344" s="16" t="str">
        <f t="shared" si="72"/>
        <v xml:space="preserve"> </v>
      </c>
      <c r="H344" s="16" t="str">
        <f t="shared" si="73"/>
        <v xml:space="preserve"> </v>
      </c>
      <c r="I344" s="16" t="str">
        <f t="shared" si="74"/>
        <v xml:space="preserve"> </v>
      </c>
      <c r="J344" s="16">
        <f t="shared" si="70"/>
        <v>4.0341311117680998E-3</v>
      </c>
      <c r="K344" s="16">
        <f t="shared" si="75"/>
        <v>-8.5544683875344758E-3</v>
      </c>
      <c r="L344" s="16">
        <f t="shared" si="76"/>
        <v>0.52886654677986367</v>
      </c>
      <c r="M344" s="16">
        <f t="shared" si="77"/>
        <v>5.5092322696879123E-2</v>
      </c>
      <c r="N344" s="16">
        <f t="shared" si="78"/>
        <v>0.52799297409904278</v>
      </c>
      <c r="O344" s="16">
        <f t="shared" si="79"/>
        <v>-4.7024060473342927E-2</v>
      </c>
      <c r="R344" s="5">
        <f>IF($T$1, J344, -0.2)</f>
        <v>-0.2</v>
      </c>
    </row>
    <row r="345" spans="2:18" x14ac:dyDescent="0.3">
      <c r="B345" s="16">
        <v>0.53120799003836905</v>
      </c>
      <c r="C345" s="16">
        <f t="shared" si="71"/>
        <v>5.0867381930032748E-2</v>
      </c>
      <c r="D345" s="16">
        <f t="shared" si="67"/>
        <v>4.0103642547436496E-3</v>
      </c>
      <c r="E345" s="16">
        <f t="shared" si="68"/>
        <v>-8.5546770625887676E-3</v>
      </c>
      <c r="F345" s="16">
        <f t="shared" si="69"/>
        <v>-8.5544683875344758E-3</v>
      </c>
      <c r="G345" s="16" t="str">
        <f t="shared" si="72"/>
        <v xml:space="preserve"> </v>
      </c>
      <c r="H345" s="16" t="str">
        <f t="shared" si="73"/>
        <v xml:space="preserve"> </v>
      </c>
      <c r="I345" s="16" t="str">
        <f t="shared" si="74"/>
        <v xml:space="preserve"> </v>
      </c>
      <c r="J345" s="16">
        <f t="shared" si="70"/>
        <v>4.0103642547436496E-3</v>
      </c>
      <c r="K345" s="16">
        <f t="shared" si="75"/>
        <v>-8.5544683875344758E-3</v>
      </c>
      <c r="L345" s="16">
        <f t="shared" si="76"/>
        <v>0.53164312814184411</v>
      </c>
      <c r="M345" s="16">
        <f t="shared" si="77"/>
        <v>5.487588498585115E-2</v>
      </c>
      <c r="N345" s="16">
        <f t="shared" si="78"/>
        <v>0.53077285193489399</v>
      </c>
      <c r="O345" s="16">
        <f t="shared" si="79"/>
        <v>-4.6855156476363846E-2</v>
      </c>
      <c r="R345" s="5">
        <f>IF($T$1, J345, -0.2)</f>
        <v>-0.2</v>
      </c>
    </row>
    <row r="346" spans="2:18" x14ac:dyDescent="0.3">
      <c r="B346" s="16">
        <v>0.53399086498797033</v>
      </c>
      <c r="C346" s="16">
        <f t="shared" si="71"/>
        <v>5.0672838241083581E-2</v>
      </c>
      <c r="D346" s="16">
        <f t="shared" si="67"/>
        <v>3.986557658244242E-3</v>
      </c>
      <c r="E346" s="16">
        <f t="shared" si="68"/>
        <v>-8.5546770625887676E-3</v>
      </c>
      <c r="F346" s="16">
        <f t="shared" si="69"/>
        <v>-8.5544683875344758E-3</v>
      </c>
      <c r="G346" s="16" t="str">
        <f t="shared" si="72"/>
        <v xml:space="preserve"> </v>
      </c>
      <c r="H346" s="16" t="str">
        <f t="shared" si="73"/>
        <v xml:space="preserve"> </v>
      </c>
      <c r="I346" s="16" t="str">
        <f t="shared" si="74"/>
        <v xml:space="preserve"> </v>
      </c>
      <c r="J346" s="16">
        <f t="shared" si="70"/>
        <v>3.986557658244242E-3</v>
      </c>
      <c r="K346" s="16">
        <f t="shared" si="75"/>
        <v>-8.5544683875344758E-3</v>
      </c>
      <c r="L346" s="16">
        <f t="shared" si="76"/>
        <v>0.53442433889390584</v>
      </c>
      <c r="M346" s="16">
        <f t="shared" si="77"/>
        <v>5.4657541818608602E-2</v>
      </c>
      <c r="N346" s="16">
        <f t="shared" si="78"/>
        <v>0.53355739108203482</v>
      </c>
      <c r="O346" s="16">
        <f t="shared" si="79"/>
        <v>-4.6684426502120124E-2</v>
      </c>
      <c r="R346" s="5">
        <f>IF($T$1, J346, -0.2)</f>
        <v>-0.2</v>
      </c>
    </row>
    <row r="347" spans="2:18" x14ac:dyDescent="0.3">
      <c r="B347" s="16">
        <v>0.53677835771221083</v>
      </c>
      <c r="C347" s="16">
        <f t="shared" si="71"/>
        <v>5.0476435247273646E-2</v>
      </c>
      <c r="D347" s="16">
        <f t="shared" si="67"/>
        <v>3.9627115581740494E-3</v>
      </c>
      <c r="E347" s="16">
        <f t="shared" si="68"/>
        <v>-8.5546770625887676E-3</v>
      </c>
      <c r="F347" s="16">
        <f t="shared" si="69"/>
        <v>-8.5544683875344758E-3</v>
      </c>
      <c r="G347" s="16" t="str">
        <f t="shared" si="72"/>
        <v xml:space="preserve"> </v>
      </c>
      <c r="H347" s="16" t="str">
        <f t="shared" si="73"/>
        <v xml:space="preserve"> </v>
      </c>
      <c r="I347" s="16" t="str">
        <f t="shared" si="74"/>
        <v xml:space="preserve"> </v>
      </c>
      <c r="J347" s="16">
        <f t="shared" si="70"/>
        <v>3.9627115581740494E-3</v>
      </c>
      <c r="K347" s="16">
        <f t="shared" si="75"/>
        <v>-8.5544683875344758E-3</v>
      </c>
      <c r="L347" s="16">
        <f t="shared" si="76"/>
        <v>0.53721015151543605</v>
      </c>
      <c r="M347" s="16">
        <f t="shared" si="77"/>
        <v>5.4437299910965055E-2</v>
      </c>
      <c r="N347" s="16">
        <f t="shared" si="78"/>
        <v>0.53634656390898561</v>
      </c>
      <c r="O347" s="16">
        <f t="shared" si="79"/>
        <v>-4.6511876794616956E-2</v>
      </c>
      <c r="R347" s="5">
        <f>IF($T$1, J347, -0.2)</f>
        <v>-0.2</v>
      </c>
    </row>
    <row r="348" spans="2:18" x14ac:dyDescent="0.3">
      <c r="B348" s="16">
        <v>0.53957044058928638</v>
      </c>
      <c r="C348" s="16">
        <f t="shared" si="71"/>
        <v>5.0278179423011958E-2</v>
      </c>
      <c r="D348" s="16">
        <f t="shared" si="67"/>
        <v>3.9388261908286839E-3</v>
      </c>
      <c r="E348" s="16">
        <f t="shared" si="68"/>
        <v>-8.5546770625887676E-3</v>
      </c>
      <c r="F348" s="16">
        <f t="shared" si="69"/>
        <v>-8.5544683875344758E-3</v>
      </c>
      <c r="G348" s="16" t="str">
        <f t="shared" si="72"/>
        <v xml:space="preserve"> </v>
      </c>
      <c r="H348" s="16" t="str">
        <f t="shared" si="73"/>
        <v xml:space="preserve"> </v>
      </c>
      <c r="I348" s="16" t="str">
        <f t="shared" si="74"/>
        <v xml:space="preserve"> </v>
      </c>
      <c r="J348" s="16">
        <f t="shared" si="70"/>
        <v>3.9388261908286839E-3</v>
      </c>
      <c r="K348" s="16">
        <f t="shared" si="75"/>
        <v>-8.5544683875344758E-3</v>
      </c>
      <c r="L348" s="16">
        <f t="shared" si="76"/>
        <v>0.54000053844001517</v>
      </c>
      <c r="M348" s="16">
        <f t="shared" si="77"/>
        <v>5.4215165973388255E-2</v>
      </c>
      <c r="N348" s="16">
        <f t="shared" si="78"/>
        <v>0.5391403427385576</v>
      </c>
      <c r="O348" s="16">
        <f t="shared" si="79"/>
        <v>-4.6337513591730883E-2</v>
      </c>
      <c r="R348" s="5">
        <f>IF($T$1, J348, -0.2)</f>
        <v>-0.2</v>
      </c>
    </row>
    <row r="349" spans="2:18" x14ac:dyDescent="0.3">
      <c r="B349" s="16">
        <v>0.54236708595190763</v>
      </c>
      <c r="C349" s="16">
        <f t="shared" si="71"/>
        <v>5.0078077235317604E-2</v>
      </c>
      <c r="D349" s="16">
        <f t="shared" si="67"/>
        <v>3.914901792892873E-3</v>
      </c>
      <c r="E349" s="16">
        <f t="shared" si="68"/>
        <v>-8.5546770625887676E-3</v>
      </c>
      <c r="F349" s="16">
        <f t="shared" si="69"/>
        <v>-8.5544683875344758E-3</v>
      </c>
      <c r="G349" s="16" t="str">
        <f t="shared" si="72"/>
        <v xml:space="preserve"> </v>
      </c>
      <c r="H349" s="16" t="str">
        <f t="shared" si="73"/>
        <v xml:space="preserve"> </v>
      </c>
      <c r="I349" s="16" t="str">
        <f t="shared" si="74"/>
        <v xml:space="preserve"> </v>
      </c>
      <c r="J349" s="16">
        <f t="shared" si="70"/>
        <v>3.914901792892873E-3</v>
      </c>
      <c r="K349" s="16">
        <f t="shared" si="75"/>
        <v>-8.5544683875344758E-3</v>
      </c>
      <c r="L349" s="16">
        <f t="shared" si="76"/>
        <v>0.54279547205567502</v>
      </c>
      <c r="M349" s="16">
        <f t="shared" si="77"/>
        <v>5.3991146709345371E-2</v>
      </c>
      <c r="N349" s="16">
        <f t="shared" si="78"/>
        <v>0.54193869984814025</v>
      </c>
      <c r="O349" s="16">
        <f t="shared" si="79"/>
        <v>-4.6161343123559621E-2</v>
      </c>
      <c r="R349" s="5">
        <f>IF($T$1, J349, -0.2)</f>
        <v>-0.2</v>
      </c>
    </row>
    <row r="350" spans="2:18" x14ac:dyDescent="0.3">
      <c r="B350" s="16">
        <v>0.54516826608757496</v>
      </c>
      <c r="C350" s="16">
        <f t="shared" si="71"/>
        <v>4.987613514216728E-2</v>
      </c>
      <c r="D350" s="16">
        <f t="shared" si="67"/>
        <v>3.8909386014381003E-3</v>
      </c>
      <c r="E350" s="16">
        <f t="shared" si="68"/>
        <v>-8.5546770625887676E-3</v>
      </c>
      <c r="F350" s="16">
        <f t="shared" si="69"/>
        <v>-8.5544683875344758E-3</v>
      </c>
      <c r="G350" s="16" t="str">
        <f t="shared" si="72"/>
        <v xml:space="preserve"> </v>
      </c>
      <c r="H350" s="16" t="str">
        <f t="shared" si="73"/>
        <v xml:space="preserve"> </v>
      </c>
      <c r="I350" s="16" t="str">
        <f t="shared" si="74"/>
        <v xml:space="preserve"> </v>
      </c>
      <c r="J350" s="16">
        <f t="shared" si="70"/>
        <v>3.8909386014381003E-3</v>
      </c>
      <c r="K350" s="16">
        <f t="shared" si="75"/>
        <v>-8.5544683875344758E-3</v>
      </c>
      <c r="L350" s="16">
        <f t="shared" si="76"/>
        <v>0.5455949247051598</v>
      </c>
      <c r="M350" s="16">
        <f t="shared" si="77"/>
        <v>5.3765248813648296E-2</v>
      </c>
      <c r="N350" s="16">
        <f t="shared" si="78"/>
        <v>0.54474160746999012</v>
      </c>
      <c r="O350" s="16">
        <f t="shared" si="79"/>
        <v>-4.5983371610772102E-2</v>
      </c>
      <c r="R350" s="5">
        <f>IF($T$1, J350, -0.2)</f>
        <v>-0.2</v>
      </c>
    </row>
    <row r="351" spans="2:18" x14ac:dyDescent="0.3">
      <c r="B351" s="16">
        <v>0.54797395323885223</v>
      </c>
      <c r="C351" s="16">
        <f t="shared" si="71"/>
        <v>4.9672359590843186E-2</v>
      </c>
      <c r="D351" s="16">
        <f t="shared" si="67"/>
        <v>3.8669368539202683E-3</v>
      </c>
      <c r="E351" s="16">
        <f t="shared" si="68"/>
        <v>-8.5546770625887676E-3</v>
      </c>
      <c r="F351" s="16">
        <f t="shared" si="69"/>
        <v>-8.5544683875344758E-3</v>
      </c>
      <c r="G351" s="16" t="str">
        <f t="shared" si="72"/>
        <v xml:space="preserve"> </v>
      </c>
      <c r="H351" s="16" t="str">
        <f t="shared" si="73"/>
        <v xml:space="preserve"> </v>
      </c>
      <c r="I351" s="16" t="str">
        <f t="shared" si="74"/>
        <v xml:space="preserve"> </v>
      </c>
      <c r="J351" s="16">
        <f t="shared" si="70"/>
        <v>3.8669368539202683E-3</v>
      </c>
      <c r="K351" s="16">
        <f t="shared" si="75"/>
        <v>-8.5544683875344758E-3</v>
      </c>
      <c r="L351" s="16">
        <f t="shared" si="76"/>
        <v>0.54839886868618581</v>
      </c>
      <c r="M351" s="16">
        <f t="shared" si="77"/>
        <v>5.3537478970799246E-2</v>
      </c>
      <c r="N351" s="16">
        <f t="shared" si="78"/>
        <v>0.54754903779151864</v>
      </c>
      <c r="O351" s="16">
        <f t="shared" si="79"/>
        <v>-4.5803605262958708E-2</v>
      </c>
      <c r="R351" s="5">
        <f>IF($T$1, J351, -0.2)</f>
        <v>-0.2</v>
      </c>
    </row>
    <row r="352" spans="2:18" x14ac:dyDescent="0.3">
      <c r="B352" s="16">
        <v>0.55078411960364337</v>
      </c>
      <c r="C352" s="16">
        <f t="shared" si="71"/>
        <v>4.946675701628122E-2</v>
      </c>
      <c r="D352" s="16">
        <f t="shared" si="67"/>
        <v>3.8428967881773313E-3</v>
      </c>
      <c r="E352" s="16">
        <f t="shared" si="68"/>
        <v>-8.5546770625887676E-3</v>
      </c>
      <c r="F352" s="16">
        <f t="shared" si="69"/>
        <v>-8.5544683875344758E-3</v>
      </c>
      <c r="G352" s="16" t="str">
        <f t="shared" si="72"/>
        <v xml:space="preserve"> </v>
      </c>
      <c r="H352" s="16" t="str">
        <f t="shared" si="73"/>
        <v xml:space="preserve"> </v>
      </c>
      <c r="I352" s="16" t="str">
        <f t="shared" si="74"/>
        <v xml:space="preserve"> </v>
      </c>
      <c r="J352" s="16">
        <f t="shared" si="70"/>
        <v>3.8428967881773313E-3</v>
      </c>
      <c r="K352" s="16">
        <f t="shared" si="75"/>
        <v>-8.5544683875344758E-3</v>
      </c>
      <c r="L352" s="16">
        <f t="shared" si="76"/>
        <v>0.55120727625170385</v>
      </c>
      <c r="M352" s="16">
        <f t="shared" si="77"/>
        <v>5.3307843853336617E-2</v>
      </c>
      <c r="N352" s="16">
        <f t="shared" si="78"/>
        <v>0.5503609629555829</v>
      </c>
      <c r="O352" s="16">
        <f t="shared" si="79"/>
        <v>-4.5622050276981949E-2</v>
      </c>
      <c r="R352" s="5">
        <f>IF($T$1, J352, -0.2)</f>
        <v>-0.2</v>
      </c>
    </row>
    <row r="353" spans="2:18" x14ac:dyDescent="0.3">
      <c r="B353" s="16">
        <v>0.55359873733546627</v>
      </c>
      <c r="C353" s="16">
        <f t="shared" si="71"/>
        <v>4.9259333839420279E-2</v>
      </c>
      <c r="D353" s="16">
        <f t="shared" si="67"/>
        <v>3.8188186424269505E-3</v>
      </c>
      <c r="E353" s="16">
        <f t="shared" si="68"/>
        <v>-8.5546770625887676E-3</v>
      </c>
      <c r="F353" s="16">
        <f t="shared" si="69"/>
        <v>-8.5544683875344758E-3</v>
      </c>
      <c r="G353" s="16" t="str">
        <f t="shared" si="72"/>
        <v xml:space="preserve"> </v>
      </c>
      <c r="H353" s="16" t="str">
        <f t="shared" si="73"/>
        <v xml:space="preserve"> </v>
      </c>
      <c r="I353" s="16" t="str">
        <f t="shared" si="74"/>
        <v xml:space="preserve"> </v>
      </c>
      <c r="J353" s="16">
        <f t="shared" si="70"/>
        <v>3.8188186424269505E-3</v>
      </c>
      <c r="K353" s="16">
        <f t="shared" si="75"/>
        <v>-8.5544683875344758E-3</v>
      </c>
      <c r="L353" s="16">
        <f t="shared" si="76"/>
        <v>0.55402011961015873</v>
      </c>
      <c r="M353" s="16">
        <f t="shared" si="77"/>
        <v>5.3076350120182018E-2</v>
      </c>
      <c r="N353" s="16">
        <f t="shared" si="78"/>
        <v>0.55317735506077381</v>
      </c>
      <c r="O353" s="16">
        <f t="shared" si="79"/>
        <v>-4.5438712835328111E-2</v>
      </c>
      <c r="R353" s="5">
        <f>IF($T$1, J353, -0.2)</f>
        <v>-0.2</v>
      </c>
    </row>
    <row r="354" spans="2:18" x14ac:dyDescent="0.3">
      <c r="B354" s="16">
        <v>0.55641777854372954</v>
      </c>
      <c r="C354" s="16">
        <f t="shared" si="71"/>
        <v>4.9050096465552882E-2</v>
      </c>
      <c r="D354" s="16">
        <f t="shared" si="67"/>
        <v>3.7947026552641282E-3</v>
      </c>
      <c r="E354" s="16">
        <f t="shared" si="68"/>
        <v>-8.5546770625887676E-3</v>
      </c>
      <c r="F354" s="16">
        <f t="shared" si="69"/>
        <v>-8.5544683875344758E-3</v>
      </c>
      <c r="G354" s="16" t="str">
        <f t="shared" si="72"/>
        <v xml:space="preserve"> </v>
      </c>
      <c r="H354" s="16" t="str">
        <f t="shared" si="73"/>
        <v xml:space="preserve"> </v>
      </c>
      <c r="I354" s="16" t="str">
        <f t="shared" si="74"/>
        <v xml:space="preserve"> </v>
      </c>
      <c r="J354" s="16">
        <f t="shared" si="70"/>
        <v>3.7947026552641282E-3</v>
      </c>
      <c r="K354" s="16">
        <f t="shared" si="75"/>
        <v>-8.5544683875344758E-3</v>
      </c>
      <c r="L354" s="16">
        <f t="shared" si="76"/>
        <v>0.55683737092575236</v>
      </c>
      <c r="M354" s="16">
        <f t="shared" si="77"/>
        <v>5.2843004414988612E-2</v>
      </c>
      <c r="N354" s="16">
        <f t="shared" si="78"/>
        <v>0.55599818616170671</v>
      </c>
      <c r="O354" s="16">
        <f t="shared" si="79"/>
        <v>-4.5253599104460362E-2</v>
      </c>
      <c r="R354" s="5">
        <f>IF($T$1, J354, -0.2)</f>
        <v>-0.2</v>
      </c>
    </row>
    <row r="355" spans="2:18" x14ac:dyDescent="0.3">
      <c r="B355" s="16">
        <v>0.55924121529400872</v>
      </c>
      <c r="C355" s="16">
        <f t="shared" si="71"/>
        <v>4.8839051282676849E-2</v>
      </c>
      <c r="D355" s="16">
        <f t="shared" si="67"/>
        <v>3.7705490656588445E-3</v>
      </c>
      <c r="E355" s="16">
        <f t="shared" si="68"/>
        <v>-8.5546770625887676E-3</v>
      </c>
      <c r="F355" s="16">
        <f t="shared" si="69"/>
        <v>-8.5544683875344758E-3</v>
      </c>
      <c r="G355" s="16" t="str">
        <f t="shared" si="72"/>
        <v xml:space="preserve"> </v>
      </c>
      <c r="H355" s="16" t="str">
        <f t="shared" si="73"/>
        <v xml:space="preserve"> </v>
      </c>
      <c r="I355" s="16" t="str">
        <f t="shared" si="74"/>
        <v xml:space="preserve"> </v>
      </c>
      <c r="J355" s="16">
        <f t="shared" si="70"/>
        <v>3.7705490656588445E-3</v>
      </c>
      <c r="K355" s="16">
        <f t="shared" si="75"/>
        <v>-8.5544683875344758E-3</v>
      </c>
      <c r="L355" s="16">
        <f t="shared" si="76"/>
        <v>0.55965900231870547</v>
      </c>
      <c r="M355" s="16">
        <f t="shared" si="77"/>
        <v>5.2607813364490469E-2</v>
      </c>
      <c r="N355" s="16">
        <f t="shared" si="78"/>
        <v>0.55882342826931197</v>
      </c>
      <c r="O355" s="16">
        <f t="shared" si="79"/>
        <v>-4.506671523317278E-2</v>
      </c>
      <c r="R355" s="5">
        <f>IF($T$1, J355, -0.2)</f>
        <v>-0.2</v>
      </c>
    </row>
    <row r="356" spans="2:18" x14ac:dyDescent="0.3">
      <c r="B356" s="16">
        <v>0.56206901960832267</v>
      </c>
      <c r="C356" s="16">
        <f t="shared" si="71"/>
        <v>4.862620465984948E-2</v>
      </c>
      <c r="D356" s="16">
        <f t="shared" si="67"/>
        <v>3.7463581129536933E-3</v>
      </c>
      <c r="E356" s="16">
        <f t="shared" si="68"/>
        <v>-8.5546770625887676E-3</v>
      </c>
      <c r="F356" s="16">
        <f t="shared" si="69"/>
        <v>-8.5544683875344758E-3</v>
      </c>
      <c r="G356" s="16" t="str">
        <f t="shared" si="72"/>
        <v xml:space="preserve"> </v>
      </c>
      <c r="H356" s="16" t="str">
        <f t="shared" si="73"/>
        <v xml:space="preserve"> </v>
      </c>
      <c r="I356" s="16" t="str">
        <f t="shared" si="74"/>
        <v xml:space="preserve"> </v>
      </c>
      <c r="J356" s="16">
        <f t="shared" si="70"/>
        <v>3.7463581129536933E-3</v>
      </c>
      <c r="K356" s="16">
        <f t="shared" si="75"/>
        <v>-8.5544683875344758E-3</v>
      </c>
      <c r="L356" s="16">
        <f t="shared" si="76"/>
        <v>0.56248498586552031</v>
      </c>
      <c r="M356" s="16">
        <f t="shared" si="77"/>
        <v>5.237078357685445E-2</v>
      </c>
      <c r="N356" s="16">
        <f t="shared" si="78"/>
        <v>0.56165305335112503</v>
      </c>
      <c r="O356" s="16">
        <f t="shared" si="79"/>
        <v>-4.4878067350947064E-2</v>
      </c>
      <c r="R356" s="5">
        <f>IF($T$1, J356, -0.2)</f>
        <v>-0.2</v>
      </c>
    </row>
    <row r="357" spans="2:18" x14ac:dyDescent="0.3">
      <c r="B357" s="16">
        <v>0.56490116346541219</v>
      </c>
      <c r="C357" s="16">
        <f t="shared" si="71"/>
        <v>4.8411562945543482E-2</v>
      </c>
      <c r="D357" s="16">
        <f t="shared" si="67"/>
        <v>3.7221300368614979E-3</v>
      </c>
      <c r="E357" s="16">
        <f t="shared" si="68"/>
        <v>-8.5546770625887676E-3</v>
      </c>
      <c r="F357" s="16">
        <f t="shared" si="69"/>
        <v>-8.5544683875344758E-3</v>
      </c>
      <c r="G357" s="16" t="str">
        <f t="shared" si="72"/>
        <v xml:space="preserve"> </v>
      </c>
      <c r="H357" s="16" t="str">
        <f t="shared" si="73"/>
        <v xml:space="preserve"> </v>
      </c>
      <c r="I357" s="16" t="str">
        <f t="shared" si="74"/>
        <v xml:space="preserve"> </v>
      </c>
      <c r="J357" s="16">
        <f t="shared" si="70"/>
        <v>3.7221300368614979E-3</v>
      </c>
      <c r="K357" s="16">
        <f t="shared" si="75"/>
        <v>-8.5544683875344758E-3</v>
      </c>
      <c r="L357" s="16">
        <f t="shared" si="76"/>
        <v>0.56531529359924459</v>
      </c>
      <c r="M357" s="16">
        <f t="shared" si="77"/>
        <v>5.2131921640033795E-2</v>
      </c>
      <c r="N357" s="16">
        <f t="shared" si="78"/>
        <v>0.56448703333157979</v>
      </c>
      <c r="O357" s="16">
        <f t="shared" si="79"/>
        <v>-4.46876615663108E-2</v>
      </c>
      <c r="R357" s="5">
        <f>IF($T$1, J357, -0.2)</f>
        <v>-0.2</v>
      </c>
    </row>
    <row r="358" spans="2:18" x14ac:dyDescent="0.3">
      <c r="B358" s="16">
        <v>0.56773761880101548</v>
      </c>
      <c r="C358" s="16">
        <f t="shared" si="71"/>
        <v>4.8195132466005444E-2</v>
      </c>
      <c r="D358" s="16">
        <f t="shared" si="67"/>
        <v>3.6978650774629552E-3</v>
      </c>
      <c r="E358" s="16">
        <f t="shared" si="68"/>
        <v>-8.5546770625887676E-3</v>
      </c>
      <c r="F358" s="16">
        <f t="shared" si="69"/>
        <v>-8.5544683875344758E-3</v>
      </c>
      <c r="G358" s="16" t="str">
        <f t="shared" si="72"/>
        <v xml:space="preserve"> </v>
      </c>
      <c r="H358" s="16" t="str">
        <f t="shared" si="73"/>
        <v xml:space="preserve"> </v>
      </c>
      <c r="I358" s="16" t="str">
        <f t="shared" si="74"/>
        <v xml:space="preserve"> </v>
      </c>
      <c r="J358" s="16">
        <f t="shared" si="70"/>
        <v>3.6978650774629552E-3</v>
      </c>
      <c r="K358" s="16">
        <f t="shared" si="75"/>
        <v>-8.5544683875344758E-3</v>
      </c>
      <c r="L358" s="16">
        <f t="shared" si="76"/>
        <v>0.56814989750973366</v>
      </c>
      <c r="M358" s="16">
        <f t="shared" si="77"/>
        <v>5.1891234120124308E-2</v>
      </c>
      <c r="N358" s="16">
        <f t="shared" si="78"/>
        <v>0.56732534009229729</v>
      </c>
      <c r="O358" s="16">
        <f t="shared" si="79"/>
        <v>-4.4495503965198399E-2</v>
      </c>
      <c r="R358" s="5">
        <f>IF($T$1, J358, -0.2)</f>
        <v>-0.2</v>
      </c>
    </row>
    <row r="359" spans="2:18" x14ac:dyDescent="0.3">
      <c r="B359" s="16">
        <v>0.57057835750814878</v>
      </c>
      <c r="C359" s="16">
        <f t="shared" si="71"/>
        <v>4.7976919523617566E-2</v>
      </c>
      <c r="D359" s="16">
        <f t="shared" si="67"/>
        <v>3.6735634752042335E-3</v>
      </c>
      <c r="E359" s="16">
        <f t="shared" si="68"/>
        <v>-8.5546770625887676E-3</v>
      </c>
      <c r="F359" s="16">
        <f t="shared" si="69"/>
        <v>-8.5544683875344758E-3</v>
      </c>
      <c r="G359" s="16" t="str">
        <f t="shared" si="72"/>
        <v xml:space="preserve"> </v>
      </c>
      <c r="H359" s="16" t="str">
        <f t="shared" si="73"/>
        <v xml:space="preserve"> </v>
      </c>
      <c r="I359" s="16" t="str">
        <f t="shared" si="74"/>
        <v xml:space="preserve"> </v>
      </c>
      <c r="J359" s="16">
        <f t="shared" si="70"/>
        <v>3.6735634752042335E-3</v>
      </c>
      <c r="K359" s="16">
        <f t="shared" si="75"/>
        <v>-8.5544683875344758E-3</v>
      </c>
      <c r="L359" s="16">
        <f t="shared" si="76"/>
        <v>0.57098876954391653</v>
      </c>
      <c r="M359" s="16">
        <f t="shared" si="77"/>
        <v>5.1648727559723773E-2</v>
      </c>
      <c r="N359" s="16">
        <f t="shared" si="78"/>
        <v>0.57016794547238103</v>
      </c>
      <c r="O359" s="16">
        <f t="shared" si="79"/>
        <v>-4.4301600609315303E-2</v>
      </c>
      <c r="R359" s="5">
        <f>IF($T$1, J359, -0.2)</f>
        <v>-0.2</v>
      </c>
    </row>
    <row r="360" spans="2:18" x14ac:dyDescent="0.3">
      <c r="B360" s="16">
        <v>0.5734233514373821</v>
      </c>
      <c r="C360" s="16">
        <f t="shared" si="71"/>
        <v>4.7756930395262014E-2</v>
      </c>
      <c r="D360" s="16">
        <f t="shared" si="67"/>
        <v>3.649225470894617E-3</v>
      </c>
      <c r="E360" s="16">
        <f t="shared" si="68"/>
        <v>-8.5546770625887676E-3</v>
      </c>
      <c r="F360" s="16">
        <f t="shared" si="69"/>
        <v>-8.5544683875344758E-3</v>
      </c>
      <c r="G360" s="16" t="str">
        <f t="shared" si="72"/>
        <v xml:space="preserve"> </v>
      </c>
      <c r="H360" s="16" t="str">
        <f t="shared" si="73"/>
        <v xml:space="preserve"> </v>
      </c>
      <c r="I360" s="16" t="str">
        <f t="shared" si="74"/>
        <v xml:space="preserve"> </v>
      </c>
      <c r="J360" s="16">
        <f t="shared" si="70"/>
        <v>3.649225470894617E-3</v>
      </c>
      <c r="K360" s="16">
        <f t="shared" si="75"/>
        <v>-8.5544683875344758E-3</v>
      </c>
      <c r="L360" s="16">
        <f t="shared" si="76"/>
        <v>0.57383188160605814</v>
      </c>
      <c r="M360" s="16">
        <f t="shared" si="77"/>
        <v>5.1404408476293961E-2</v>
      </c>
      <c r="N360" s="16">
        <f t="shared" si="78"/>
        <v>0.57301482126870606</v>
      </c>
      <c r="O360" s="16">
        <f t="shared" si="79"/>
        <v>-4.4105957534504733E-2</v>
      </c>
      <c r="R360" s="5">
        <f>IF($T$1, J360, -0.2)</f>
        <v>-0.2</v>
      </c>
    </row>
    <row r="361" spans="2:18" x14ac:dyDescent="0.3">
      <c r="B361" s="16">
        <v>0.57627257239712093</v>
      </c>
      <c r="C361" s="16">
        <f t="shared" si="71"/>
        <v>4.7535171330689088E-2</v>
      </c>
      <c r="D361" s="16">
        <f t="shared" si="67"/>
        <v>3.6248513057040924E-3</v>
      </c>
      <c r="E361" s="16">
        <f t="shared" si="68"/>
        <v>-8.5546770625887676E-3</v>
      </c>
      <c r="F361" s="16">
        <f t="shared" si="69"/>
        <v>-8.5544683875344758E-3</v>
      </c>
      <c r="G361" s="16" t="str">
        <f t="shared" si="72"/>
        <v xml:space="preserve"> </v>
      </c>
      <c r="H361" s="16" t="str">
        <f t="shared" si="73"/>
        <v xml:space="preserve"> </v>
      </c>
      <c r="I361" s="16" t="str">
        <f t="shared" si="74"/>
        <v xml:space="preserve"> </v>
      </c>
      <c r="J361" s="16">
        <f t="shared" si="70"/>
        <v>3.6248513057040924E-3</v>
      </c>
      <c r="K361" s="16">
        <f t="shared" si="75"/>
        <v>-8.5544683875344758E-3</v>
      </c>
      <c r="L361" s="16">
        <f t="shared" si="76"/>
        <v>0.57667920555802643</v>
      </c>
      <c r="M361" s="16">
        <f t="shared" si="77"/>
        <v>5.1158283360526496E-2</v>
      </c>
      <c r="N361" s="16">
        <f t="shared" si="78"/>
        <v>0.57586593923621543</v>
      </c>
      <c r="O361" s="16">
        <f t="shared" si="79"/>
        <v>-4.3908580749118312E-2</v>
      </c>
      <c r="R361" s="5">
        <f>IF($T$1, J361, -0.2)</f>
        <v>-0.2</v>
      </c>
    </row>
    <row r="362" spans="2:18" x14ac:dyDescent="0.3">
      <c r="B362" s="16">
        <v>0.5791259921538835</v>
      </c>
      <c r="C362" s="16">
        <f t="shared" si="71"/>
        <v>4.7311648550889228E-2</v>
      </c>
      <c r="D362" s="16">
        <f t="shared" si="67"/>
        <v>3.6004412211609778E-3</v>
      </c>
      <c r="E362" s="16">
        <f t="shared" si="68"/>
        <v>-8.5546770625887676E-3</v>
      </c>
      <c r="F362" s="16">
        <f t="shared" si="69"/>
        <v>-8.5544683875344758E-3</v>
      </c>
      <c r="G362" s="16" t="str">
        <f t="shared" si="72"/>
        <v xml:space="preserve"> </v>
      </c>
      <c r="H362" s="16" t="str">
        <f t="shared" si="73"/>
        <v xml:space="preserve"> </v>
      </c>
      <c r="I362" s="16" t="str">
        <f t="shared" si="74"/>
        <v xml:space="preserve"> </v>
      </c>
      <c r="J362" s="16">
        <f t="shared" si="70"/>
        <v>3.6004412211609778E-3</v>
      </c>
      <c r="K362" s="16">
        <f t="shared" si="75"/>
        <v>-8.5544683875344758E-3</v>
      </c>
      <c r="L362" s="16">
        <f t="shared" si="76"/>
        <v>0.5795307132195564</v>
      </c>
      <c r="M362" s="16">
        <f t="shared" si="77"/>
        <v>5.0910358674712511E-2</v>
      </c>
      <c r="N362" s="16">
        <f t="shared" si="78"/>
        <v>0.57872127108821059</v>
      </c>
      <c r="O362" s="16">
        <f t="shared" si="79"/>
        <v>-4.3709476232390548E-2</v>
      </c>
      <c r="R362" s="5">
        <f>IF($T$1, J362, -0.2)</f>
        <v>-0.2</v>
      </c>
    </row>
    <row r="363" spans="2:18" x14ac:dyDescent="0.3">
      <c r="B363" s="16">
        <v>0.58198358243258186</v>
      </c>
      <c r="C363" s="16">
        <f t="shared" si="71"/>
        <v>4.7086368246469057E-2</v>
      </c>
      <c r="D363" s="16">
        <f t="shared" si="67"/>
        <v>3.5759954591495203E-3</v>
      </c>
      <c r="E363" s="16">
        <f t="shared" si="68"/>
        <v>-8.5546770625887676E-3</v>
      </c>
      <c r="F363" s="16">
        <f t="shared" si="69"/>
        <v>-8.5544683875344758E-3</v>
      </c>
      <c r="G363" s="16" t="str">
        <f t="shared" si="72"/>
        <v xml:space="preserve"> </v>
      </c>
      <c r="H363" s="16" t="str">
        <f t="shared" si="73"/>
        <v xml:space="preserve"> </v>
      </c>
      <c r="I363" s="16" t="str">
        <f t="shared" si="74"/>
        <v xml:space="preserve"> </v>
      </c>
      <c r="J363" s="16">
        <f t="shared" si="70"/>
        <v>3.5759954591495203E-3</v>
      </c>
      <c r="K363" s="16">
        <f t="shared" si="75"/>
        <v>-8.5544683875344758E-3</v>
      </c>
      <c r="L363" s="16">
        <f t="shared" si="76"/>
        <v>0.58238637636851665</v>
      </c>
      <c r="M363" s="16">
        <f t="shared" si="77"/>
        <v>5.0660640851116358E-2</v>
      </c>
      <c r="N363" s="16">
        <f t="shared" si="78"/>
        <v>0.58158078849664707</v>
      </c>
      <c r="O363" s="16">
        <f t="shared" si="79"/>
        <v>-4.3508649932817313E-2</v>
      </c>
      <c r="R363" s="5">
        <f>IF($T$1, J363, -0.2)</f>
        <v>-0.2</v>
      </c>
    </row>
    <row r="364" spans="2:18" x14ac:dyDescent="0.3">
      <c r="B364" s="16">
        <v>0.58484531491680136</v>
      </c>
      <c r="C364" s="16">
        <f t="shared" si="71"/>
        <v>4.6859336576031869E-2</v>
      </c>
      <c r="D364" s="16">
        <f t="shared" si="67"/>
        <v>3.5515142619075026E-3</v>
      </c>
      <c r="E364" s="16">
        <f t="shared" si="68"/>
        <v>-8.5546770625887676E-3</v>
      </c>
      <c r="F364" s="16">
        <f t="shared" si="69"/>
        <v>-8.5544683875344758E-3</v>
      </c>
      <c r="G364" s="16" t="str">
        <f t="shared" si="72"/>
        <v xml:space="preserve"> </v>
      </c>
      <c r="H364" s="16" t="str">
        <f t="shared" si="73"/>
        <v xml:space="preserve"> </v>
      </c>
      <c r="I364" s="16" t="str">
        <f t="shared" si="74"/>
        <v xml:space="preserve"> </v>
      </c>
      <c r="J364" s="16">
        <f t="shared" si="70"/>
        <v>3.5515142619075026E-3</v>
      </c>
      <c r="K364" s="16">
        <f t="shared" si="75"/>
        <v>-8.5544683875344758E-3</v>
      </c>
      <c r="L364" s="16">
        <f t="shared" si="76"/>
        <v>0.58524616674117558</v>
      </c>
      <c r="M364" s="16">
        <f t="shared" si="77"/>
        <v>5.0409136290353783E-2</v>
      </c>
      <c r="N364" s="16">
        <f t="shared" si="78"/>
        <v>0.58444446309242715</v>
      </c>
      <c r="O364" s="16">
        <f t="shared" si="79"/>
        <v>-4.330610776653878E-2</v>
      </c>
      <c r="R364" s="5">
        <f>IF($T$1, J364, -0.2)</f>
        <v>-0.2</v>
      </c>
    </row>
    <row r="365" spans="2:18" x14ac:dyDescent="0.3">
      <c r="B365" s="16">
        <v>0.58771116124908085</v>
      </c>
      <c r="C365" s="16">
        <f t="shared" si="71"/>
        <v>4.6630559664563295E-2</v>
      </c>
      <c r="D365" s="16">
        <f t="shared" si="67"/>
        <v>3.5269978720238473E-3</v>
      </c>
      <c r="E365" s="16">
        <f t="shared" si="68"/>
        <v>-8.5546770625887676E-3</v>
      </c>
      <c r="F365" s="16">
        <f t="shared" si="69"/>
        <v>-8.5544683875344758E-3</v>
      </c>
      <c r="G365" s="16" t="str">
        <f t="shared" si="72"/>
        <v xml:space="preserve"> </v>
      </c>
      <c r="H365" s="16" t="str">
        <f t="shared" si="73"/>
        <v xml:space="preserve"> </v>
      </c>
      <c r="I365" s="16" t="str">
        <f t="shared" si="74"/>
        <v xml:space="preserve"> </v>
      </c>
      <c r="J365" s="16">
        <f t="shared" si="70"/>
        <v>3.5269978720238473E-3</v>
      </c>
      <c r="K365" s="16">
        <f t="shared" si="75"/>
        <v>-8.5544683875344758E-3</v>
      </c>
      <c r="L365" s="16">
        <f t="shared" si="76"/>
        <v>0.58811005603246735</v>
      </c>
      <c r="M365" s="16">
        <f t="shared" si="77"/>
        <v>5.0155851359775232E-2</v>
      </c>
      <c r="N365" s="16">
        <f t="shared" si="78"/>
        <v>0.58731226646569434</v>
      </c>
      <c r="O365" s="16">
        <f t="shared" si="79"/>
        <v>-4.310185561572754E-2</v>
      </c>
      <c r="R365" s="5">
        <f>IF($T$1, J365, -0.2)</f>
        <v>-0.2</v>
      </c>
    </row>
    <row r="366" spans="2:18" x14ac:dyDescent="0.3">
      <c r="B366" s="16">
        <v>0.59058109303119544</v>
      </c>
      <c r="C366" s="16">
        <f t="shared" si="71"/>
        <v>4.6400043601821379E-2</v>
      </c>
      <c r="D366" s="16">
        <f t="shared" si="67"/>
        <v>3.5024465324361969E-3</v>
      </c>
      <c r="E366" s="16">
        <f t="shared" si="68"/>
        <v>-8.5546770625887676E-3</v>
      </c>
      <c r="F366" s="16">
        <f t="shared" si="69"/>
        <v>-8.5544683875344758E-3</v>
      </c>
      <c r="G366" s="16" t="str">
        <f t="shared" si="72"/>
        <v xml:space="preserve"> </v>
      </c>
      <c r="H366" s="16" t="str">
        <f t="shared" si="73"/>
        <v xml:space="preserve"> </v>
      </c>
      <c r="I366" s="16" t="str">
        <f t="shared" si="74"/>
        <v xml:space="preserve"> </v>
      </c>
      <c r="J366" s="16">
        <f t="shared" si="70"/>
        <v>3.5024465324361969E-3</v>
      </c>
      <c r="K366" s="16">
        <f t="shared" si="75"/>
        <v>-8.5544683875344758E-3</v>
      </c>
      <c r="L366" s="16">
        <f t="shared" si="76"/>
        <v>0.59097801589626109</v>
      </c>
      <c r="M366" s="16">
        <f t="shared" si="77"/>
        <v>4.990079239185357E-2</v>
      </c>
      <c r="N366" s="16">
        <f t="shared" si="78"/>
        <v>0.59018417016612978</v>
      </c>
      <c r="O366" s="16">
        <f t="shared" si="79"/>
        <v>-4.2895899326981173E-2</v>
      </c>
      <c r="R366" s="5">
        <f>IF($T$1, J366, -0.2)</f>
        <v>-0.2</v>
      </c>
    </row>
    <row r="367" spans="2:18" x14ac:dyDescent="0.3">
      <c r="B367" s="16">
        <v>0.59345508182443574</v>
      </c>
      <c r="C367" s="16">
        <f t="shared" si="71"/>
        <v>4.6167794440732955E-2</v>
      </c>
      <c r="D367" s="16">
        <f t="shared" si="67"/>
        <v>3.477860486428527E-3</v>
      </c>
      <c r="E367" s="16">
        <f t="shared" si="68"/>
        <v>-8.5546770625887676E-3</v>
      </c>
      <c r="F367" s="16">
        <f t="shared" si="69"/>
        <v>-8.5544683875344758E-3</v>
      </c>
      <c r="G367" s="16" t="str">
        <f t="shared" si="72"/>
        <v xml:space="preserve"> </v>
      </c>
      <c r="H367" s="16" t="str">
        <f t="shared" si="73"/>
        <v xml:space="preserve"> </v>
      </c>
      <c r="I367" s="16" t="str">
        <f t="shared" si="74"/>
        <v xml:space="preserve"> </v>
      </c>
      <c r="J367" s="16">
        <f t="shared" si="70"/>
        <v>3.477860486428527E-3</v>
      </c>
      <c r="K367" s="16">
        <f t="shared" si="75"/>
        <v>-8.5544683875344758E-3</v>
      </c>
      <c r="L367" s="16">
        <f t="shared" si="76"/>
        <v>0.59385001794562631</v>
      </c>
      <c r="M367" s="16">
        <f t="shared" si="77"/>
        <v>4.9643965682578138E-2</v>
      </c>
      <c r="N367" s="16">
        <f t="shared" si="78"/>
        <v>0.59306014570324517</v>
      </c>
      <c r="O367" s="16">
        <f t="shared" si="79"/>
        <v>-4.2688244709721081E-2</v>
      </c>
      <c r="R367" s="5">
        <f>IF($T$1, J367, -0.2)</f>
        <v>-0.2</v>
      </c>
    </row>
    <row r="368" spans="2:18" x14ac:dyDescent="0.3">
      <c r="B368" s="16">
        <v>0.59633309914989119</v>
      </c>
      <c r="C368" s="16">
        <f t="shared" si="71"/>
        <v>4.5933818195795208E-2</v>
      </c>
      <c r="D368" s="16">
        <f t="shared" si="67"/>
        <v>3.45323997762872E-3</v>
      </c>
      <c r="E368" s="16">
        <f t="shared" si="68"/>
        <v>-8.5546770625887676E-3</v>
      </c>
      <c r="F368" s="16">
        <f t="shared" si="69"/>
        <v>-8.5544683875344758E-3</v>
      </c>
      <c r="G368" s="16" t="str">
        <f t="shared" si="72"/>
        <v xml:space="preserve"> </v>
      </c>
      <c r="H368" s="16" t="str">
        <f t="shared" si="73"/>
        <v xml:space="preserve"> </v>
      </c>
      <c r="I368" s="16" t="str">
        <f t="shared" si="74"/>
        <v xml:space="preserve"> </v>
      </c>
      <c r="J368" s="16">
        <f t="shared" si="70"/>
        <v>3.45323997762872E-3</v>
      </c>
      <c r="K368" s="16">
        <f t="shared" si="75"/>
        <v>-8.5544683875344758E-3</v>
      </c>
      <c r="L368" s="16">
        <f t="shared" si="76"/>
        <v>0.59672603375310274</v>
      </c>
      <c r="M368" s="16">
        <f t="shared" si="77"/>
        <v>4.9385377489853922E-2</v>
      </c>
      <c r="N368" s="16">
        <f t="shared" si="78"/>
        <v>0.59594016454667964</v>
      </c>
      <c r="O368" s="16">
        <f t="shared" si="79"/>
        <v>-4.2478897534596487E-2</v>
      </c>
      <c r="R368" s="5">
        <f>IF($T$1, J368, -0.2)</f>
        <v>-0.2</v>
      </c>
    </row>
    <row r="369" spans="2:18" x14ac:dyDescent="0.3">
      <c r="B369" s="16">
        <v>0.59921511648873138</v>
      </c>
      <c r="C369" s="16">
        <f t="shared" si="71"/>
        <v>4.5698120841483496E-2</v>
      </c>
      <c r="D369" s="16">
        <f t="shared" si="67"/>
        <v>3.4285852500061608E-3</v>
      </c>
      <c r="E369" s="16">
        <f t="shared" si="68"/>
        <v>-8.5546770625887676E-3</v>
      </c>
      <c r="F369" s="16">
        <f t="shared" si="69"/>
        <v>-8.5544683875344758E-3</v>
      </c>
      <c r="G369" s="16" t="str">
        <f t="shared" si="72"/>
        <v xml:space="preserve"> </v>
      </c>
      <c r="H369" s="16" t="str">
        <f t="shared" si="73"/>
        <v xml:space="preserve"> </v>
      </c>
      <c r="I369" s="16" t="str">
        <f t="shared" si="74"/>
        <v xml:space="preserve"> </v>
      </c>
      <c r="J369" s="16">
        <f t="shared" si="70"/>
        <v>3.4285852500061608E-3</v>
      </c>
      <c r="K369" s="16">
        <f t="shared" si="75"/>
        <v>-8.5544683875344758E-3</v>
      </c>
      <c r="L369" s="16">
        <f t="shared" si="76"/>
        <v>0.59960603485096764</v>
      </c>
      <c r="M369" s="16">
        <f t="shared" si="77"/>
        <v>4.9125034031907086E-2</v>
      </c>
      <c r="N369" s="16">
        <f t="shared" si="78"/>
        <v>0.59882419812649512</v>
      </c>
      <c r="O369" s="16">
        <f t="shared" si="79"/>
        <v>-4.2267863531894767E-2</v>
      </c>
      <c r="R369" s="5">
        <f>IF($T$1, J369, -0.2)</f>
        <v>-0.2</v>
      </c>
    </row>
    <row r="370" spans="2:18" x14ac:dyDescent="0.3">
      <c r="B370" s="16">
        <v>0.6021011052824895</v>
      </c>
      <c r="C370" s="16">
        <f t="shared" si="71"/>
        <v>4.5460708310665766E-2</v>
      </c>
      <c r="D370" s="16">
        <f t="shared" si="67"/>
        <v>3.4038965478693098E-3</v>
      </c>
      <c r="E370" s="16">
        <f t="shared" si="68"/>
        <v>-8.5546770625887676E-3</v>
      </c>
      <c r="F370" s="16">
        <f t="shared" si="69"/>
        <v>-8.5544683875344758E-3</v>
      </c>
      <c r="G370" s="16" t="str">
        <f t="shared" si="72"/>
        <v xml:space="preserve"> </v>
      </c>
      <c r="H370" s="16" t="str">
        <f t="shared" si="73"/>
        <v xml:space="preserve"> </v>
      </c>
      <c r="I370" s="16" t="str">
        <f t="shared" si="74"/>
        <v xml:space="preserve"> </v>
      </c>
      <c r="J370" s="16">
        <f t="shared" si="70"/>
        <v>3.4038965478693098E-3</v>
      </c>
      <c r="K370" s="16">
        <f t="shared" si="75"/>
        <v>-8.5544683875344758E-3</v>
      </c>
      <c r="L370" s="16">
        <f t="shared" si="76"/>
        <v>0.60248999273150627</v>
      </c>
      <c r="M370" s="16">
        <f t="shared" si="77"/>
        <v>4.8862941485696948E-2</v>
      </c>
      <c r="N370" s="16">
        <f t="shared" si="78"/>
        <v>0.60171221783347273</v>
      </c>
      <c r="O370" s="16">
        <f t="shared" si="79"/>
        <v>-4.205514838995833E-2</v>
      </c>
      <c r="R370" s="5">
        <f>IF($T$1, J370, -0.2)</f>
        <v>-0.2</v>
      </c>
    </row>
    <row r="371" spans="2:18" x14ac:dyDescent="0.3">
      <c r="B371" s="16">
        <v>0.60499103693334377</v>
      </c>
      <c r="C371" s="16">
        <f t="shared" si="71"/>
        <v>4.5221586493023776E-2</v>
      </c>
      <c r="D371" s="16">
        <f t="shared" si="67"/>
        <v>3.3791741158632977E-3</v>
      </c>
      <c r="E371" s="16">
        <f t="shared" si="68"/>
        <v>-8.5546770625887676E-3</v>
      </c>
      <c r="F371" s="16">
        <f t="shared" si="69"/>
        <v>-8.5544683875344758E-3</v>
      </c>
      <c r="G371" s="16" t="str">
        <f t="shared" si="72"/>
        <v xml:space="preserve"> </v>
      </c>
      <c r="H371" s="16" t="str">
        <f t="shared" si="73"/>
        <v xml:space="preserve"> </v>
      </c>
      <c r="I371" s="16" t="str">
        <f t="shared" si="74"/>
        <v xml:space="preserve"> </v>
      </c>
      <c r="J371" s="16">
        <f t="shared" si="70"/>
        <v>3.3791741158632977E-3</v>
      </c>
      <c r="K371" s="16">
        <f t="shared" si="75"/>
        <v>-8.5544683875344758E-3</v>
      </c>
      <c r="L371" s="16">
        <f t="shared" si="76"/>
        <v>0.60537787884727934</v>
      </c>
      <c r="M371" s="16">
        <f t="shared" si="77"/>
        <v>4.8599105985334894E-2</v>
      </c>
      <c r="N371" s="16">
        <f t="shared" si="78"/>
        <v>0.60460419501940821</v>
      </c>
      <c r="O371" s="16">
        <f t="shared" si="79"/>
        <v>-4.18407577536083E-2</v>
      </c>
      <c r="R371" s="5">
        <f>IF($T$1, J371, -0.2)</f>
        <v>-0.2</v>
      </c>
    </row>
    <row r="372" spans="2:18" x14ac:dyDescent="0.3">
      <c r="B372" s="16">
        <v>0.60788488280440323</v>
      </c>
      <c r="C372" s="16">
        <f t="shared" si="71"/>
        <v>4.4980761233480757E-2</v>
      </c>
      <c r="D372" s="16">
        <f t="shared" si="67"/>
        <v>3.354418198967478E-3</v>
      </c>
      <c r="E372" s="16">
        <f t="shared" si="68"/>
        <v>-8.5546770625887676E-3</v>
      </c>
      <c r="F372" s="16">
        <f t="shared" si="69"/>
        <v>-8.5544683875344758E-3</v>
      </c>
      <c r="G372" s="16" t="str">
        <f t="shared" si="72"/>
        <v xml:space="preserve"> </v>
      </c>
      <c r="H372" s="16" t="str">
        <f t="shared" si="73"/>
        <v xml:space="preserve"> </v>
      </c>
      <c r="I372" s="16" t="str">
        <f t="shared" si="74"/>
        <v xml:space="preserve"> </v>
      </c>
      <c r="J372" s="16">
        <f t="shared" si="70"/>
        <v>3.354418198967478E-3</v>
      </c>
      <c r="K372" s="16">
        <f t="shared" si="75"/>
        <v>-8.5544683875344758E-3</v>
      </c>
      <c r="L372" s="16">
        <f t="shared" si="76"/>
        <v>0.60826966461139542</v>
      </c>
      <c r="M372" s="16">
        <f t="shared" si="77"/>
        <v>4.8333533620509656E-2</v>
      </c>
      <c r="N372" s="16">
        <f t="shared" si="78"/>
        <v>0.60750010099741103</v>
      </c>
      <c r="O372" s="16">
        <f t="shared" si="79"/>
        <v>-4.1624697222574697E-2</v>
      </c>
      <c r="R372" s="5">
        <f>IF($T$1, J372, -0.2)</f>
        <v>-0.2</v>
      </c>
    </row>
    <row r="373" spans="2:18" x14ac:dyDescent="0.3">
      <c r="B373" s="16">
        <v>0.61078261421998925</v>
      </c>
      <c r="C373" s="16">
        <f t="shared" si="71"/>
        <v>4.4738238330637413E-2</v>
      </c>
      <c r="D373" s="16">
        <f t="shared" si="67"/>
        <v>3.3296290424930214E-3</v>
      </c>
      <c r="E373" s="16">
        <f t="shared" si="68"/>
        <v>-8.5546770625887676E-3</v>
      </c>
      <c r="F373" s="16">
        <f t="shared" si="69"/>
        <v>-8.5544683875344758E-3</v>
      </c>
      <c r="G373" s="16" t="str">
        <f t="shared" si="72"/>
        <v xml:space="preserve"> </v>
      </c>
      <c r="H373" s="16" t="str">
        <f t="shared" si="73"/>
        <v xml:space="preserve"> </v>
      </c>
      <c r="I373" s="16" t="str">
        <f t="shared" si="74"/>
        <v xml:space="preserve"> </v>
      </c>
      <c r="J373" s="16">
        <f t="shared" si="70"/>
        <v>3.3296290424930214E-3</v>
      </c>
      <c r="K373" s="16">
        <f t="shared" si="75"/>
        <v>-8.5544683875344758E-3</v>
      </c>
      <c r="L373" s="16">
        <f t="shared" si="76"/>
        <v>0.61116532139777924</v>
      </c>
      <c r="M373" s="16">
        <f t="shared" si="77"/>
        <v>4.8066230434920934E-2</v>
      </c>
      <c r="N373" s="16">
        <f t="shared" si="78"/>
        <v>0.61039990704219926</v>
      </c>
      <c r="O373" s="16">
        <f t="shared" si="79"/>
        <v>-4.1406972349934887E-2</v>
      </c>
      <c r="R373" s="5">
        <f>IF($T$1, J373, -0.2)</f>
        <v>-0.2</v>
      </c>
    </row>
    <row r="374" spans="2:18" x14ac:dyDescent="0.3">
      <c r="B374" s="16">
        <v>0.61368420246592092</v>
      </c>
      <c r="C374" s="16">
        <f t="shared" si="71"/>
        <v>4.449402353521513E-2</v>
      </c>
      <c r="D374" s="16">
        <f t="shared" si="67"/>
        <v>3.3048068920804728E-3</v>
      </c>
      <c r="E374" s="16">
        <f t="shared" si="68"/>
        <v>-8.5546770625887676E-3</v>
      </c>
      <c r="F374" s="16">
        <f t="shared" si="69"/>
        <v>-8.5544683875344758E-3</v>
      </c>
      <c r="G374" s="16" t="str">
        <f t="shared" si="72"/>
        <v xml:space="preserve"> </v>
      </c>
      <c r="H374" s="16" t="str">
        <f t="shared" si="73"/>
        <v xml:space="preserve"> </v>
      </c>
      <c r="I374" s="16" t="str">
        <f t="shared" si="74"/>
        <v xml:space="preserve"> </v>
      </c>
      <c r="J374" s="16">
        <f t="shared" si="70"/>
        <v>3.3048068920804728E-3</v>
      </c>
      <c r="K374" s="16">
        <f t="shared" si="75"/>
        <v>-8.5544683875344758E-3</v>
      </c>
      <c r="L374" s="16">
        <f t="shared" si="76"/>
        <v>0.61406482054144362</v>
      </c>
      <c r="M374" s="16">
        <f t="shared" si="77"/>
        <v>4.7797202424720242E-2</v>
      </c>
      <c r="N374" s="16">
        <f t="shared" si="78"/>
        <v>0.61330358439039823</v>
      </c>
      <c r="O374" s="16">
        <f t="shared" si="79"/>
        <v>-4.1187588640559297E-2</v>
      </c>
      <c r="R374" s="5">
        <f>IF($T$1, J374, -0.2)</f>
        <v>-0.2</v>
      </c>
    </row>
    <row r="375" spans="2:18" x14ac:dyDescent="0.3">
      <c r="B375" s="16">
        <v>0.61658961878979923</v>
      </c>
      <c r="C375" s="16">
        <f t="shared" si="71"/>
        <v>4.4248122548507109E-2</v>
      </c>
      <c r="D375" s="16">
        <f t="shared" si="67"/>
        <v>3.2799519936973199E-3</v>
      </c>
      <c r="E375" s="16">
        <f t="shared" si="68"/>
        <v>-8.5546770625887676E-3</v>
      </c>
      <c r="F375" s="16">
        <f t="shared" si="69"/>
        <v>-8.5544683875344758E-3</v>
      </c>
      <c r="G375" s="16" t="str">
        <f t="shared" si="72"/>
        <v xml:space="preserve"> </v>
      </c>
      <c r="H375" s="16" t="str">
        <f t="shared" si="73"/>
        <v xml:space="preserve"> </v>
      </c>
      <c r="I375" s="16" t="str">
        <f t="shared" si="74"/>
        <v xml:space="preserve"> </v>
      </c>
      <c r="J375" s="16">
        <f t="shared" si="70"/>
        <v>3.2799519936973199E-3</v>
      </c>
      <c r="K375" s="16">
        <f t="shared" si="75"/>
        <v>-8.5544683875344758E-3</v>
      </c>
      <c r="L375" s="16">
        <f t="shared" si="76"/>
        <v>0.61696813333876055</v>
      </c>
      <c r="M375" s="16">
        <f t="shared" si="77"/>
        <v>4.7526455536959673E-2</v>
      </c>
      <c r="N375" s="16">
        <f t="shared" si="78"/>
        <v>0.61621110424083791</v>
      </c>
      <c r="O375" s="16">
        <f t="shared" si="79"/>
        <v>-4.0966551549565029E-2</v>
      </c>
      <c r="R375" s="5">
        <f>IF($T$1, J375, -0.2)</f>
        <v>-0.2</v>
      </c>
    </row>
    <row r="376" spans="2:18" x14ac:dyDescent="0.3">
      <c r="B376" s="16">
        <v>0.61949883440129161</v>
      </c>
      <c r="C376" s="16">
        <f t="shared" si="71"/>
        <v>4.4000541020838287E-2</v>
      </c>
      <c r="D376" s="16">
        <f t="shared" si="67"/>
        <v>3.2550645936355611E-3</v>
      </c>
      <c r="E376" s="16">
        <f t="shared" si="68"/>
        <v>-8.5546770625887676E-3</v>
      </c>
      <c r="F376" s="16">
        <f t="shared" si="69"/>
        <v>-8.5544683875344758E-3</v>
      </c>
      <c r="G376" s="16" t="str">
        <f t="shared" si="72"/>
        <v xml:space="preserve"> </v>
      </c>
      <c r="H376" s="16" t="str">
        <f t="shared" si="73"/>
        <v xml:space="preserve"> </v>
      </c>
      <c r="I376" s="16" t="str">
        <f t="shared" si="74"/>
        <v xml:space="preserve"> </v>
      </c>
      <c r="J376" s="16">
        <f t="shared" si="70"/>
        <v>3.2550645936355611E-3</v>
      </c>
      <c r="K376" s="16">
        <f t="shared" si="75"/>
        <v>-8.5544683875344758E-3</v>
      </c>
      <c r="L376" s="16">
        <f t="shared" si="76"/>
        <v>0.61987523104773234</v>
      </c>
      <c r="M376" s="16">
        <f t="shared" si="77"/>
        <v>4.7253995668049414E-2</v>
      </c>
      <c r="N376" s="16">
        <f t="shared" si="78"/>
        <v>0.61912243775485087</v>
      </c>
      <c r="O376" s="16">
        <f t="shared" si="79"/>
        <v>-4.0743866480778296E-2</v>
      </c>
      <c r="R376" s="5">
        <f>IF($T$1, J376, -0.2)</f>
        <v>-0.2</v>
      </c>
    </row>
    <row r="377" spans="2:18" x14ac:dyDescent="0.3">
      <c r="B377" s="16">
        <v>0.6224118204724185</v>
      </c>
      <c r="C377" s="16">
        <f t="shared" si="71"/>
        <v>4.3751284550033603E-2</v>
      </c>
      <c r="D377" s="16">
        <f t="shared" si="67"/>
        <v>3.2301449385092511E-3</v>
      </c>
      <c r="E377" s="16">
        <f t="shared" si="68"/>
        <v>-8.5546770625887676E-3</v>
      </c>
      <c r="F377" s="16">
        <f t="shared" si="69"/>
        <v>-8.5544683875344758E-3</v>
      </c>
      <c r="G377" s="16" t="str">
        <f t="shared" si="72"/>
        <v xml:space="preserve"> </v>
      </c>
      <c r="H377" s="16" t="str">
        <f t="shared" si="73"/>
        <v xml:space="preserve"> </v>
      </c>
      <c r="I377" s="16" t="str">
        <f t="shared" si="74"/>
        <v xml:space="preserve"> </v>
      </c>
      <c r="J377" s="16">
        <f t="shared" si="70"/>
        <v>3.2301449385092511E-3</v>
      </c>
      <c r="K377" s="16">
        <f t="shared" si="75"/>
        <v>-8.5544683875344758E-3</v>
      </c>
      <c r="L377" s="16">
        <f t="shared" si="76"/>
        <v>0.62278608488826526</v>
      </c>
      <c r="M377" s="16">
        <f t="shared" si="77"/>
        <v>4.6979828662223645E-2</v>
      </c>
      <c r="N377" s="16">
        <f t="shared" si="78"/>
        <v>0.62203755605657174</v>
      </c>
      <c r="O377" s="16">
        <f t="shared" si="79"/>
        <v>-4.0519538785205138E-2</v>
      </c>
      <c r="R377" s="5">
        <f>IF($T$1, J377, -0.2)</f>
        <v>-0.2</v>
      </c>
    </row>
    <row r="378" spans="2:18" x14ac:dyDescent="0.3">
      <c r="B378" s="16">
        <v>0.625328548137837</v>
      </c>
      <c r="C378" s="16">
        <f t="shared" si="71"/>
        <v>4.3500358679895469E-2</v>
      </c>
      <c r="D378" s="16">
        <f t="shared" si="67"/>
        <v>3.2051932752520775E-3</v>
      </c>
      <c r="E378" s="16">
        <f t="shared" si="68"/>
        <v>-8.5546770625887676E-3</v>
      </c>
      <c r="F378" s="16">
        <f t="shared" si="69"/>
        <v>-8.5544683875344758E-3</v>
      </c>
      <c r="G378" s="16" t="str">
        <f t="shared" si="72"/>
        <v xml:space="preserve"> </v>
      </c>
      <c r="H378" s="16" t="str">
        <f t="shared" si="73"/>
        <v xml:space="preserve"> </v>
      </c>
      <c r="I378" s="16" t="str">
        <f t="shared" si="74"/>
        <v xml:space="preserve"> </v>
      </c>
      <c r="J378" s="16">
        <f t="shared" si="70"/>
        <v>3.2051932752520775E-3</v>
      </c>
      <c r="K378" s="16">
        <f t="shared" si="75"/>
        <v>-8.5544683875344758E-3</v>
      </c>
      <c r="L378" s="16">
        <f t="shared" si="76"/>
        <v>0.62570066604244023</v>
      </c>
      <c r="M378" s="16">
        <f t="shared" si="77"/>
        <v>4.6703960310015613E-2</v>
      </c>
      <c r="N378" s="16">
        <f t="shared" si="78"/>
        <v>0.62495643023323377</v>
      </c>
      <c r="O378" s="16">
        <f t="shared" si="79"/>
        <v>-4.0293573759511453E-2</v>
      </c>
      <c r="R378" s="5">
        <f>IF($T$1, J378, -0.2)</f>
        <v>-0.2</v>
      </c>
    </row>
    <row r="379" spans="2:18" x14ac:dyDescent="0.3">
      <c r="B379" s="16">
        <v>0.62824898849512922</v>
      </c>
      <c r="C379" s="16">
        <f t="shared" si="71"/>
        <v>4.3247768898690593E-2</v>
      </c>
      <c r="D379" s="16">
        <f t="shared" si="67"/>
        <v>3.1802098511148911E-3</v>
      </c>
      <c r="E379" s="16">
        <f t="shared" si="68"/>
        <v>-8.5546770625887676E-3</v>
      </c>
      <c r="F379" s="16">
        <f t="shared" si="69"/>
        <v>-8.5544683875344758E-3</v>
      </c>
      <c r="G379" s="16" t="str">
        <f t="shared" si="72"/>
        <v xml:space="preserve"> </v>
      </c>
      <c r="H379" s="16" t="str">
        <f t="shared" si="73"/>
        <v xml:space="preserve"> </v>
      </c>
      <c r="I379" s="16" t="str">
        <f t="shared" si="74"/>
        <v xml:space="preserve"> </v>
      </c>
      <c r="J379" s="16">
        <f t="shared" si="70"/>
        <v>3.1802098511148911E-3</v>
      </c>
      <c r="K379" s="16">
        <f t="shared" si="75"/>
        <v>-8.5544683875344758E-3</v>
      </c>
      <c r="L379" s="16">
        <f t="shared" si="76"/>
        <v>0.62861894565478782</v>
      </c>
      <c r="M379" s="16">
        <f t="shared" si="77"/>
        <v>4.6426396346742074E-2</v>
      </c>
      <c r="N379" s="16">
        <f t="shared" si="78"/>
        <v>0.62787903133547063</v>
      </c>
      <c r="O379" s="16">
        <f t="shared" si="79"/>
        <v>-4.0065976644512294E-2</v>
      </c>
      <c r="R379" s="5">
        <f>IF($T$1, J379, -0.2)</f>
        <v>-0.2</v>
      </c>
    </row>
    <row r="380" spans="2:18" x14ac:dyDescent="0.3">
      <c r="B380" s="16">
        <v>0.63117311260508657</v>
      </c>
      <c r="C380" s="16">
        <f t="shared" si="71"/>
        <v>4.2993520637646152E-2</v>
      </c>
      <c r="D380" s="16">
        <f t="shared" si="67"/>
        <v>3.1551949136632762E-3</v>
      </c>
      <c r="E380" s="16">
        <f t="shared" si="68"/>
        <v>-8.5546770625887676E-3</v>
      </c>
      <c r="F380" s="16">
        <f t="shared" si="69"/>
        <v>-8.5544683875344758E-3</v>
      </c>
      <c r="G380" s="16" t="str">
        <f t="shared" si="72"/>
        <v xml:space="preserve"> </v>
      </c>
      <c r="H380" s="16" t="str">
        <f t="shared" si="73"/>
        <v xml:space="preserve"> </v>
      </c>
      <c r="I380" s="16" t="str">
        <f t="shared" si="74"/>
        <v xml:space="preserve"> </v>
      </c>
      <c r="J380" s="16">
        <f t="shared" si="70"/>
        <v>3.1551949136632762E-3</v>
      </c>
      <c r="K380" s="16">
        <f t="shared" si="75"/>
        <v>-8.5544683875344758E-3</v>
      </c>
      <c r="L380" s="16">
        <f t="shared" si="76"/>
        <v>0.63154089483256026</v>
      </c>
      <c r="M380" s="16">
        <f t="shared" si="77"/>
        <v>4.6147142450997061E-2</v>
      </c>
      <c r="N380" s="16">
        <f t="shared" si="78"/>
        <v>0.63080533037761288</v>
      </c>
      <c r="O380" s="16">
        <f t="shared" si="79"/>
        <v>-3.9836752623670507E-2</v>
      </c>
      <c r="R380" s="5">
        <f>IF($T$1, J380, -0.2)</f>
        <v>-0.2</v>
      </c>
    </row>
    <row r="381" spans="2:18" x14ac:dyDescent="0.3">
      <c r="B381" s="16">
        <v>0.63410089149199766</v>
      </c>
      <c r="C381" s="16">
        <f t="shared" si="71"/>
        <v>4.2737619269456316E-2</v>
      </c>
      <c r="D381" s="16">
        <f t="shared" si="67"/>
        <v>3.1301487107750861E-3</v>
      </c>
      <c r="E381" s="16">
        <f t="shared" si="68"/>
        <v>-8.5546770625887676E-3</v>
      </c>
      <c r="F381" s="16">
        <f t="shared" si="69"/>
        <v>-8.5544683875344758E-3</v>
      </c>
      <c r="G381" s="16" t="str">
        <f t="shared" si="72"/>
        <v xml:space="preserve"> </v>
      </c>
      <c r="H381" s="16" t="str">
        <f t="shared" si="73"/>
        <v xml:space="preserve"> </v>
      </c>
      <c r="I381" s="16" t="str">
        <f t="shared" si="74"/>
        <v xml:space="preserve"> </v>
      </c>
      <c r="J381" s="16">
        <f t="shared" si="70"/>
        <v>3.1301487107750861E-3</v>
      </c>
      <c r="K381" s="16">
        <f t="shared" si="75"/>
        <v>-8.5544683875344758E-3</v>
      </c>
      <c r="L381" s="16">
        <f t="shared" si="76"/>
        <v>0.63446648464600608</v>
      </c>
      <c r="M381" s="16">
        <f t="shared" si="77"/>
        <v>4.586620424315601E-2</v>
      </c>
      <c r="N381" s="16">
        <f t="shared" si="78"/>
        <v>0.63373529833798925</v>
      </c>
      <c r="O381" s="16">
        <f t="shared" si="79"/>
        <v>-3.9605906821605842E-2</v>
      </c>
      <c r="R381" s="5">
        <f>IF($T$1, J381, -0.2)</f>
        <v>-0.2</v>
      </c>
    </row>
    <row r="382" spans="2:18" x14ac:dyDescent="0.3">
      <c r="B382" s="16">
        <v>0.63703229614393531</v>
      </c>
      <c r="C382" s="16">
        <f t="shared" si="71"/>
        <v>4.2480070106798946E-2</v>
      </c>
      <c r="D382" s="16">
        <f t="shared" si="67"/>
        <v>3.1050714906379891E-3</v>
      </c>
      <c r="E382" s="16">
        <f t="shared" si="68"/>
        <v>-8.5546770625887676E-3</v>
      </c>
      <c r="F382" s="16">
        <f t="shared" si="69"/>
        <v>-8.5544683875344758E-3</v>
      </c>
      <c r="G382" s="16" t="str">
        <f t="shared" si="72"/>
        <v xml:space="preserve"> </v>
      </c>
      <c r="H382" s="16" t="str">
        <f t="shared" si="73"/>
        <v xml:space="preserve"> </v>
      </c>
      <c r="I382" s="16" t="str">
        <f t="shared" si="74"/>
        <v xml:space="preserve"> </v>
      </c>
      <c r="J382" s="16">
        <f t="shared" si="70"/>
        <v>3.1050714906379891E-3</v>
      </c>
      <c r="K382" s="16">
        <f t="shared" si="75"/>
        <v>-8.5544683875344758E-3</v>
      </c>
      <c r="L382" s="16">
        <f t="shared" si="76"/>
        <v>0.63739568612864461</v>
      </c>
      <c r="M382" s="16">
        <f t="shared" si="77"/>
        <v>4.5583587283890073E-2</v>
      </c>
      <c r="N382" s="16">
        <f t="shared" si="78"/>
        <v>0.636668906159226</v>
      </c>
      <c r="O382" s="16">
        <f t="shared" si="79"/>
        <v>-3.9373444302614094E-2</v>
      </c>
      <c r="R382" s="5">
        <f>IF($T$1, J382, -0.2)</f>
        <v>-0.2</v>
      </c>
    </row>
    <row r="383" spans="2:18" x14ac:dyDescent="0.3">
      <c r="B383" s="16">
        <v>0.63996729751304415</v>
      </c>
      <c r="C383" s="16">
        <f t="shared" si="71"/>
        <v>4.2220878400862527E-2</v>
      </c>
      <c r="D383" s="16">
        <f t="shared" si="67"/>
        <v>3.079963501747007E-3</v>
      </c>
      <c r="E383" s="16">
        <f t="shared" si="68"/>
        <v>-8.5546770625887676E-3</v>
      </c>
      <c r="F383" s="16">
        <f t="shared" si="69"/>
        <v>-8.5544683875344758E-3</v>
      </c>
      <c r="G383" s="16" t="str">
        <f t="shared" si="72"/>
        <v xml:space="preserve"> </v>
      </c>
      <c r="H383" s="16" t="str">
        <f t="shared" si="73"/>
        <v xml:space="preserve"> </v>
      </c>
      <c r="I383" s="16" t="str">
        <f t="shared" si="74"/>
        <v xml:space="preserve"> </v>
      </c>
      <c r="J383" s="16">
        <f t="shared" si="70"/>
        <v>3.079963501747007E-3</v>
      </c>
      <c r="K383" s="16">
        <f t="shared" si="75"/>
        <v>-8.5544683875344758E-3</v>
      </c>
      <c r="L383" s="16">
        <f t="shared" si="76"/>
        <v>0.64032847027754125</v>
      </c>
      <c r="M383" s="16">
        <f t="shared" si="77"/>
        <v>4.5299297072690613E-2</v>
      </c>
      <c r="N383" s="16">
        <f t="shared" si="78"/>
        <v>0.63960612474854706</v>
      </c>
      <c r="O383" s="16">
        <f t="shared" si="79"/>
        <v>-3.9139370069196593E-2</v>
      </c>
      <c r="R383" s="5">
        <f>IF($T$1, J383, -0.2)</f>
        <v>-0.2</v>
      </c>
    </row>
    <row r="384" spans="2:18" x14ac:dyDescent="0.3">
      <c r="B384" s="16">
        <v>0.64290586651582782</v>
      </c>
      <c r="C384" s="16">
        <f t="shared" si="71"/>
        <v>4.1960049339884571E-2</v>
      </c>
      <c r="D384" s="16">
        <f t="shared" si="67"/>
        <v>3.0548249929020594E-3</v>
      </c>
      <c r="E384" s="16">
        <f t="shared" si="68"/>
        <v>-8.5546770625887676E-3</v>
      </c>
      <c r="F384" s="16">
        <f t="shared" si="69"/>
        <v>-8.5544683875344758E-3</v>
      </c>
      <c r="G384" s="16" t="str">
        <f t="shared" si="72"/>
        <v xml:space="preserve"> </v>
      </c>
      <c r="H384" s="16" t="str">
        <f t="shared" si="73"/>
        <v xml:space="preserve"> </v>
      </c>
      <c r="I384" s="16" t="str">
        <f t="shared" si="74"/>
        <v xml:space="preserve"> </v>
      </c>
      <c r="J384" s="16">
        <f t="shared" si="70"/>
        <v>3.0548249929020594E-3</v>
      </c>
      <c r="K384" s="16">
        <f t="shared" si="75"/>
        <v>-8.5544683875344758E-3</v>
      </c>
      <c r="L384" s="16">
        <f t="shared" si="76"/>
        <v>0.64326480805358166</v>
      </c>
      <c r="M384" s="16">
        <f t="shared" si="77"/>
        <v>4.5013339046405219E-2</v>
      </c>
      <c r="N384" s="16">
        <f t="shared" si="78"/>
        <v>0.64254692497807397</v>
      </c>
      <c r="O384" s="16">
        <f t="shared" si="79"/>
        <v>-3.8903689060601106E-2</v>
      </c>
      <c r="R384" s="5">
        <f>IF($T$1, J384, -0.2)</f>
        <v>-0.2</v>
      </c>
    </row>
    <row r="385" spans="2:18" x14ac:dyDescent="0.3">
      <c r="B385" s="16">
        <v>0.64584797403343797</v>
      </c>
      <c r="C385" s="16">
        <f t="shared" si="71"/>
        <v>4.1697588047700872E-2</v>
      </c>
      <c r="D385" s="16">
        <f t="shared" ref="D385:D448" si="80">IF($Q$1=1, IF(B385&lt;$A$8, ($A$10/6)*((B385^3)-3*$A$8*(B385^2)+($A$8^2)*(3-$A$8)*B385), (($A$10*($A$8^3))/6)*(1-B385)), " ")</f>
        <v>3.0296562132054897E-3</v>
      </c>
      <c r="E385" s="16">
        <f t="shared" ref="E385:E448" si="81">IF($Q$1=1,IF(B385&lt;$A$8, ($A$10/6)*(3*(B385^2)-6*$A$8*B385+($A$8^2)*(3-$A$8)), -($A$10*($A$8^3))/6), " ")</f>
        <v>-8.5546770625887676E-3</v>
      </c>
      <c r="F385" s="16">
        <f t="shared" ref="F385:F448" si="82">IF($Q$1=1, ATAN(E385), " ")</f>
        <v>-8.5544683875344758E-3</v>
      </c>
      <c r="G385" s="16" t="str">
        <f t="shared" si="72"/>
        <v xml:space="preserve"> </v>
      </c>
      <c r="H385" s="16" t="str">
        <f t="shared" si="73"/>
        <v xml:space="preserve"> </v>
      </c>
      <c r="I385" s="16" t="str">
        <f t="shared" si="74"/>
        <v xml:space="preserve"> </v>
      </c>
      <c r="J385" s="16">
        <f t="shared" ref="J385:J448" si="83">IF($Q$1=1, D385, G385)</f>
        <v>3.0296562132054897E-3</v>
      </c>
      <c r="K385" s="16">
        <f t="shared" si="75"/>
        <v>-8.5544683875344758E-3</v>
      </c>
      <c r="L385" s="16">
        <f t="shared" si="76"/>
        <v>0.64620467038174845</v>
      </c>
      <c r="M385" s="16">
        <f t="shared" si="77"/>
        <v>4.4725718577784575E-2</v>
      </c>
      <c r="N385" s="16">
        <f t="shared" si="78"/>
        <v>0.64549127768512748</v>
      </c>
      <c r="O385" s="16">
        <f t="shared" si="79"/>
        <v>-3.8666406151373602E-2</v>
      </c>
      <c r="R385" s="5">
        <f>IF($T$1, J385, -0.2)</f>
        <v>-0.2</v>
      </c>
    </row>
    <row r="386" spans="2:18" x14ac:dyDescent="0.3">
      <c r="B386" s="16">
        <v>0.64879359091196209</v>
      </c>
      <c r="C386" s="16">
        <f t="shared" ref="C386:C449" si="84">IF(AND($Q$1=2, $A$3=1), 0, 5*($A$4/100)*(0.2969*SQRT(B386)-0.126*B386-0.3516*(B386^2)+0.2843*(B386^3)-0.1015*(B386^4)))</f>
        <v>4.1433499582306424E-2</v>
      </c>
      <c r="D386" s="16">
        <f t="shared" si="80"/>
        <v>3.0044574120596051E-3</v>
      </c>
      <c r="E386" s="16">
        <f t="shared" si="81"/>
        <v>-8.5546770625887676E-3</v>
      </c>
      <c r="F386" s="16">
        <f t="shared" si="82"/>
        <v>-8.5544683875344758E-3</v>
      </c>
      <c r="G386" s="16" t="str">
        <f t="shared" ref="G386:G449" si="85">IF($Q$1=2, IF(A388&lt;&gt;1, IF(B386&lt;$A$11, ($A$12/6)*((B386-$A$11)^3-$A$13*((1-$A$11)^3)*B386-($A$11^3)*B386+$A$11^3), ($A$12/6)*($A$13*(B386-$A$11)^3-$A$13*((1-$A$11)^3)*B386-($A$11^3)*B386+$A$11^3)), 0), " ")</f>
        <v xml:space="preserve"> </v>
      </c>
      <c r="H386" s="16" t="str">
        <f t="shared" ref="H386:H449" si="86">IF($Q$1=2, IF(A388&lt;&gt;1, IF(B386&lt;$A$11, ($A$12/6)*(3*(B386-$A$11)^2-$A$13*((1-$A$11)^3)-($A$11^3)), ($A$12/6)*(3*$A$13*(B386-$A$11)^2-$A$13*((1-$A$11)^3)-($A$11^3))),0 ), " ")</f>
        <v xml:space="preserve"> </v>
      </c>
      <c r="I386" s="16" t="str">
        <f t="shared" ref="I386:I449" si="87">IF($Q$1=2, IF(A388&lt;&gt;1,  ATAN(H386), 0), " ")</f>
        <v xml:space="preserve"> </v>
      </c>
      <c r="J386" s="16">
        <f t="shared" si="83"/>
        <v>3.0044574120596051E-3</v>
      </c>
      <c r="K386" s="16">
        <f t="shared" ref="K386:K449" si="88">IF($Q$1=1, F386, I386)</f>
        <v>-8.5544683875344758E-3</v>
      </c>
      <c r="L386" s="16">
        <f t="shared" ref="L386:L449" si="89">B386-C386*SIN(K386)</f>
        <v>0.64914802815139738</v>
      </c>
      <c r="M386" s="16">
        <f t="shared" ref="M386:M449" si="90">J386+C386*COS(K386)</f>
        <v>4.4436440974040897E-2</v>
      </c>
      <c r="N386" s="16">
        <f t="shared" ref="N386:N449" si="91">B386+C386*SIN(K386)</f>
        <v>0.6484391536725268</v>
      </c>
      <c r="O386" s="16">
        <f t="shared" ref="O386:O449" si="92">J386-C386*COS(K386)</f>
        <v>-3.842752614992169E-2</v>
      </c>
      <c r="R386" s="5">
        <f>IF($T$1, J386, -0.2)</f>
        <v>-0.2</v>
      </c>
    </row>
    <row r="387" spans="2:18" x14ac:dyDescent="0.3">
      <c r="B387" s="16">
        <v>0.65174268796271284</v>
      </c>
      <c r="C387" s="16">
        <f t="shared" si="84"/>
        <v>4.1167788934428025E-2</v>
      </c>
      <c r="D387" s="16">
        <f t="shared" si="80"/>
        <v>2.9792288391641995E-3</v>
      </c>
      <c r="E387" s="16">
        <f t="shared" si="81"/>
        <v>-8.5546770625887676E-3</v>
      </c>
      <c r="F387" s="16">
        <f t="shared" si="82"/>
        <v>-8.5544683875344758E-3</v>
      </c>
      <c r="G387" s="16" t="str">
        <f t="shared" si="85"/>
        <v xml:space="preserve"> </v>
      </c>
      <c r="H387" s="16" t="str">
        <f t="shared" si="86"/>
        <v xml:space="preserve"> </v>
      </c>
      <c r="I387" s="16" t="str">
        <f t="shared" si="87"/>
        <v xml:space="preserve"> </v>
      </c>
      <c r="J387" s="16">
        <f t="shared" si="83"/>
        <v>2.9792288391641995E-3</v>
      </c>
      <c r="K387" s="16">
        <f t="shared" si="88"/>
        <v>-8.5544683875344758E-3</v>
      </c>
      <c r="L387" s="16">
        <f t="shared" si="89"/>
        <v>0.65209485221653329</v>
      </c>
      <c r="M387" s="16">
        <f t="shared" si="90"/>
        <v>4.4145511475418175E-2</v>
      </c>
      <c r="N387" s="16">
        <f t="shared" si="91"/>
        <v>0.65139052370889239</v>
      </c>
      <c r="O387" s="16">
        <f t="shared" si="92"/>
        <v>-3.8187053797089782E-2</v>
      </c>
      <c r="R387" s="5">
        <f>IF($T$1, J387, -0.2)</f>
        <v>-0.2</v>
      </c>
    </row>
    <row r="388" spans="2:18" x14ac:dyDescent="0.3">
      <c r="B388" s="16">
        <v>0.65469523596251733</v>
      </c>
      <c r="C388" s="16">
        <f t="shared" si="84"/>
        <v>4.090046102610919E-2</v>
      </c>
      <c r="D388" s="16">
        <f t="shared" si="80"/>
        <v>2.9539707445140799E-3</v>
      </c>
      <c r="E388" s="16">
        <f t="shared" si="81"/>
        <v>-8.5546770625887676E-3</v>
      </c>
      <c r="F388" s="16">
        <f t="shared" si="82"/>
        <v>-8.5544683875344758E-3</v>
      </c>
      <c r="G388" s="16" t="str">
        <f t="shared" si="85"/>
        <v xml:space="preserve"> </v>
      </c>
      <c r="H388" s="16" t="str">
        <f t="shared" si="86"/>
        <v xml:space="preserve"> </v>
      </c>
      <c r="I388" s="16" t="str">
        <f t="shared" si="87"/>
        <v xml:space="preserve"> </v>
      </c>
      <c r="J388" s="16">
        <f t="shared" si="83"/>
        <v>2.9539707445140799E-3</v>
      </c>
      <c r="K388" s="16">
        <f t="shared" si="88"/>
        <v>-8.5544683875344758E-3</v>
      </c>
      <c r="L388" s="16">
        <f t="shared" si="89"/>
        <v>0.65504511339608829</v>
      </c>
      <c r="M388" s="16">
        <f t="shared" si="90"/>
        <v>4.3852935253774643E-2</v>
      </c>
      <c r="N388" s="16">
        <f t="shared" si="91"/>
        <v>0.65434535852894637</v>
      </c>
      <c r="O388" s="16">
        <f t="shared" si="92"/>
        <v>-3.7944993764746478E-2</v>
      </c>
      <c r="R388" s="5">
        <f>IF($T$1, J388, -0.2)</f>
        <v>-0.2</v>
      </c>
    </row>
    <row r="389" spans="2:18" x14ac:dyDescent="0.3">
      <c r="B389" s="16">
        <v>0.65765120565400648</v>
      </c>
      <c r="C389" s="16">
        <f t="shared" si="84"/>
        <v>4.0631520709307554E-2</v>
      </c>
      <c r="D389" s="16">
        <f t="shared" si="80"/>
        <v>2.9286833783965902E-3</v>
      </c>
      <c r="E389" s="16">
        <f t="shared" si="81"/>
        <v>-8.5546770625887676E-3</v>
      </c>
      <c r="F389" s="16">
        <f t="shared" si="82"/>
        <v>-8.5544683875344758E-3</v>
      </c>
      <c r="G389" s="16" t="str">
        <f t="shared" si="85"/>
        <v xml:space="preserve"> </v>
      </c>
      <c r="H389" s="16" t="str">
        <f t="shared" si="86"/>
        <v xml:space="preserve"> </v>
      </c>
      <c r="I389" s="16" t="str">
        <f t="shared" si="87"/>
        <v xml:space="preserve"> </v>
      </c>
      <c r="J389" s="16">
        <f t="shared" si="83"/>
        <v>2.9286833783965902E-3</v>
      </c>
      <c r="K389" s="16">
        <f t="shared" si="88"/>
        <v>-8.5544683875344758E-3</v>
      </c>
      <c r="L389" s="16">
        <f t="shared" si="89"/>
        <v>0.65799878247419896</v>
      </c>
      <c r="M389" s="16">
        <f t="shared" si="90"/>
        <v>4.3558717411177734E-2</v>
      </c>
      <c r="N389" s="16">
        <f t="shared" si="91"/>
        <v>0.65730362883381399</v>
      </c>
      <c r="O389" s="16">
        <f t="shared" si="92"/>
        <v>-3.7701350654384548E-2</v>
      </c>
      <c r="R389" s="5">
        <f>IF($T$1, J389, -0.2)</f>
        <v>-0.2</v>
      </c>
    </row>
    <row r="390" spans="2:18" x14ac:dyDescent="0.3">
      <c r="B390" s="16">
        <v>0.6606105677459051</v>
      </c>
      <c r="C390" s="16">
        <f t="shared" si="84"/>
        <v>4.0360972764504739E-2</v>
      </c>
      <c r="D390" s="16">
        <f t="shared" si="80"/>
        <v>2.9033669913891302E-3</v>
      </c>
      <c r="E390" s="16">
        <f t="shared" si="81"/>
        <v>-8.5546770625887676E-3</v>
      </c>
      <c r="F390" s="16">
        <f t="shared" si="82"/>
        <v>-8.5544683875344758E-3</v>
      </c>
      <c r="G390" s="16" t="str">
        <f t="shared" si="85"/>
        <v xml:space="preserve"> </v>
      </c>
      <c r="H390" s="16" t="str">
        <f t="shared" si="86"/>
        <v xml:space="preserve"> </v>
      </c>
      <c r="I390" s="16" t="str">
        <f t="shared" si="87"/>
        <v xml:space="preserve"> </v>
      </c>
      <c r="J390" s="16">
        <f t="shared" si="83"/>
        <v>2.9033669913891302E-3</v>
      </c>
      <c r="K390" s="16">
        <f t="shared" si="88"/>
        <v>-8.5544683875344758E-3</v>
      </c>
      <c r="L390" s="16">
        <f t="shared" si="89"/>
        <v>0.66095583020048376</v>
      </c>
      <c r="M390" s="16">
        <f t="shared" si="90"/>
        <v>4.3262862978511563E-2</v>
      </c>
      <c r="N390" s="16">
        <f t="shared" si="91"/>
        <v>0.66026530529132643</v>
      </c>
      <c r="O390" s="16">
        <f t="shared" si="92"/>
        <v>-3.7456128995733307E-2</v>
      </c>
      <c r="R390" s="5">
        <f>IF($T$1, J390, -0.2)</f>
        <v>-0.2</v>
      </c>
    </row>
    <row r="391" spans="2:18" x14ac:dyDescent="0.3">
      <c r="B391" s="16">
        <v>0.66357329291332134</v>
      </c>
      <c r="C391" s="16">
        <f t="shared" si="84"/>
        <v>4.0088821899329656E-2</v>
      </c>
      <c r="D391" s="16">
        <f t="shared" si="80"/>
        <v>2.8780218343566798E-3</v>
      </c>
      <c r="E391" s="16">
        <f t="shared" si="81"/>
        <v>-8.5546770625887676E-3</v>
      </c>
      <c r="F391" s="16">
        <f t="shared" si="82"/>
        <v>-8.5544683875344758E-3</v>
      </c>
      <c r="G391" s="16" t="str">
        <f t="shared" si="85"/>
        <v xml:space="preserve"> </v>
      </c>
      <c r="H391" s="16" t="str">
        <f t="shared" si="86"/>
        <v xml:space="preserve"> </v>
      </c>
      <c r="I391" s="16" t="str">
        <f t="shared" si="87"/>
        <v xml:space="preserve"> </v>
      </c>
      <c r="J391" s="16">
        <f t="shared" si="83"/>
        <v>2.8780218343566798E-3</v>
      </c>
      <c r="K391" s="16">
        <f t="shared" si="88"/>
        <v>-8.5544683875344758E-3</v>
      </c>
      <c r="L391" s="16">
        <f t="shared" si="89"/>
        <v>0.66391622729032185</v>
      </c>
      <c r="M391" s="16">
        <f t="shared" si="90"/>
        <v>4.2965376914097783E-2</v>
      </c>
      <c r="N391" s="16">
        <f t="shared" si="91"/>
        <v>0.66323035853632084</v>
      </c>
      <c r="O391" s="16">
        <f t="shared" si="92"/>
        <v>-3.7209333245384418E-2</v>
      </c>
      <c r="R391" s="5">
        <f>IF($T$1, J391, -0.2)</f>
        <v>-0.2</v>
      </c>
    </row>
    <row r="392" spans="2:18" x14ac:dyDescent="0.3">
      <c r="B392" s="16">
        <v>0.66653935179803925</v>
      </c>
      <c r="C392" s="16">
        <f t="shared" si="84"/>
        <v>3.9815072747194778E-2</v>
      </c>
      <c r="D392" s="16">
        <f t="shared" si="80"/>
        <v>2.8526481584492959E-3</v>
      </c>
      <c r="E392" s="16">
        <f t="shared" si="81"/>
        <v>-8.5546770625887676E-3</v>
      </c>
      <c r="F392" s="16">
        <f t="shared" si="82"/>
        <v>-8.5544683875344758E-3</v>
      </c>
      <c r="G392" s="16" t="str">
        <f t="shared" si="85"/>
        <v xml:space="preserve"> </v>
      </c>
      <c r="H392" s="16" t="str">
        <f t="shared" si="86"/>
        <v xml:space="preserve"> </v>
      </c>
      <c r="I392" s="16" t="str">
        <f t="shared" si="87"/>
        <v xml:space="preserve"> </v>
      </c>
      <c r="J392" s="16">
        <f t="shared" si="83"/>
        <v>2.8526481584492959E-3</v>
      </c>
      <c r="K392" s="16">
        <f t="shared" si="88"/>
        <v>-8.5544683875344758E-3</v>
      </c>
      <c r="L392" s="16">
        <f t="shared" si="89"/>
        <v>0.6668799444251331</v>
      </c>
      <c r="M392" s="16">
        <f t="shared" si="90"/>
        <v>4.266626410232937E-2</v>
      </c>
      <c r="N392" s="16">
        <f t="shared" si="91"/>
        <v>0.6661987591709454</v>
      </c>
      <c r="O392" s="16">
        <f t="shared" si="92"/>
        <v>-3.696096778543078E-2</v>
      </c>
      <c r="R392" s="5">
        <f>IF($T$1, J392, -0.2)</f>
        <v>-0.2</v>
      </c>
    </row>
    <row r="393" spans="2:18" x14ac:dyDescent="0.3">
      <c r="B393" s="16">
        <v>0.66950871500880726</v>
      </c>
      <c r="C393" s="16">
        <f t="shared" si="84"/>
        <v>3.9539729865946539E-2</v>
      </c>
      <c r="D393" s="16">
        <f t="shared" si="80"/>
        <v>2.8272462150996441E-3</v>
      </c>
      <c r="E393" s="16">
        <f t="shared" si="81"/>
        <v>-8.5546770625887676E-3</v>
      </c>
      <c r="F393" s="16">
        <f t="shared" si="82"/>
        <v>-8.5544683875344758E-3</v>
      </c>
      <c r="G393" s="16" t="str">
        <f t="shared" si="85"/>
        <v xml:space="preserve"> </v>
      </c>
      <c r="H393" s="16" t="str">
        <f t="shared" si="86"/>
        <v xml:space="preserve"> </v>
      </c>
      <c r="I393" s="16" t="str">
        <f t="shared" si="87"/>
        <v xml:space="preserve"> </v>
      </c>
      <c r="J393" s="16">
        <f t="shared" si="83"/>
        <v>2.8272462150996441E-3</v>
      </c>
      <c r="K393" s="16">
        <f t="shared" si="88"/>
        <v>-8.5544683875344758E-3</v>
      </c>
      <c r="L393" s="16">
        <f t="shared" si="89"/>
        <v>0.66984695225265534</v>
      </c>
      <c r="M393" s="16">
        <f t="shared" si="90"/>
        <v>4.236552935231868E-2</v>
      </c>
      <c r="N393" s="16">
        <f t="shared" si="91"/>
        <v>0.66917047776495919</v>
      </c>
      <c r="O393" s="16">
        <f t="shared" si="92"/>
        <v>-3.671103692211939E-2</v>
      </c>
      <c r="R393" s="5">
        <f>IF($T$1, J393, -0.2)</f>
        <v>-0.2</v>
      </c>
    </row>
    <row r="394" spans="2:18" x14ac:dyDescent="0.3">
      <c r="B394" s="16">
        <v>0.67248135312163138</v>
      </c>
      <c r="C394" s="16">
        <f t="shared" si="84"/>
        <v>3.9262797736529138E-2</v>
      </c>
      <c r="D394" s="16">
        <f t="shared" si="80"/>
        <v>2.8018162560204903E-3</v>
      </c>
      <c r="E394" s="16">
        <f t="shared" si="81"/>
        <v>-8.5546770625887676E-3</v>
      </c>
      <c r="F394" s="16">
        <f t="shared" si="82"/>
        <v>-8.5544683875344758E-3</v>
      </c>
      <c r="G394" s="16" t="str">
        <f t="shared" si="85"/>
        <v xml:space="preserve"> </v>
      </c>
      <c r="H394" s="16" t="str">
        <f t="shared" si="86"/>
        <v xml:space="preserve"> </v>
      </c>
      <c r="I394" s="16" t="str">
        <f t="shared" si="87"/>
        <v xml:space="preserve"> </v>
      </c>
      <c r="J394" s="16">
        <f t="shared" si="83"/>
        <v>2.8018162560204903E-3</v>
      </c>
      <c r="K394" s="16">
        <f t="shared" si="88"/>
        <v>-8.5544683875344758E-3</v>
      </c>
      <c r="L394" s="16">
        <f t="shared" si="89"/>
        <v>0.67281722138722633</v>
      </c>
      <c r="M394" s="16">
        <f t="shared" si="90"/>
        <v>4.2063177396558703E-2</v>
      </c>
      <c r="N394" s="16">
        <f t="shared" si="91"/>
        <v>0.67214548485603642</v>
      </c>
      <c r="O394" s="16">
        <f t="shared" si="92"/>
        <v>-3.6459544884517726E-2</v>
      </c>
      <c r="R394" s="5">
        <f>IF($T$1, J394, -0.2)</f>
        <v>-0.2</v>
      </c>
    </row>
    <row r="395" spans="2:18" x14ac:dyDescent="0.3">
      <c r="B395" s="16">
        <v>0.6754572366800653</v>
      </c>
      <c r="C395" s="16">
        <f t="shared" si="84"/>
        <v>3.8984280761663111E-2</v>
      </c>
      <c r="D395" s="16">
        <f t="shared" si="80"/>
        <v>2.7763585332022207E-3</v>
      </c>
      <c r="E395" s="16">
        <f t="shared" si="81"/>
        <v>-8.5546770625887676E-3</v>
      </c>
      <c r="F395" s="16">
        <f t="shared" si="82"/>
        <v>-8.5544683875344758E-3</v>
      </c>
      <c r="G395" s="16" t="str">
        <f t="shared" si="85"/>
        <v xml:space="preserve"> </v>
      </c>
      <c r="H395" s="16" t="str">
        <f t="shared" si="86"/>
        <v xml:space="preserve"> </v>
      </c>
      <c r="I395" s="16" t="str">
        <f t="shared" si="87"/>
        <v xml:space="preserve"> </v>
      </c>
      <c r="J395" s="16">
        <f t="shared" si="83"/>
        <v>2.7763585332022207E-3</v>
      </c>
      <c r="K395" s="16">
        <f t="shared" si="88"/>
        <v>-8.5544683875344758E-3</v>
      </c>
      <c r="L395" s="16">
        <f t="shared" si="89"/>
        <v>0.67579072241006222</v>
      </c>
      <c r="M395" s="16">
        <f t="shared" si="90"/>
        <v>4.1759212889599273E-2</v>
      </c>
      <c r="N395" s="16">
        <f t="shared" si="91"/>
        <v>0.67512375095006838</v>
      </c>
      <c r="O395" s="16">
        <f t="shared" si="92"/>
        <v>-3.6206495823194837E-2</v>
      </c>
      <c r="R395" s="5">
        <f>IF($T$1, J395, -0.2)</f>
        <v>-0.2</v>
      </c>
    </row>
    <row r="396" spans="2:18" x14ac:dyDescent="0.3">
      <c r="B396" s="16">
        <v>0.67843633619550392</v>
      </c>
      <c r="C396" s="16">
        <f t="shared" si="84"/>
        <v>3.8704183264537999E-2</v>
      </c>
      <c r="D396" s="16">
        <f t="shared" si="80"/>
        <v>2.7508732989103284E-3</v>
      </c>
      <c r="E396" s="16">
        <f t="shared" si="81"/>
        <v>-8.5546770625887676E-3</v>
      </c>
      <c r="F396" s="16">
        <f t="shared" si="82"/>
        <v>-8.5544683875344758E-3</v>
      </c>
      <c r="G396" s="16" t="str">
        <f t="shared" si="85"/>
        <v xml:space="preserve"> </v>
      </c>
      <c r="H396" s="16" t="str">
        <f t="shared" si="86"/>
        <v xml:space="preserve"> </v>
      </c>
      <c r="I396" s="16" t="str">
        <f t="shared" si="87"/>
        <v xml:space="preserve"> </v>
      </c>
      <c r="J396" s="16">
        <f t="shared" si="83"/>
        <v>2.7508732989103284E-3</v>
      </c>
      <c r="K396" s="16">
        <f t="shared" si="88"/>
        <v>-8.5544683875344758E-3</v>
      </c>
      <c r="L396" s="16">
        <f t="shared" si="89"/>
        <v>0.67876742586953998</v>
      </c>
      <c r="M396" s="16">
        <f t="shared" si="90"/>
        <v>4.1453640406737255E-2</v>
      </c>
      <c r="N396" s="16">
        <f t="shared" si="91"/>
        <v>0.67810524652146786</v>
      </c>
      <c r="O396" s="16">
        <f t="shared" si="92"/>
        <v>-3.5951893808916599E-2</v>
      </c>
      <c r="R396" s="5">
        <f>IF($T$1, J396, -0.2)</f>
        <v>-0.2</v>
      </c>
    </row>
    <row r="397" spans="2:18" x14ac:dyDescent="0.3">
      <c r="B397" s="16">
        <v>0.68141862214747362</v>
      </c>
      <c r="C397" s="16">
        <f t="shared" si="84"/>
        <v>3.8422509487520198E-2</v>
      </c>
      <c r="D397" s="16">
        <f t="shared" si="80"/>
        <v>2.7253608056829327E-3</v>
      </c>
      <c r="E397" s="16">
        <f t="shared" si="81"/>
        <v>-8.5546770625887676E-3</v>
      </c>
      <c r="F397" s="16">
        <f t="shared" si="82"/>
        <v>-8.5544683875344758E-3</v>
      </c>
      <c r="G397" s="16" t="str">
        <f t="shared" si="85"/>
        <v xml:space="preserve"> </v>
      </c>
      <c r="H397" s="16" t="str">
        <f t="shared" si="86"/>
        <v xml:space="preserve"> </v>
      </c>
      <c r="I397" s="16" t="str">
        <f t="shared" si="87"/>
        <v xml:space="preserve"> </v>
      </c>
      <c r="J397" s="16">
        <f t="shared" si="83"/>
        <v>2.7253608056829327E-3</v>
      </c>
      <c r="K397" s="16">
        <f t="shared" si="88"/>
        <v>-8.5544683875344758E-3</v>
      </c>
      <c r="L397" s="16">
        <f t="shared" si="89"/>
        <v>0.68174730228147673</v>
      </c>
      <c r="M397" s="16">
        <f t="shared" si="90"/>
        <v>4.1146464442721936E-2</v>
      </c>
      <c r="N397" s="16">
        <f t="shared" si="91"/>
        <v>0.68108994201347051</v>
      </c>
      <c r="O397" s="16">
        <f t="shared" si="92"/>
        <v>-3.569574283135607E-2</v>
      </c>
      <c r="R397" s="5">
        <f>IF($T$1, J397, -0.2)</f>
        <v>-0.2</v>
      </c>
    </row>
    <row r="398" spans="2:18" x14ac:dyDescent="0.3">
      <c r="B398" s="16">
        <v>0.68440406498392603</v>
      </c>
      <c r="C398" s="16">
        <f t="shared" si="84"/>
        <v>3.8139263590875903E-2</v>
      </c>
      <c r="D398" s="16">
        <f t="shared" si="80"/>
        <v>2.6998213063282634E-3</v>
      </c>
      <c r="E398" s="16">
        <f t="shared" si="81"/>
        <v>-8.5546770625887676E-3</v>
      </c>
      <c r="F398" s="16">
        <f t="shared" si="82"/>
        <v>-8.5544683875344758E-3</v>
      </c>
      <c r="G398" s="16" t="str">
        <f t="shared" si="85"/>
        <v xml:space="preserve"> </v>
      </c>
      <c r="H398" s="16" t="str">
        <f t="shared" si="86"/>
        <v xml:space="preserve"> </v>
      </c>
      <c r="I398" s="16" t="str">
        <f t="shared" si="87"/>
        <v xml:space="preserve"> </v>
      </c>
      <c r="J398" s="16">
        <f t="shared" si="83"/>
        <v>2.6998213063282634E-3</v>
      </c>
      <c r="K398" s="16">
        <f t="shared" si="88"/>
        <v>-8.5544683875344758E-3</v>
      </c>
      <c r="L398" s="16">
        <f t="shared" si="89"/>
        <v>0.68473032212941265</v>
      </c>
      <c r="M398" s="16">
        <f t="shared" si="90"/>
        <v>4.0837689410475504E-2</v>
      </c>
      <c r="N398" s="16">
        <f t="shared" si="91"/>
        <v>0.68407780783843941</v>
      </c>
      <c r="O398" s="16">
        <f t="shared" si="92"/>
        <v>-3.5438046797818971E-2</v>
      </c>
      <c r="R398" s="5">
        <f>IF($T$1, J398, -0.2)</f>
        <v>-0.2</v>
      </c>
    </row>
    <row r="399" spans="2:18" x14ac:dyDescent="0.3">
      <c r="B399" s="16">
        <v>0.68739263512153115</v>
      </c>
      <c r="C399" s="16">
        <f t="shared" si="84"/>
        <v>3.785444965150897E-2</v>
      </c>
      <c r="D399" s="16">
        <f t="shared" si="80"/>
        <v>2.6742550539221549E-3</v>
      </c>
      <c r="E399" s="16">
        <f t="shared" si="81"/>
        <v>-8.5546770625887676E-3</v>
      </c>
      <c r="F399" s="16">
        <f t="shared" si="82"/>
        <v>-8.5544683875344758E-3</v>
      </c>
      <c r="G399" s="16" t="str">
        <f t="shared" si="85"/>
        <v xml:space="preserve"> </v>
      </c>
      <c r="H399" s="16" t="str">
        <f t="shared" si="86"/>
        <v xml:space="preserve"> </v>
      </c>
      <c r="I399" s="16" t="str">
        <f t="shared" si="87"/>
        <v xml:space="preserve"> </v>
      </c>
      <c r="J399" s="16">
        <f t="shared" si="83"/>
        <v>2.6742550539221549E-3</v>
      </c>
      <c r="K399" s="16">
        <f t="shared" si="88"/>
        <v>-8.5544683875344758E-3</v>
      </c>
      <c r="L399" s="16">
        <f t="shared" si="89"/>
        <v>0.68771645586489294</v>
      </c>
      <c r="M399" s="16">
        <f t="shared" si="90"/>
        <v>4.0527319639828488E-2</v>
      </c>
      <c r="N399" s="16">
        <f t="shared" si="91"/>
        <v>0.68706881437816936</v>
      </c>
      <c r="O399" s="16">
        <f t="shared" si="92"/>
        <v>-3.5178809531984184E-2</v>
      </c>
      <c r="R399" s="5">
        <f>IF($T$1, J399, -0.2)</f>
        <v>-0.2</v>
      </c>
    </row>
    <row r="400" spans="2:18" x14ac:dyDescent="0.3">
      <c r="B400" s="16">
        <v>0.6903843029459692</v>
      </c>
      <c r="C400" s="16">
        <f t="shared" si="84"/>
        <v>3.7568071661715455E-2</v>
      </c>
      <c r="D400" s="16">
        <f t="shared" si="80"/>
        <v>2.6486623018055501E-3</v>
      </c>
      <c r="E400" s="16">
        <f t="shared" si="81"/>
        <v>-8.5546770625887676E-3</v>
      </c>
      <c r="F400" s="16">
        <f t="shared" si="82"/>
        <v>-8.5544683875344758E-3</v>
      </c>
      <c r="G400" s="16" t="str">
        <f t="shared" si="85"/>
        <v xml:space="preserve"> </v>
      </c>
      <c r="H400" s="16" t="str">
        <f t="shared" si="86"/>
        <v xml:space="preserve"> </v>
      </c>
      <c r="I400" s="16" t="str">
        <f t="shared" si="87"/>
        <v xml:space="preserve"> </v>
      </c>
      <c r="J400" s="16">
        <f t="shared" si="83"/>
        <v>2.6486623018055501E-3</v>
      </c>
      <c r="K400" s="16">
        <f t="shared" si="88"/>
        <v>-8.5544683875344758E-3</v>
      </c>
      <c r="L400" s="16">
        <f t="shared" si="89"/>
        <v>0.6907056739077494</v>
      </c>
      <c r="M400" s="16">
        <f t="shared" si="90"/>
        <v>4.0215359376271818E-2</v>
      </c>
      <c r="N400" s="16">
        <f t="shared" si="91"/>
        <v>0.690062931984189</v>
      </c>
      <c r="O400" s="16">
        <f t="shared" si="92"/>
        <v>-3.4918034772660721E-2</v>
      </c>
      <c r="R400" s="5">
        <f>IF($T$1, J400, -0.2)</f>
        <v>-0.2</v>
      </c>
    </row>
    <row r="401" spans="2:18" x14ac:dyDescent="0.3">
      <c r="B401" s="16">
        <v>0.69337903881222562</v>
      </c>
      <c r="C401" s="16">
        <f t="shared" si="84"/>
        <v>3.7280133527952966E-2</v>
      </c>
      <c r="D401" s="16">
        <f t="shared" si="80"/>
        <v>2.623043303581974E-3</v>
      </c>
      <c r="E401" s="16">
        <f t="shared" si="81"/>
        <v>-8.5546770625887676E-3</v>
      </c>
      <c r="F401" s="16">
        <f t="shared" si="82"/>
        <v>-8.5544683875344758E-3</v>
      </c>
      <c r="G401" s="16" t="str">
        <f t="shared" si="85"/>
        <v xml:space="preserve"> </v>
      </c>
      <c r="H401" s="16" t="str">
        <f t="shared" si="86"/>
        <v xml:space="preserve"> </v>
      </c>
      <c r="I401" s="16" t="str">
        <f t="shared" si="87"/>
        <v xml:space="preserve"> </v>
      </c>
      <c r="J401" s="16">
        <f t="shared" si="83"/>
        <v>2.623043303581974E-3</v>
      </c>
      <c r="K401" s="16">
        <f t="shared" si="88"/>
        <v>-8.5544683875344758E-3</v>
      </c>
      <c r="L401" s="16">
        <f t="shared" si="89"/>
        <v>0.69369794664638473</v>
      </c>
      <c r="M401" s="16">
        <f t="shared" si="90"/>
        <v>3.9901812779723683E-2</v>
      </c>
      <c r="N401" s="16">
        <f t="shared" si="91"/>
        <v>0.69306013097806651</v>
      </c>
      <c r="O401" s="16">
        <f t="shared" si="92"/>
        <v>-3.4655726172559742E-2</v>
      </c>
      <c r="R401" s="5">
        <f>IF($T$1, J401, -0.2)</f>
        <v>-0.2</v>
      </c>
    </row>
    <row r="402" spans="2:18" x14ac:dyDescent="0.3">
      <c r="B402" s="16">
        <v>0.69637681304488286</v>
      </c>
      <c r="C402" s="16">
        <f t="shared" si="84"/>
        <v>3.6990639069627372E-2</v>
      </c>
      <c r="D402" s="16">
        <f t="shared" si="80"/>
        <v>2.5973983131150416E-3</v>
      </c>
      <c r="E402" s="16">
        <f t="shared" si="81"/>
        <v>-8.5546770625887676E-3</v>
      </c>
      <c r="F402" s="16">
        <f t="shared" si="82"/>
        <v>-8.5544683875344758E-3</v>
      </c>
      <c r="G402" s="16" t="str">
        <f t="shared" si="85"/>
        <v xml:space="preserve"> </v>
      </c>
      <c r="H402" s="16" t="str">
        <f t="shared" si="86"/>
        <v xml:space="preserve"> </v>
      </c>
      <c r="I402" s="16" t="str">
        <f t="shared" si="87"/>
        <v xml:space="preserve"> </v>
      </c>
      <c r="J402" s="16">
        <f t="shared" si="83"/>
        <v>2.5973983131150416E-3</v>
      </c>
      <c r="K402" s="16">
        <f t="shared" si="88"/>
        <v>-8.5544683875344758E-3</v>
      </c>
      <c r="L402" s="16">
        <f t="shared" si="89"/>
        <v>0.69669324443805392</v>
      </c>
      <c r="M402" s="16">
        <f t="shared" si="90"/>
        <v>3.9586683923313826E-2</v>
      </c>
      <c r="N402" s="16">
        <f t="shared" si="91"/>
        <v>0.6960603816517118</v>
      </c>
      <c r="O402" s="16">
        <f t="shared" si="92"/>
        <v>-3.4391887297083742E-2</v>
      </c>
      <c r="R402" s="5">
        <f>IF($T$1, J402, -0.2)</f>
        <v>-0.2</v>
      </c>
    </row>
    <row r="403" spans="2:18" x14ac:dyDescent="0.3">
      <c r="B403" s="16">
        <v>0.69937759593841675</v>
      </c>
      <c r="C403" s="16">
        <f t="shared" si="84"/>
        <v>3.6699592017895237E-2</v>
      </c>
      <c r="D403" s="16">
        <f t="shared" si="80"/>
        <v>2.5717275845259188E-3</v>
      </c>
      <c r="E403" s="16">
        <f t="shared" si="81"/>
        <v>-8.5546770625887676E-3</v>
      </c>
      <c r="F403" s="16">
        <f t="shared" si="82"/>
        <v>-8.5544683875344758E-3</v>
      </c>
      <c r="G403" s="16" t="str">
        <f t="shared" si="85"/>
        <v xml:space="preserve"> </v>
      </c>
      <c r="H403" s="16" t="str">
        <f t="shared" si="86"/>
        <v xml:space="preserve"> </v>
      </c>
      <c r="I403" s="16" t="str">
        <f t="shared" si="87"/>
        <v xml:space="preserve"> </v>
      </c>
      <c r="J403" s="16">
        <f t="shared" si="83"/>
        <v>2.5717275845259188E-3</v>
      </c>
      <c r="K403" s="16">
        <f t="shared" si="88"/>
        <v>-8.5544683875344758E-3</v>
      </c>
      <c r="L403" s="16">
        <f t="shared" si="89"/>
        <v>0.6996915376091507</v>
      </c>
      <c r="M403" s="16">
        <f t="shared" si="90"/>
        <v>3.9269976792183449E-2</v>
      </c>
      <c r="N403" s="16">
        <f t="shared" si="91"/>
        <v>0.6990636542676828</v>
      </c>
      <c r="O403" s="16">
        <f t="shared" si="92"/>
        <v>-3.4126521623131616E-2</v>
      </c>
      <c r="R403" s="5">
        <f>IF($T$1, J403, -0.2)</f>
        <v>-0.2</v>
      </c>
    </row>
    <row r="404" spans="2:18" x14ac:dyDescent="0.3">
      <c r="B404" s="16">
        <v>0.70238135775748911</v>
      </c>
      <c r="C404" s="16">
        <f t="shared" si="84"/>
        <v>3.6406996014483453E-2</v>
      </c>
      <c r="D404" s="16">
        <f t="shared" si="80"/>
        <v>2.5460313721908205E-3</v>
      </c>
      <c r="E404" s="16">
        <f t="shared" si="81"/>
        <v>-8.5546770625887676E-3</v>
      </c>
      <c r="F404" s="16">
        <f t="shared" si="82"/>
        <v>-8.5544683875344758E-3</v>
      </c>
      <c r="G404" s="16" t="str">
        <f t="shared" si="85"/>
        <v xml:space="preserve"> </v>
      </c>
      <c r="H404" s="16" t="str">
        <f t="shared" si="86"/>
        <v xml:space="preserve"> </v>
      </c>
      <c r="I404" s="16" t="str">
        <f t="shared" si="87"/>
        <v xml:space="preserve"> </v>
      </c>
      <c r="J404" s="16">
        <f t="shared" si="83"/>
        <v>2.5460313721908205E-3</v>
      </c>
      <c r="K404" s="16">
        <f t="shared" si="88"/>
        <v>-8.5544683875344758E-3</v>
      </c>
      <c r="L404" s="16">
        <f t="shared" si="89"/>
        <v>0.70269279645548921</v>
      </c>
      <c r="M404" s="16">
        <f t="shared" si="90"/>
        <v>3.8951695282302412E-2</v>
      </c>
      <c r="N404" s="16">
        <f t="shared" si="91"/>
        <v>0.70206991905948901</v>
      </c>
      <c r="O404" s="16">
        <f t="shared" si="92"/>
        <v>-3.3859632537920778E-2</v>
      </c>
      <c r="R404" s="5">
        <f>IF($T$1, J404, -0.2)</f>
        <v>-0.2</v>
      </c>
    </row>
    <row r="405" spans="2:18" x14ac:dyDescent="0.3">
      <c r="B405" s="16">
        <v>0.70538806873724358</v>
      </c>
      <c r="C405" s="16">
        <f t="shared" si="84"/>
        <v>3.6112854610526018E-2</v>
      </c>
      <c r="D405" s="16">
        <f t="shared" si="80"/>
        <v>2.5203099307384812E-3</v>
      </c>
      <c r="E405" s="16">
        <f t="shared" si="81"/>
        <v>-8.5546770625887676E-3</v>
      </c>
      <c r="F405" s="16">
        <f t="shared" si="82"/>
        <v>-8.5544683875344758E-3</v>
      </c>
      <c r="G405" s="16" t="str">
        <f t="shared" si="85"/>
        <v xml:space="preserve"> </v>
      </c>
      <c r="H405" s="16" t="str">
        <f t="shared" si="86"/>
        <v xml:space="preserve"> </v>
      </c>
      <c r="I405" s="16" t="str">
        <f t="shared" si="87"/>
        <v xml:space="preserve"> </v>
      </c>
      <c r="J405" s="16">
        <f t="shared" si="83"/>
        <v>2.5203099307384812E-3</v>
      </c>
      <c r="K405" s="16">
        <f t="shared" si="88"/>
        <v>-8.5544683875344758E-3</v>
      </c>
      <c r="L405" s="16">
        <f t="shared" si="89"/>
        <v>0.70569699124259111</v>
      </c>
      <c r="M405" s="16">
        <f t="shared" si="90"/>
        <v>3.8631843199303531E-2</v>
      </c>
      <c r="N405" s="16">
        <f t="shared" si="91"/>
        <v>0.70507914623189605</v>
      </c>
      <c r="O405" s="16">
        <f t="shared" si="92"/>
        <v>-3.3591223337826562E-2</v>
      </c>
      <c r="R405" s="5">
        <f>IF($T$1, J405, -0.2)</f>
        <v>-0.2</v>
      </c>
    </row>
    <row r="406" spans="2:18" x14ac:dyDescent="0.3">
      <c r="B406" s="16">
        <v>0.70839769908359895</v>
      </c>
      <c r="C406" s="16">
        <f t="shared" si="84"/>
        <v>3.5817171265418002E-2</v>
      </c>
      <c r="D406" s="16">
        <f t="shared" si="80"/>
        <v>2.4945635150476434E-3</v>
      </c>
      <c r="E406" s="16">
        <f t="shared" si="81"/>
        <v>-8.5546770625887676E-3</v>
      </c>
      <c r="F406" s="16">
        <f t="shared" si="82"/>
        <v>-8.5544683875344758E-3</v>
      </c>
      <c r="G406" s="16" t="str">
        <f t="shared" si="85"/>
        <v xml:space="preserve"> </v>
      </c>
      <c r="H406" s="16" t="str">
        <f t="shared" si="86"/>
        <v xml:space="preserve"> </v>
      </c>
      <c r="I406" s="16" t="str">
        <f t="shared" si="87"/>
        <v xml:space="preserve"> </v>
      </c>
      <c r="J406" s="16">
        <f t="shared" si="83"/>
        <v>2.4945635150476434E-3</v>
      </c>
      <c r="K406" s="16">
        <f t="shared" si="88"/>
        <v>-8.5544683875344758E-3</v>
      </c>
      <c r="L406" s="16">
        <f t="shared" si="89"/>
        <v>0.70870409220596786</v>
      </c>
      <c r="M406" s="16">
        <f t="shared" si="90"/>
        <v>3.8310424257334011E-2</v>
      </c>
      <c r="N406" s="16">
        <f t="shared" si="91"/>
        <v>0.70809130596123004</v>
      </c>
      <c r="O406" s="16">
        <f t="shared" si="92"/>
        <v>-3.3321297227238728E-2</v>
      </c>
      <c r="R406" s="5">
        <f>IF($T$1, J406, -0.2)</f>
        <v>-0.2</v>
      </c>
    </row>
    <row r="407" spans="2:18" x14ac:dyDescent="0.3">
      <c r="B407" s="16">
        <v>0.71141021897354673</v>
      </c>
      <c r="C407" s="16">
        <f t="shared" si="84"/>
        <v>3.5519949345687286E-2</v>
      </c>
      <c r="D407" s="16">
        <f t="shared" si="80"/>
        <v>2.4687923802445152E-3</v>
      </c>
      <c r="E407" s="16">
        <f t="shared" si="81"/>
        <v>-8.5546770625887676E-3</v>
      </c>
      <c r="F407" s="16">
        <f t="shared" si="82"/>
        <v>-8.5544683875344758E-3</v>
      </c>
      <c r="G407" s="16" t="str">
        <f t="shared" si="85"/>
        <v xml:space="preserve"> </v>
      </c>
      <c r="H407" s="16" t="str">
        <f t="shared" si="86"/>
        <v xml:space="preserve"> </v>
      </c>
      <c r="I407" s="16" t="str">
        <f t="shared" si="87"/>
        <v xml:space="preserve"> </v>
      </c>
      <c r="J407" s="16">
        <f t="shared" si="83"/>
        <v>2.4687923802445152E-3</v>
      </c>
      <c r="K407" s="16">
        <f t="shared" si="88"/>
        <v>-8.5544683875344758E-3</v>
      </c>
      <c r="L407" s="16">
        <f t="shared" si="89"/>
        <v>0.71171406955140959</v>
      </c>
      <c r="M407" s="16">
        <f t="shared" si="90"/>
        <v>3.7987442077924788E-2</v>
      </c>
      <c r="N407" s="16">
        <f t="shared" si="91"/>
        <v>0.71110636839568386</v>
      </c>
      <c r="O407" s="16">
        <f t="shared" si="92"/>
        <v>-3.304985731743576E-2</v>
      </c>
      <c r="R407" s="5">
        <f>IF($T$1, J407, -0.2)</f>
        <v>-0.2</v>
      </c>
    </row>
    <row r="408" spans="2:18" x14ac:dyDescent="0.3">
      <c r="B408" s="16">
        <v>0.71442559855544452</v>
      </c>
      <c r="C408" s="16">
        <f t="shared" si="84"/>
        <v>3.5221192123883971E-2</v>
      </c>
      <c r="D408" s="16">
        <f t="shared" si="80"/>
        <v>2.4429967817002555E-3</v>
      </c>
      <c r="E408" s="16">
        <f t="shared" si="81"/>
        <v>-8.5546770625887676E-3</v>
      </c>
      <c r="F408" s="16">
        <f t="shared" si="82"/>
        <v>-8.5544683875344758E-3</v>
      </c>
      <c r="G408" s="16" t="str">
        <f t="shared" si="85"/>
        <v xml:space="preserve"> </v>
      </c>
      <c r="H408" s="16" t="str">
        <f t="shared" si="86"/>
        <v xml:space="preserve"> </v>
      </c>
      <c r="I408" s="16" t="str">
        <f t="shared" si="87"/>
        <v xml:space="preserve"> </v>
      </c>
      <c r="J408" s="16">
        <f t="shared" si="83"/>
        <v>2.4429967817002555E-3</v>
      </c>
      <c r="K408" s="16">
        <f t="shared" si="88"/>
        <v>-8.5544683875344758E-3</v>
      </c>
      <c r="L408" s="16">
        <f t="shared" si="89"/>
        <v>0.71472689345526852</v>
      </c>
      <c r="M408" s="16">
        <f t="shared" si="90"/>
        <v>3.7662900188877371E-2</v>
      </c>
      <c r="N408" s="16">
        <f t="shared" si="91"/>
        <v>0.71412430365562052</v>
      </c>
      <c r="O408" s="16">
        <f t="shared" si="92"/>
        <v>-3.2776906625476859E-2</v>
      </c>
      <c r="R408" s="5">
        <f>IF($T$1, J408, -0.2)</f>
        <v>-0.2</v>
      </c>
    </row>
    <row r="409" spans="2:18" x14ac:dyDescent="0.3">
      <c r="B409" s="16">
        <v>0.71744380794931262</v>
      </c>
      <c r="C409" s="16">
        <f t="shared" si="84"/>
        <v>3.4920902777488529E-2</v>
      </c>
      <c r="D409" s="16">
        <f t="shared" si="80"/>
        <v>2.4171769750284421E-3</v>
      </c>
      <c r="E409" s="16">
        <f t="shared" si="81"/>
        <v>-8.5546770625887676E-3</v>
      </c>
      <c r="F409" s="16">
        <f t="shared" si="82"/>
        <v>-8.5544683875344758E-3</v>
      </c>
      <c r="G409" s="16" t="str">
        <f t="shared" si="85"/>
        <v xml:space="preserve"> </v>
      </c>
      <c r="H409" s="16" t="str">
        <f t="shared" si="86"/>
        <v xml:space="preserve"> </v>
      </c>
      <c r="I409" s="16" t="str">
        <f t="shared" si="87"/>
        <v xml:space="preserve"> </v>
      </c>
      <c r="J409" s="16">
        <f t="shared" si="83"/>
        <v>2.4171769750284421E-3</v>
      </c>
      <c r="K409" s="16">
        <f t="shared" si="88"/>
        <v>-8.5544683875344758E-3</v>
      </c>
      <c r="L409" s="16">
        <f t="shared" si="89"/>
        <v>0.7177425340647462</v>
      </c>
      <c r="M409" s="16">
        <f t="shared" si="90"/>
        <v>3.7336802023169552E-2</v>
      </c>
      <c r="N409" s="16">
        <f t="shared" si="91"/>
        <v>0.71714508183387904</v>
      </c>
      <c r="O409" s="16">
        <f t="shared" si="92"/>
        <v>-3.2502448073112672E-2</v>
      </c>
      <c r="R409" s="5">
        <f>IF($T$1, J409, -0.2)</f>
        <v>-0.2</v>
      </c>
    </row>
    <row r="410" spans="2:18" x14ac:dyDescent="0.3">
      <c r="B410" s="16">
        <v>0.72046481724713085</v>
      </c>
      <c r="C410" s="16">
        <f t="shared" si="84"/>
        <v>3.4619084387837534E-2</v>
      </c>
      <c r="D410" s="16">
        <f t="shared" si="80"/>
        <v>2.3913332160825289E-3</v>
      </c>
      <c r="E410" s="16">
        <f t="shared" si="81"/>
        <v>-8.5546770625887676E-3</v>
      </c>
      <c r="F410" s="16">
        <f t="shared" si="82"/>
        <v>-8.5544683875344758E-3</v>
      </c>
      <c r="G410" s="16" t="str">
        <f t="shared" si="85"/>
        <v xml:space="preserve"> </v>
      </c>
      <c r="H410" s="16" t="str">
        <f t="shared" si="86"/>
        <v xml:space="preserve"> </v>
      </c>
      <c r="I410" s="16" t="str">
        <f t="shared" si="87"/>
        <v xml:space="preserve"> </v>
      </c>
      <c r="J410" s="16">
        <f t="shared" si="83"/>
        <v>2.3913332160825289E-3</v>
      </c>
      <c r="K410" s="16">
        <f t="shared" si="88"/>
        <v>-8.5544683875344758E-3</v>
      </c>
      <c r="L410" s="16">
        <f t="shared" si="89"/>
        <v>0.72076096149818125</v>
      </c>
      <c r="M410" s="16">
        <f t="shared" si="90"/>
        <v>3.7009150917878611E-2</v>
      </c>
      <c r="N410" s="16">
        <f t="shared" si="91"/>
        <v>0.72016867299608045</v>
      </c>
      <c r="O410" s="16">
        <f t="shared" si="92"/>
        <v>-3.2226484485713552E-2</v>
      </c>
      <c r="R410" s="5">
        <f>IF($T$1, J410, -0.2)</f>
        <v>-0.2</v>
      </c>
    </row>
    <row r="411" spans="2:18" x14ac:dyDescent="0.3">
      <c r="B411" s="16">
        <v>0.72348859651313369</v>
      </c>
      <c r="C411" s="16">
        <f t="shared" si="84"/>
        <v>3.4315739939068834E-2</v>
      </c>
      <c r="D411" s="16">
        <f t="shared" si="80"/>
        <v>2.3654657609533231E-3</v>
      </c>
      <c r="E411" s="16">
        <f t="shared" si="81"/>
        <v>-8.5546770625887676E-3</v>
      </c>
      <c r="F411" s="16">
        <f t="shared" si="82"/>
        <v>-8.5544683875344758E-3</v>
      </c>
      <c r="G411" s="16" t="str">
        <f t="shared" si="85"/>
        <v xml:space="preserve"> </v>
      </c>
      <c r="H411" s="16" t="str">
        <f t="shared" si="86"/>
        <v xml:space="preserve"> </v>
      </c>
      <c r="I411" s="16" t="str">
        <f t="shared" si="87"/>
        <v xml:space="preserve"> </v>
      </c>
      <c r="J411" s="16">
        <f t="shared" si="83"/>
        <v>2.3654657609533231E-3</v>
      </c>
      <c r="K411" s="16">
        <f t="shared" si="88"/>
        <v>-8.5544683875344758E-3</v>
      </c>
      <c r="L411" s="16">
        <f t="shared" si="89"/>
        <v>0.72378214584533573</v>
      </c>
      <c r="M411" s="16">
        <f t="shared" si="90"/>
        <v>3.6679950113124027E-2</v>
      </c>
      <c r="N411" s="16">
        <f t="shared" si="91"/>
        <v>0.72319504718093164</v>
      </c>
      <c r="O411" s="16">
        <f t="shared" si="92"/>
        <v>-3.1949018591217376E-2</v>
      </c>
      <c r="R411" s="5">
        <f>IF($T$1, J411, -0.2)</f>
        <v>-0.2</v>
      </c>
    </row>
    <row r="412" spans="2:18" x14ac:dyDescent="0.3">
      <c r="B412" s="16">
        <v>0.72651511578410766</v>
      </c>
      <c r="C412" s="16">
        <f t="shared" si="84"/>
        <v>3.4010872317085356E-2</v>
      </c>
      <c r="D412" s="16">
        <f t="shared" si="80"/>
        <v>2.3395748659664393E-3</v>
      </c>
      <c r="E412" s="16">
        <f t="shared" si="81"/>
        <v>-8.5546770625887676E-3</v>
      </c>
      <c r="F412" s="16">
        <f t="shared" si="82"/>
        <v>-8.5544683875344758E-3</v>
      </c>
      <c r="G412" s="16" t="str">
        <f t="shared" si="85"/>
        <v xml:space="preserve"> </v>
      </c>
      <c r="H412" s="16" t="str">
        <f t="shared" si="86"/>
        <v xml:space="preserve"> </v>
      </c>
      <c r="I412" s="16" t="str">
        <f t="shared" si="87"/>
        <v xml:space="preserve"> </v>
      </c>
      <c r="J412" s="16">
        <f t="shared" si="83"/>
        <v>2.3395748659664393E-3</v>
      </c>
      <c r="K412" s="16">
        <f t="shared" si="88"/>
        <v>-8.5544683875344758E-3</v>
      </c>
      <c r="L412" s="16">
        <f t="shared" si="89"/>
        <v>0.72680605716768321</v>
      </c>
      <c r="M412" s="16">
        <f t="shared" si="90"/>
        <v>3.6349202751028729E-2</v>
      </c>
      <c r="N412" s="16">
        <f t="shared" si="91"/>
        <v>0.72622417440053211</v>
      </c>
      <c r="O412" s="16">
        <f t="shared" si="92"/>
        <v>-3.1670053019095847E-2</v>
      </c>
      <c r="R412" s="5">
        <f>IF($T$1, J412, -0.2)</f>
        <v>-0.2</v>
      </c>
    </row>
    <row r="413" spans="2:18" x14ac:dyDescent="0.3">
      <c r="B413" s="16">
        <v>0.72954434506968779</v>
      </c>
      <c r="C413" s="16">
        <f t="shared" si="84"/>
        <v>3.3704484308538098E-2</v>
      </c>
      <c r="D413" s="16">
        <f t="shared" si="80"/>
        <v>2.3136607876797647E-3</v>
      </c>
      <c r="E413" s="16">
        <f t="shared" si="81"/>
        <v>-8.5546770625887676E-3</v>
      </c>
      <c r="F413" s="16">
        <f t="shared" si="82"/>
        <v>-8.5544683875344758E-3</v>
      </c>
      <c r="G413" s="16" t="str">
        <f t="shared" si="85"/>
        <v xml:space="preserve"> </v>
      </c>
      <c r="H413" s="16" t="str">
        <f t="shared" si="86"/>
        <v xml:space="preserve"> </v>
      </c>
      <c r="I413" s="16" t="str">
        <f t="shared" si="87"/>
        <v xml:space="preserve"> </v>
      </c>
      <c r="J413" s="16">
        <f t="shared" si="83"/>
        <v>2.3136607876797647E-3</v>
      </c>
      <c r="K413" s="16">
        <f t="shared" si="88"/>
        <v>-8.5544683875344758E-3</v>
      </c>
      <c r="L413" s="16">
        <f t="shared" si="89"/>
        <v>0.72983266549869663</v>
      </c>
      <c r="M413" s="16">
        <f t="shared" si="90"/>
        <v>3.6016911874699652E-2</v>
      </c>
      <c r="N413" s="16">
        <f t="shared" si="91"/>
        <v>0.72925602464067896</v>
      </c>
      <c r="O413" s="16">
        <f t="shared" si="92"/>
        <v>-3.1389590299340124E-2</v>
      </c>
      <c r="R413" s="5">
        <f>IF($T$1, J413, -0.2)</f>
        <v>-0.2</v>
      </c>
    </row>
    <row r="414" spans="2:18" x14ac:dyDescent="0.3">
      <c r="B414" s="16">
        <v>0.73257625435265572</v>
      </c>
      <c r="C414" s="16">
        <f t="shared" si="84"/>
        <v>3.339657859982869E-2</v>
      </c>
      <c r="D414" s="16">
        <f t="shared" si="80"/>
        <v>2.2877237828809087E-3</v>
      </c>
      <c r="E414" s="16">
        <f t="shared" si="81"/>
        <v>-8.5546770625887676E-3</v>
      </c>
      <c r="F414" s="16">
        <f t="shared" si="82"/>
        <v>-8.5544683875344758E-3</v>
      </c>
      <c r="G414" s="16" t="str">
        <f t="shared" si="85"/>
        <v xml:space="preserve"> </v>
      </c>
      <c r="H414" s="16" t="str">
        <f t="shared" si="86"/>
        <v xml:space="preserve"> </v>
      </c>
      <c r="I414" s="16" t="str">
        <f t="shared" si="87"/>
        <v xml:space="preserve"> </v>
      </c>
      <c r="J414" s="16">
        <f t="shared" si="83"/>
        <v>2.2877237828809087E-3</v>
      </c>
      <c r="K414" s="16">
        <f t="shared" si="88"/>
        <v>-8.5544683875344758E-3</v>
      </c>
      <c r="L414" s="16">
        <f t="shared" si="89"/>
        <v>0.73286194084413814</v>
      </c>
      <c r="M414" s="16">
        <f t="shared" si="90"/>
        <v>3.5683080427227745E-2</v>
      </c>
      <c r="N414" s="16">
        <f t="shared" si="91"/>
        <v>0.7322905678611733</v>
      </c>
      <c r="O414" s="16">
        <f t="shared" si="92"/>
        <v>-3.1107632861465926E-2</v>
      </c>
      <c r="R414" s="5">
        <f>IF($T$1, J414, -0.2)</f>
        <v>-0.2</v>
      </c>
    </row>
    <row r="415" spans="2:18" x14ac:dyDescent="0.3">
      <c r="B415" s="16">
        <v>0.73561081358923541</v>
      </c>
      <c r="C415" s="16">
        <f t="shared" si="84"/>
        <v>3.308715777613154E-2</v>
      </c>
      <c r="D415" s="16">
        <f t="shared" si="80"/>
        <v>2.2617641085846737E-3</v>
      </c>
      <c r="E415" s="16">
        <f t="shared" si="81"/>
        <v>-8.5546770625887676E-3</v>
      </c>
      <c r="F415" s="16">
        <f t="shared" si="82"/>
        <v>-8.5544683875344758E-3</v>
      </c>
      <c r="G415" s="16" t="str">
        <f t="shared" si="85"/>
        <v xml:space="preserve"> </v>
      </c>
      <c r="H415" s="16" t="str">
        <f t="shared" si="86"/>
        <v xml:space="preserve"> </v>
      </c>
      <c r="I415" s="16" t="str">
        <f t="shared" si="87"/>
        <v xml:space="preserve"> </v>
      </c>
      <c r="J415" s="16">
        <f t="shared" si="83"/>
        <v>2.2617641085846737E-3</v>
      </c>
      <c r="K415" s="16">
        <f t="shared" si="88"/>
        <v>-8.5544683875344758E-3</v>
      </c>
      <c r="L415" s="16">
        <f t="shared" si="89"/>
        <v>0.73589385318234612</v>
      </c>
      <c r="M415" s="16">
        <f t="shared" si="90"/>
        <v>3.5347711250707625E-2</v>
      </c>
      <c r="N415" s="16">
        <f t="shared" si="91"/>
        <v>0.7353277739961247</v>
      </c>
      <c r="O415" s="16">
        <f t="shared" si="92"/>
        <v>-3.0824183033538274E-2</v>
      </c>
      <c r="R415" s="5">
        <f>IF($T$1, J415, -0.2)</f>
        <v>-0.2</v>
      </c>
    </row>
    <row r="416" spans="2:18" x14ac:dyDescent="0.3">
      <c r="B416" s="16">
        <v>0.7386479927093933</v>
      </c>
      <c r="C416" s="16">
        <f t="shared" si="84"/>
        <v>3.2776224320435976E-2</v>
      </c>
      <c r="D416" s="16">
        <f t="shared" si="80"/>
        <v>2.2357820220304855E-3</v>
      </c>
      <c r="E416" s="16">
        <f t="shared" si="81"/>
        <v>-8.5546770625887676E-3</v>
      </c>
      <c r="F416" s="16">
        <f t="shared" si="82"/>
        <v>-8.5544683875344758E-3</v>
      </c>
      <c r="G416" s="16" t="str">
        <f t="shared" si="85"/>
        <v xml:space="preserve"> </v>
      </c>
      <c r="H416" s="16" t="str">
        <f t="shared" si="86"/>
        <v xml:space="preserve"> </v>
      </c>
      <c r="I416" s="16" t="str">
        <f t="shared" si="87"/>
        <v xml:space="preserve"> </v>
      </c>
      <c r="J416" s="16">
        <f t="shared" si="83"/>
        <v>2.2357820220304855E-3</v>
      </c>
      <c r="K416" s="16">
        <f t="shared" si="88"/>
        <v>-8.5544683875344758E-3</v>
      </c>
      <c r="L416" s="16">
        <f t="shared" si="89"/>
        <v>0.73892837246452758</v>
      </c>
      <c r="M416" s="16">
        <f t="shared" si="90"/>
        <v>3.5010807085277193E-2</v>
      </c>
      <c r="N416" s="16">
        <f t="shared" si="91"/>
        <v>0.73836761295425901</v>
      </c>
      <c r="O416" s="16">
        <f t="shared" si="92"/>
        <v>-3.0539243041216219E-2</v>
      </c>
      <c r="R416" s="5">
        <f>IF($T$1, J416, -0.2)</f>
        <v>-0.2</v>
      </c>
    </row>
    <row r="417" spans="2:18" x14ac:dyDescent="0.3">
      <c r="B417" s="16">
        <v>0.74168776161713368</v>
      </c>
      <c r="C417" s="16">
        <f t="shared" si="84"/>
        <v>3.2463780612608795E-2</v>
      </c>
      <c r="D417" s="16">
        <f t="shared" si="80"/>
        <v>2.2097777806798684E-3</v>
      </c>
      <c r="E417" s="16">
        <f t="shared" si="81"/>
        <v>-8.5546770625887676E-3</v>
      </c>
      <c r="F417" s="16">
        <f t="shared" si="82"/>
        <v>-8.5544683875344758E-3</v>
      </c>
      <c r="G417" s="16" t="str">
        <f t="shared" si="85"/>
        <v xml:space="preserve"> </v>
      </c>
      <c r="H417" s="16" t="str">
        <f t="shared" si="86"/>
        <v xml:space="preserve"> </v>
      </c>
      <c r="I417" s="16" t="str">
        <f t="shared" si="87"/>
        <v xml:space="preserve"> </v>
      </c>
      <c r="J417" s="16">
        <f t="shared" si="83"/>
        <v>2.2097777806798684E-3</v>
      </c>
      <c r="K417" s="16">
        <f t="shared" si="88"/>
        <v>-8.5544683875344758E-3</v>
      </c>
      <c r="L417" s="16">
        <f t="shared" si="89"/>
        <v>0.74196546861504509</v>
      </c>
      <c r="M417" s="16">
        <f t="shared" si="90"/>
        <v>3.4672370568177693E-2</v>
      </c>
      <c r="N417" s="16">
        <f t="shared" si="91"/>
        <v>0.74141005461922227</v>
      </c>
      <c r="O417" s="16">
        <f t="shared" si="92"/>
        <v>-3.0252815006817955E-2</v>
      </c>
      <c r="R417" s="5">
        <f>IF($T$1, J417, -0.2)</f>
        <v>-0.2</v>
      </c>
    </row>
    <row r="418" spans="2:18" x14ac:dyDescent="0.3">
      <c r="B418" s="16">
        <v>0.7447300901907985</v>
      </c>
      <c r="C418" s="16">
        <f t="shared" si="84"/>
        <v>3.2149828928476766E-2</v>
      </c>
      <c r="D418" s="16">
        <f t="shared" si="80"/>
        <v>2.1837516422138796E-3</v>
      </c>
      <c r="E418" s="16">
        <f t="shared" si="81"/>
        <v>-8.5546770625887676E-3</v>
      </c>
      <c r="F418" s="16">
        <f t="shared" si="82"/>
        <v>-8.5544683875344758E-3</v>
      </c>
      <c r="G418" s="16" t="str">
        <f t="shared" si="85"/>
        <v xml:space="preserve"> </v>
      </c>
      <c r="H418" s="16" t="str">
        <f t="shared" si="86"/>
        <v xml:space="preserve"> </v>
      </c>
      <c r="I418" s="16" t="str">
        <f t="shared" si="87"/>
        <v xml:space="preserve"> </v>
      </c>
      <c r="J418" s="16">
        <f t="shared" si="83"/>
        <v>2.1837516422138796E-3</v>
      </c>
      <c r="K418" s="16">
        <f t="shared" si="88"/>
        <v>-8.5544683875344758E-3</v>
      </c>
      <c r="L418" s="16">
        <f t="shared" si="89"/>
        <v>0.74500511153170856</v>
      </c>
      <c r="M418" s="16">
        <f t="shared" si="90"/>
        <v>3.4332404232833687E-2</v>
      </c>
      <c r="N418" s="16">
        <f t="shared" si="91"/>
        <v>0.74445506884988843</v>
      </c>
      <c r="O418" s="16">
        <f t="shared" si="92"/>
        <v>-2.9964900948405929E-2</v>
      </c>
      <c r="R418" s="5">
        <f>IF($T$1, J418, -0.2)</f>
        <v>-0.2</v>
      </c>
    </row>
    <row r="419" spans="2:18" x14ac:dyDescent="0.3">
      <c r="B419" s="16">
        <v>0.74777494828336577</v>
      </c>
      <c r="C419" s="16">
        <f t="shared" si="84"/>
        <v>3.1834371438930247E-2</v>
      </c>
      <c r="D419" s="16">
        <f t="shared" si="80"/>
        <v>2.1577038645305565E-3</v>
      </c>
      <c r="E419" s="16">
        <f t="shared" si="81"/>
        <v>-8.5546770625887676E-3</v>
      </c>
      <c r="F419" s="16">
        <f t="shared" si="82"/>
        <v>-8.5544683875344758E-3</v>
      </c>
      <c r="G419" s="16" t="str">
        <f t="shared" si="85"/>
        <v xml:space="preserve"> </v>
      </c>
      <c r="H419" s="16" t="str">
        <f t="shared" si="86"/>
        <v xml:space="preserve"> </v>
      </c>
      <c r="I419" s="16" t="str">
        <f t="shared" si="87"/>
        <v xml:space="preserve"> </v>
      </c>
      <c r="J419" s="16">
        <f t="shared" si="83"/>
        <v>2.1577038645305565E-3</v>
      </c>
      <c r="K419" s="16">
        <f t="shared" si="88"/>
        <v>-8.5544683875344758E-3</v>
      </c>
      <c r="L419" s="16">
        <f t="shared" si="89"/>
        <v>0.74804727108606694</v>
      </c>
      <c r="M419" s="16">
        <f t="shared" si="90"/>
        <v>3.3990910507954129E-2</v>
      </c>
      <c r="N419" s="16">
        <f t="shared" si="91"/>
        <v>0.7475026254806646</v>
      </c>
      <c r="O419" s="16">
        <f t="shared" si="92"/>
        <v>-2.9675502778893019E-2</v>
      </c>
      <c r="R419" s="5">
        <f>IF($T$1, J419, -0.2)</f>
        <v>-0.2</v>
      </c>
    </row>
    <row r="420" spans="2:18" x14ac:dyDescent="0.3">
      <c r="B420" s="16">
        <v>0.75082230572274766</v>
      </c>
      <c r="C420" s="16">
        <f t="shared" si="84"/>
        <v>3.1517410209047685E-2</v>
      </c>
      <c r="D420" s="16">
        <f t="shared" si="80"/>
        <v>2.1316347057423672E-3</v>
      </c>
      <c r="E420" s="16">
        <f t="shared" si="81"/>
        <v>-8.5546770625887676E-3</v>
      </c>
      <c r="F420" s="16">
        <f t="shared" si="82"/>
        <v>-8.5544683875344758E-3</v>
      </c>
      <c r="G420" s="16" t="str">
        <f t="shared" si="85"/>
        <v xml:space="preserve"> </v>
      </c>
      <c r="H420" s="16" t="str">
        <f t="shared" si="86"/>
        <v xml:space="preserve"> </v>
      </c>
      <c r="I420" s="16" t="str">
        <f t="shared" si="87"/>
        <v xml:space="preserve"> </v>
      </c>
      <c r="J420" s="16">
        <f t="shared" si="83"/>
        <v>2.1316347057423672E-3</v>
      </c>
      <c r="K420" s="16">
        <f t="shared" si="88"/>
        <v>-8.5544683875344758E-3</v>
      </c>
      <c r="L420" s="16">
        <f t="shared" si="89"/>
        <v>0.75109191712369761</v>
      </c>
      <c r="M420" s="16">
        <f t="shared" si="90"/>
        <v>3.3647891716654388E-2</v>
      </c>
      <c r="N420" s="16">
        <f t="shared" si="91"/>
        <v>0.75055269432179772</v>
      </c>
      <c r="O420" s="16">
        <f t="shared" si="92"/>
        <v>-2.9384622305169653E-2</v>
      </c>
      <c r="R420" s="5">
        <f>IF($T$1, J420, -0.2)</f>
        <v>-0.2</v>
      </c>
    </row>
    <row r="421" spans="2:18" x14ac:dyDescent="0.3">
      <c r="B421" s="16">
        <v>0.75387213231209049</v>
      </c>
      <c r="C421" s="16">
        <f t="shared" si="84"/>
        <v>3.1198947197240725E-2</v>
      </c>
      <c r="D421" s="16">
        <f t="shared" si="80"/>
        <v>2.1055444241736424E-3</v>
      </c>
      <c r="E421" s="16">
        <f t="shared" si="81"/>
        <v>-8.5546770625887676E-3</v>
      </c>
      <c r="F421" s="16">
        <f t="shared" si="82"/>
        <v>-8.5544683875344758E-3</v>
      </c>
      <c r="G421" s="16" t="str">
        <f t="shared" si="85"/>
        <v xml:space="preserve"> </v>
      </c>
      <c r="H421" s="16" t="str">
        <f t="shared" si="86"/>
        <v xml:space="preserve"> </v>
      </c>
      <c r="I421" s="16" t="str">
        <f t="shared" si="87"/>
        <v xml:space="preserve"> </v>
      </c>
      <c r="J421" s="16">
        <f t="shared" si="83"/>
        <v>2.1055444241736424E-3</v>
      </c>
      <c r="K421" s="16">
        <f t="shared" si="88"/>
        <v>-8.5544683875344758E-3</v>
      </c>
      <c r="L421" s="16">
        <f t="shared" si="89"/>
        <v>0.75413901946449979</v>
      </c>
      <c r="M421" s="16">
        <f t="shared" si="90"/>
        <v>3.3303350075598773E-2</v>
      </c>
      <c r="N421" s="16">
        <f t="shared" si="91"/>
        <v>0.75360524515968119</v>
      </c>
      <c r="O421" s="16">
        <f t="shared" si="92"/>
        <v>-2.909226122725149E-2</v>
      </c>
      <c r="R421" s="5">
        <f>IF($T$1, J421, -0.2)</f>
        <v>-0.2</v>
      </c>
    </row>
    <row r="422" spans="2:18" x14ac:dyDescent="0.3">
      <c r="B422" s="16">
        <v>0.75692439783007204</v>
      </c>
      <c r="C422" s="16">
        <f t="shared" si="84"/>
        <v>3.0878984254421513E-2</v>
      </c>
      <c r="D422" s="16">
        <f t="shared" si="80"/>
        <v>2.0794332783580353E-3</v>
      </c>
      <c r="E422" s="16">
        <f t="shared" si="81"/>
        <v>-8.5546770625887676E-3</v>
      </c>
      <c r="F422" s="16">
        <f t="shared" si="82"/>
        <v>-8.5544683875344758E-3</v>
      </c>
      <c r="G422" s="16" t="str">
        <f t="shared" si="85"/>
        <v xml:space="preserve"> </v>
      </c>
      <c r="H422" s="16" t="str">
        <f t="shared" si="86"/>
        <v xml:space="preserve"> </v>
      </c>
      <c r="I422" s="16" t="str">
        <f t="shared" si="87"/>
        <v xml:space="preserve"> </v>
      </c>
      <c r="J422" s="16">
        <f t="shared" si="83"/>
        <v>2.0794332783580353E-3</v>
      </c>
      <c r="K422" s="16">
        <f t="shared" si="88"/>
        <v>-8.5544683875344758E-3</v>
      </c>
      <c r="L422" s="16">
        <f t="shared" si="89"/>
        <v>0.75718854790298495</v>
      </c>
      <c r="M422" s="16">
        <f t="shared" si="90"/>
        <v>3.2957287694165359E-2</v>
      </c>
      <c r="N422" s="16">
        <f t="shared" si="91"/>
        <v>0.75666024775715912</v>
      </c>
      <c r="O422" s="16">
        <f t="shared" si="92"/>
        <v>-2.8798421137449289E-2</v>
      </c>
      <c r="R422" s="5">
        <f>IF($T$1, J422, -0.2)</f>
        <v>-0.2</v>
      </c>
    </row>
    <row r="423" spans="2:18" x14ac:dyDescent="0.3">
      <c r="B423" s="16">
        <v>0.75997907203120352</v>
      </c>
      <c r="C423" s="16">
        <f t="shared" si="84"/>
        <v>3.0557523123190825E-2</v>
      </c>
      <c r="D423" s="16">
        <f t="shared" si="80"/>
        <v>2.053301527035934E-3</v>
      </c>
      <c r="E423" s="16">
        <f t="shared" si="81"/>
        <v>-8.5546770625887676E-3</v>
      </c>
      <c r="F423" s="16">
        <f t="shared" si="82"/>
        <v>-8.5544683875344758E-3</v>
      </c>
      <c r="G423" s="16" t="str">
        <f t="shared" si="85"/>
        <v xml:space="preserve"> </v>
      </c>
      <c r="H423" s="16" t="str">
        <f t="shared" si="86"/>
        <v xml:space="preserve"> </v>
      </c>
      <c r="I423" s="16" t="str">
        <f t="shared" si="87"/>
        <v xml:space="preserve"> </v>
      </c>
      <c r="J423" s="16">
        <f t="shared" si="83"/>
        <v>2.053301527035934E-3</v>
      </c>
      <c r="K423" s="16">
        <f t="shared" si="88"/>
        <v>-8.5544683875344758E-3</v>
      </c>
      <c r="L423" s="16">
        <f t="shared" si="89"/>
        <v>0.76024047220857083</v>
      </c>
      <c r="M423" s="16">
        <f t="shared" si="90"/>
        <v>3.2609706573631554E-2</v>
      </c>
      <c r="N423" s="16">
        <f t="shared" si="91"/>
        <v>0.75971767185383621</v>
      </c>
      <c r="O423" s="16">
        <f t="shared" si="92"/>
        <v>-2.8503103519559689E-2</v>
      </c>
      <c r="R423" s="5">
        <f>IF($T$1, J423, -0.2)</f>
        <v>-0.2</v>
      </c>
    </row>
    <row r="424" spans="2:18" x14ac:dyDescent="0.3">
      <c r="B424" s="16">
        <v>0.76303612464612713</v>
      </c>
      <c r="C424" s="16">
        <f t="shared" si="84"/>
        <v>3.0234565437048597E-2</v>
      </c>
      <c r="D424" s="16">
        <f t="shared" si="80"/>
        <v>2.02714942915192E-3</v>
      </c>
      <c r="E424" s="16">
        <f t="shared" si="81"/>
        <v>-8.5546770625887676E-3</v>
      </c>
      <c r="F424" s="16">
        <f t="shared" si="82"/>
        <v>-8.5544683875344758E-3</v>
      </c>
      <c r="G424" s="16" t="str">
        <f t="shared" si="85"/>
        <v xml:space="preserve"> </v>
      </c>
      <c r="H424" s="16" t="str">
        <f t="shared" si="86"/>
        <v xml:space="preserve"> </v>
      </c>
      <c r="I424" s="16" t="str">
        <f t="shared" si="87"/>
        <v xml:space="preserve"> </v>
      </c>
      <c r="J424" s="16">
        <f t="shared" si="83"/>
        <v>2.02714942915192E-3</v>
      </c>
      <c r="K424" s="16">
        <f t="shared" si="88"/>
        <v>-8.5544683875344758E-3</v>
      </c>
      <c r="L424" s="16">
        <f t="shared" si="89"/>
        <v>0.76329476212587333</v>
      </c>
      <c r="M424" s="16">
        <f t="shared" si="90"/>
        <v>3.2260608606382107E-2</v>
      </c>
      <c r="N424" s="16">
        <f t="shared" si="91"/>
        <v>0.76277748716638094</v>
      </c>
      <c r="O424" s="16">
        <f t="shared" si="92"/>
        <v>-2.8206309748078265E-2</v>
      </c>
      <c r="R424" s="5">
        <f>IF($T$1, J424, -0.2)</f>
        <v>-0.2</v>
      </c>
    </row>
    <row r="425" spans="2:18" x14ac:dyDescent="0.3">
      <c r="B425" s="16">
        <v>0.76609552538191783</v>
      </c>
      <c r="C425" s="16">
        <f t="shared" si="84"/>
        <v>2.9910112719625865E-2</v>
      </c>
      <c r="D425" s="16">
        <f t="shared" si="80"/>
        <v>2.0009772438521842E-3</v>
      </c>
      <c r="E425" s="16">
        <f t="shared" si="81"/>
        <v>-8.5546770625887676E-3</v>
      </c>
      <c r="F425" s="16">
        <f t="shared" si="82"/>
        <v>-8.5544683875344758E-3</v>
      </c>
      <c r="G425" s="16" t="str">
        <f t="shared" si="85"/>
        <v xml:space="preserve"> </v>
      </c>
      <c r="H425" s="16" t="str">
        <f t="shared" si="86"/>
        <v xml:space="preserve"> </v>
      </c>
      <c r="I425" s="16" t="str">
        <f t="shared" si="87"/>
        <v xml:space="preserve"> </v>
      </c>
      <c r="J425" s="16">
        <f t="shared" si="83"/>
        <v>2.0009772438521842E-3</v>
      </c>
      <c r="K425" s="16">
        <f t="shared" si="88"/>
        <v>-8.5544683875344758E-3</v>
      </c>
      <c r="L425" s="16">
        <f t="shared" si="89"/>
        <v>0.76635138737500108</v>
      </c>
      <c r="M425" s="16">
        <f t="shared" si="90"/>
        <v>3.1909995575138496E-2</v>
      </c>
      <c r="N425" s="16">
        <f t="shared" si="91"/>
        <v>0.76583966338883458</v>
      </c>
      <c r="O425" s="16">
        <f t="shared" si="92"/>
        <v>-2.7908041087434124E-2</v>
      </c>
      <c r="R425" s="5">
        <f>IF($T$1, J425, -0.2)</f>
        <v>-0.2</v>
      </c>
    </row>
    <row r="426" spans="2:18" x14ac:dyDescent="0.3">
      <c r="B426" s="16">
        <v>0.76915724392238149</v>
      </c>
      <c r="C426" s="16">
        <f t="shared" si="84"/>
        <v>2.9584166383939729E-2</v>
      </c>
      <c r="D426" s="16">
        <f t="shared" si="80"/>
        <v>1.974785230481977E-3</v>
      </c>
      <c r="E426" s="16">
        <f t="shared" si="81"/>
        <v>-8.5546770625887676E-3</v>
      </c>
      <c r="F426" s="16">
        <f t="shared" si="82"/>
        <v>-8.5544683875344758E-3</v>
      </c>
      <c r="G426" s="16" t="str">
        <f t="shared" si="85"/>
        <v xml:space="preserve"> </v>
      </c>
      <c r="H426" s="16" t="str">
        <f t="shared" si="86"/>
        <v xml:space="preserve"> </v>
      </c>
      <c r="I426" s="16" t="str">
        <f t="shared" si="87"/>
        <v xml:space="preserve"> </v>
      </c>
      <c r="J426" s="16">
        <f t="shared" si="83"/>
        <v>1.974785230481977E-3</v>
      </c>
      <c r="K426" s="16">
        <f t="shared" si="88"/>
        <v>-8.5544683875344758E-3</v>
      </c>
      <c r="L426" s="16">
        <f t="shared" si="89"/>
        <v>0.76941031765184731</v>
      </c>
      <c r="M426" s="16">
        <f t="shared" si="90"/>
        <v>3.1557869152211364E-2</v>
      </c>
      <c r="N426" s="16">
        <f t="shared" si="91"/>
        <v>0.76890417019291568</v>
      </c>
      <c r="O426" s="16">
        <f t="shared" si="92"/>
        <v>-2.760829869124741E-2</v>
      </c>
      <c r="R426" s="5">
        <f>IF($T$1, J426, -0.2)</f>
        <v>-0.2</v>
      </c>
    </row>
    <row r="427" spans="2:18" x14ac:dyDescent="0.3">
      <c r="B427" s="16">
        <v>0.77222124992835761</v>
      </c>
      <c r="C427" s="16">
        <f t="shared" si="84"/>
        <v>2.9256727731669936E-2</v>
      </c>
      <c r="D427" s="16">
        <f t="shared" si="80"/>
        <v>1.9485736485830188E-3</v>
      </c>
      <c r="E427" s="16">
        <f t="shared" si="81"/>
        <v>-8.5546770625887676E-3</v>
      </c>
      <c r="F427" s="16">
        <f t="shared" si="82"/>
        <v>-8.5544683875344758E-3</v>
      </c>
      <c r="G427" s="16" t="str">
        <f t="shared" si="85"/>
        <v xml:space="preserve"> </v>
      </c>
      <c r="H427" s="16" t="str">
        <f t="shared" si="86"/>
        <v xml:space="preserve"> </v>
      </c>
      <c r="I427" s="16" t="str">
        <f t="shared" si="87"/>
        <v xml:space="preserve"> </v>
      </c>
      <c r="J427" s="16">
        <f t="shared" si="83"/>
        <v>1.9485736485830188E-3</v>
      </c>
      <c r="K427" s="16">
        <f t="shared" si="88"/>
        <v>-8.5544683875344758E-3</v>
      </c>
      <c r="L427" s="16">
        <f t="shared" si="89"/>
        <v>0.77247152262838681</v>
      </c>
      <c r="M427" s="16">
        <f t="shared" si="90"/>
        <v>3.1204230898774561E-2</v>
      </c>
      <c r="N427" s="16">
        <f t="shared" si="91"/>
        <v>0.77197097722832841</v>
      </c>
      <c r="O427" s="16">
        <f t="shared" si="92"/>
        <v>-2.7307083601608523E-2</v>
      </c>
      <c r="R427" s="5">
        <f>IF($T$1, J427, -0.2)</f>
        <v>-0.2</v>
      </c>
    </row>
    <row r="428" spans="2:18" x14ac:dyDescent="0.3">
      <c r="B428" s="16">
        <v>0.77528751303801791</v>
      </c>
      <c r="C428" s="16">
        <f t="shared" si="84"/>
        <v>2.8927797952458825E-2</v>
      </c>
      <c r="D428" s="16">
        <f t="shared" si="80"/>
        <v>1.9223427578909458E-3</v>
      </c>
      <c r="E428" s="16">
        <f t="shared" si="81"/>
        <v>-8.5546770625887676E-3</v>
      </c>
      <c r="F428" s="16">
        <f t="shared" si="82"/>
        <v>-8.5544683875344758E-3</v>
      </c>
      <c r="G428" s="16" t="str">
        <f t="shared" si="85"/>
        <v xml:space="preserve"> </v>
      </c>
      <c r="H428" s="16" t="str">
        <f t="shared" si="86"/>
        <v xml:space="preserve"> </v>
      </c>
      <c r="I428" s="16" t="str">
        <f t="shared" si="87"/>
        <v xml:space="preserve"> </v>
      </c>
      <c r="J428" s="16">
        <f t="shared" si="83"/>
        <v>1.9223427578909458E-3</v>
      </c>
      <c r="K428" s="16">
        <f t="shared" si="88"/>
        <v>-8.5544683875344758E-3</v>
      </c>
      <c r="L428" s="16">
        <f t="shared" si="89"/>
        <v>0.77553497195296772</v>
      </c>
      <c r="M428" s="16">
        <f t="shared" si="90"/>
        <v>3.0849082264162525E-2</v>
      </c>
      <c r="N428" s="16">
        <f t="shared" si="91"/>
        <v>0.77504005412306809</v>
      </c>
      <c r="O428" s="16">
        <f t="shared" si="92"/>
        <v>-2.7004396748380635E-2</v>
      </c>
      <c r="R428" s="5">
        <f>IF($T$1, J428, -0.2)</f>
        <v>-0.2</v>
      </c>
    </row>
    <row r="429" spans="2:18" x14ac:dyDescent="0.3">
      <c r="B429" s="16">
        <v>0.77835600286716788</v>
      </c>
      <c r="C429" s="16">
        <f t="shared" si="84"/>
        <v>2.8597378123233704E-2</v>
      </c>
      <c r="D429" s="16">
        <f t="shared" si="80"/>
        <v>1.8960928183327295E-3</v>
      </c>
      <c r="E429" s="16">
        <f t="shared" si="81"/>
        <v>-8.5546770625887676E-3</v>
      </c>
      <c r="F429" s="16">
        <f t="shared" si="82"/>
        <v>-8.5544683875344758E-3</v>
      </c>
      <c r="G429" s="16" t="str">
        <f t="shared" si="85"/>
        <v xml:space="preserve"> </v>
      </c>
      <c r="H429" s="16" t="str">
        <f t="shared" si="86"/>
        <v xml:space="preserve"> </v>
      </c>
      <c r="I429" s="16" t="str">
        <f t="shared" si="87"/>
        <v xml:space="preserve"> </v>
      </c>
      <c r="J429" s="16">
        <f t="shared" si="83"/>
        <v>1.8960928183327295E-3</v>
      </c>
      <c r="K429" s="16">
        <f t="shared" si="88"/>
        <v>-8.5544683875344758E-3</v>
      </c>
      <c r="L429" s="16">
        <f t="shared" si="89"/>
        <v>0.77860063525060796</v>
      </c>
      <c r="M429" s="16">
        <f t="shared" si="90"/>
        <v>3.0492424585190137E-2</v>
      </c>
      <c r="N429" s="16">
        <f t="shared" si="91"/>
        <v>0.7781113704837278</v>
      </c>
      <c r="O429" s="16">
        <f t="shared" si="92"/>
        <v>-2.6700238948524677E-2</v>
      </c>
      <c r="R429" s="5">
        <f>IF($T$1, J429, -0.2)</f>
        <v>-0.2</v>
      </c>
    </row>
    <row r="430" spans="2:18" x14ac:dyDescent="0.3">
      <c r="B430" s="16">
        <v>0.78142668900954892</v>
      </c>
      <c r="C430" s="16">
        <f t="shared" si="84"/>
        <v>2.8265469207552345E-2</v>
      </c>
      <c r="D430" s="16">
        <f t="shared" si="80"/>
        <v>1.8698240900240932E-3</v>
      </c>
      <c r="E430" s="16">
        <f t="shared" si="81"/>
        <v>-8.5546770625887676E-3</v>
      </c>
      <c r="F430" s="16">
        <f t="shared" si="82"/>
        <v>-8.5544683875344758E-3</v>
      </c>
      <c r="G430" s="16" t="str">
        <f t="shared" si="85"/>
        <v xml:space="preserve"> </v>
      </c>
      <c r="H430" s="16" t="str">
        <f t="shared" si="86"/>
        <v xml:space="preserve"> </v>
      </c>
      <c r="I430" s="16" t="str">
        <f t="shared" si="87"/>
        <v xml:space="preserve"> </v>
      </c>
      <c r="J430" s="16">
        <f t="shared" si="83"/>
        <v>1.8698240900240932E-3</v>
      </c>
      <c r="K430" s="16">
        <f t="shared" si="88"/>
        <v>-8.5544683875344758E-3</v>
      </c>
      <c r="L430" s="16">
        <f t="shared" si="89"/>
        <v>0.78166848212329176</v>
      </c>
      <c r="M430" s="16">
        <f t="shared" si="90"/>
        <v>3.0134259085495635E-2</v>
      </c>
      <c r="N430" s="16">
        <f t="shared" si="91"/>
        <v>0.78118489589580609</v>
      </c>
      <c r="O430" s="16">
        <f t="shared" si="92"/>
        <v>-2.6394610905447452E-2</v>
      </c>
      <c r="R430" s="5">
        <f>IF($T$1, J430, -0.2)</f>
        <v>-0.2</v>
      </c>
    </row>
    <row r="431" spans="2:18" x14ac:dyDescent="0.3">
      <c r="B431" s="16">
        <v>0.78449954103713782</v>
      </c>
      <c r="C431" s="16">
        <f t="shared" si="84"/>
        <v>2.7932072054972057E-2</v>
      </c>
      <c r="D431" s="16">
        <f t="shared" si="80"/>
        <v>1.8435368332669492E-3</v>
      </c>
      <c r="E431" s="16">
        <f t="shared" si="81"/>
        <v>-8.5546770625887676E-3</v>
      </c>
      <c r="F431" s="16">
        <f t="shared" si="82"/>
        <v>-8.5544683875344758E-3</v>
      </c>
      <c r="G431" s="16" t="str">
        <f t="shared" si="85"/>
        <v xml:space="preserve"> </v>
      </c>
      <c r="H431" s="16" t="str">
        <f t="shared" si="86"/>
        <v xml:space="preserve"> </v>
      </c>
      <c r="I431" s="16" t="str">
        <f t="shared" si="87"/>
        <v xml:space="preserve"> </v>
      </c>
      <c r="J431" s="16">
        <f t="shared" si="83"/>
        <v>1.8435368332669492E-3</v>
      </c>
      <c r="K431" s="16">
        <f t="shared" si="88"/>
        <v>-8.5544683875344758E-3</v>
      </c>
      <c r="L431" s="16">
        <f t="shared" si="89"/>
        <v>0.78473848215026309</v>
      </c>
      <c r="M431" s="16">
        <f t="shared" si="90"/>
        <v>2.9774586874907156E-2</v>
      </c>
      <c r="N431" s="16">
        <f t="shared" si="91"/>
        <v>0.78426059992401254</v>
      </c>
      <c r="O431" s="16">
        <f t="shared" si="92"/>
        <v>-2.6087513208373259E-2</v>
      </c>
      <c r="R431" s="5">
        <f>IF($T$1, J431, -0.2)</f>
        <v>-0.2</v>
      </c>
    </row>
    <row r="432" spans="2:18" x14ac:dyDescent="0.3">
      <c r="B432" s="16">
        <v>0.78757452850045018</v>
      </c>
      <c r="C432" s="16">
        <f t="shared" si="84"/>
        <v>2.7597187400441769E-2</v>
      </c>
      <c r="D432" s="16">
        <f t="shared" si="80"/>
        <v>1.8172313085468028E-3</v>
      </c>
      <c r="E432" s="16">
        <f t="shared" si="81"/>
        <v>-8.5546770625887676E-3</v>
      </c>
      <c r="F432" s="16">
        <f t="shared" si="82"/>
        <v>-8.5544683875344758E-3</v>
      </c>
      <c r="G432" s="16" t="str">
        <f t="shared" si="85"/>
        <v xml:space="preserve"> </v>
      </c>
      <c r="H432" s="16" t="str">
        <f t="shared" si="86"/>
        <v xml:space="preserve"> </v>
      </c>
      <c r="I432" s="16" t="str">
        <f t="shared" si="87"/>
        <v xml:space="preserve"> </v>
      </c>
      <c r="J432" s="16">
        <f t="shared" si="83"/>
        <v>1.8172313085468028E-3</v>
      </c>
      <c r="K432" s="16">
        <f t="shared" si="88"/>
        <v>-8.5544683875344758E-3</v>
      </c>
      <c r="L432" s="16">
        <f t="shared" si="89"/>
        <v>0.78781060488832466</v>
      </c>
      <c r="M432" s="16">
        <f t="shared" si="90"/>
        <v>2.941340894883224E-2</v>
      </c>
      <c r="N432" s="16">
        <f t="shared" si="91"/>
        <v>0.78733845211257569</v>
      </c>
      <c r="O432" s="16">
        <f t="shared" si="92"/>
        <v>-2.5778946331738637E-2</v>
      </c>
      <c r="R432" s="5">
        <f>IF($T$1, J432, -0.2)</f>
        <v>-0.2</v>
      </c>
    </row>
    <row r="433" spans="2:18" x14ac:dyDescent="0.3">
      <c r="B433" s="16">
        <v>0.79065162092883967</v>
      </c>
      <c r="C433" s="16">
        <f t="shared" si="84"/>
        <v>2.7260815863718174E-2</v>
      </c>
      <c r="D433" s="16">
        <f t="shared" si="80"/>
        <v>1.7909077765301937E-3</v>
      </c>
      <c r="E433" s="16">
        <f t="shared" si="81"/>
        <v>-8.5546770625887676E-3</v>
      </c>
      <c r="F433" s="16">
        <f t="shared" si="82"/>
        <v>-8.5544683875344758E-3</v>
      </c>
      <c r="G433" s="16" t="str">
        <f t="shared" si="85"/>
        <v xml:space="preserve"> </v>
      </c>
      <c r="H433" s="16" t="str">
        <f t="shared" si="86"/>
        <v xml:space="preserve"> </v>
      </c>
      <c r="I433" s="16" t="str">
        <f t="shared" si="87"/>
        <v xml:space="preserve"> </v>
      </c>
      <c r="J433" s="16">
        <f t="shared" si="83"/>
        <v>1.7909077765301937E-3</v>
      </c>
      <c r="K433" s="16">
        <f t="shared" si="88"/>
        <v>-8.5544683875344758E-3</v>
      </c>
      <c r="L433" s="16">
        <f t="shared" si="89"/>
        <v>0.79088481987213177</v>
      </c>
      <c r="M433" s="16">
        <f t="shared" si="90"/>
        <v>2.905072618767145E-2</v>
      </c>
      <c r="N433" s="16">
        <f t="shared" si="91"/>
        <v>0.79041842198554757</v>
      </c>
      <c r="O433" s="16">
        <f t="shared" si="92"/>
        <v>-2.5468910634611066E-2</v>
      </c>
      <c r="R433" s="5">
        <f>IF($T$1, J433, -0.2)</f>
        <v>-0.2</v>
      </c>
    </row>
    <row r="434" spans="2:18" x14ac:dyDescent="0.3">
      <c r="B434" s="16">
        <v>0.79373078783080309</v>
      </c>
      <c r="C434" s="16">
        <f t="shared" si="84"/>
        <v>2.6922957948805309E-2</v>
      </c>
      <c r="D434" s="16">
        <f t="shared" si="80"/>
        <v>1.7645664980620848E-3</v>
      </c>
      <c r="E434" s="16">
        <f t="shared" si="81"/>
        <v>-8.5546770625887676E-3</v>
      </c>
      <c r="F434" s="16">
        <f t="shared" si="82"/>
        <v>-8.5544683875344758E-3</v>
      </c>
      <c r="G434" s="16" t="str">
        <f t="shared" si="85"/>
        <v xml:space="preserve"> </v>
      </c>
      <c r="H434" s="16" t="str">
        <f t="shared" si="86"/>
        <v xml:space="preserve"> </v>
      </c>
      <c r="I434" s="16" t="str">
        <f t="shared" si="87"/>
        <v xml:space="preserve"> </v>
      </c>
      <c r="J434" s="16">
        <f t="shared" si="83"/>
        <v>1.7645664980620848E-3</v>
      </c>
      <c r="K434" s="16">
        <f t="shared" si="88"/>
        <v>-8.5544683875344758E-3</v>
      </c>
      <c r="L434" s="16">
        <f t="shared" si="89"/>
        <v>0.79396109661449266</v>
      </c>
      <c r="M434" s="16">
        <f t="shared" si="90"/>
        <v>2.8686539356255342E-2</v>
      </c>
      <c r="N434" s="16">
        <f t="shared" si="91"/>
        <v>0.79350047904711352</v>
      </c>
      <c r="O434" s="16">
        <f t="shared" si="92"/>
        <v>-2.5157406360131175E-2</v>
      </c>
      <c r="R434" s="5">
        <f>IF($T$1, J434, -0.2)</f>
        <v>-0.2</v>
      </c>
    </row>
    <row r="435" spans="2:18" x14ac:dyDescent="0.3">
      <c r="B435" s="16">
        <v>0.79681199869427966</v>
      </c>
      <c r="C435" s="16">
        <f t="shared" si="84"/>
        <v>2.6583614043418642E-2</v>
      </c>
      <c r="D435" s="16">
        <f t="shared" si="80"/>
        <v>1.7382077341633025E-3</v>
      </c>
      <c r="E435" s="16">
        <f t="shared" si="81"/>
        <v>-8.5546770625887676E-3</v>
      </c>
      <c r="F435" s="16">
        <f t="shared" si="82"/>
        <v>-8.5544683875344758E-3</v>
      </c>
      <c r="G435" s="16" t="str">
        <f t="shared" si="85"/>
        <v xml:space="preserve"> </v>
      </c>
      <c r="H435" s="16" t="str">
        <f t="shared" si="86"/>
        <v xml:space="preserve"> </v>
      </c>
      <c r="I435" s="16" t="str">
        <f t="shared" si="87"/>
        <v xml:space="preserve"> </v>
      </c>
      <c r="J435" s="16">
        <f t="shared" si="83"/>
        <v>1.7382077341633025E-3</v>
      </c>
      <c r="K435" s="16">
        <f t="shared" si="88"/>
        <v>-8.5544683875344758E-3</v>
      </c>
      <c r="L435" s="16">
        <f t="shared" si="89"/>
        <v>0.79703940460666334</v>
      </c>
      <c r="M435" s="16">
        <f t="shared" si="90"/>
        <v>2.8320849103306019E-2</v>
      </c>
      <c r="N435" s="16">
        <f t="shared" si="91"/>
        <v>0.79658459278189597</v>
      </c>
      <c r="O435" s="16">
        <f t="shared" si="92"/>
        <v>-2.4844433634979415E-2</v>
      </c>
      <c r="R435" s="5">
        <f>IF($T$1, J435, -0.2)</f>
        <v>-0.2</v>
      </c>
    </row>
    <row r="436" spans="2:18" x14ac:dyDescent="0.3">
      <c r="B436" s="16">
        <v>0.79989522298695537</v>
      </c>
      <c r="C436" s="16">
        <f t="shared" si="84"/>
        <v>2.6242784418472623E-2</v>
      </c>
      <c r="D436" s="16">
        <f t="shared" si="80"/>
        <v>1.711831746027933E-3</v>
      </c>
      <c r="E436" s="16">
        <f t="shared" si="81"/>
        <v>-8.5546770625887676E-3</v>
      </c>
      <c r="F436" s="16">
        <f t="shared" si="82"/>
        <v>-8.5544683875344758E-3</v>
      </c>
      <c r="G436" s="16" t="str">
        <f t="shared" si="85"/>
        <v xml:space="preserve"> </v>
      </c>
      <c r="H436" s="16" t="str">
        <f t="shared" si="86"/>
        <v xml:space="preserve"> </v>
      </c>
      <c r="I436" s="16" t="str">
        <f t="shared" si="87"/>
        <v xml:space="preserve"> </v>
      </c>
      <c r="J436" s="16">
        <f t="shared" si="83"/>
        <v>1.711831746027933E-3</v>
      </c>
      <c r="K436" s="16">
        <f t="shared" si="88"/>
        <v>-8.5544683875344758E-3</v>
      </c>
      <c r="L436" s="16">
        <f t="shared" si="89"/>
        <v>0.80011971331864706</v>
      </c>
      <c r="M436" s="16">
        <f t="shared" si="90"/>
        <v>2.7953655960922114E-2</v>
      </c>
      <c r="N436" s="16">
        <f t="shared" si="91"/>
        <v>0.79967073265526367</v>
      </c>
      <c r="O436" s="16">
        <f t="shared" si="92"/>
        <v>-2.4529992468866245E-2</v>
      </c>
      <c r="R436" s="5">
        <f>IF($T$1, J436, -0.2)</f>
        <v>-0.2</v>
      </c>
    </row>
    <row r="437" spans="2:18" x14ac:dyDescent="0.3">
      <c r="B437" s="16">
        <v>0.80298043015656417</v>
      </c>
      <c r="C437" s="16">
        <f t="shared" si="84"/>
        <v>2.5900469227593662E-2</v>
      </c>
      <c r="D437" s="16">
        <f t="shared" si="80"/>
        <v>1.6854387950207461E-3</v>
      </c>
      <c r="E437" s="16">
        <f t="shared" si="81"/>
        <v>-8.5546770625887676E-3</v>
      </c>
      <c r="F437" s="16">
        <f t="shared" si="82"/>
        <v>-8.5544683875344758E-3</v>
      </c>
      <c r="G437" s="16" t="str">
        <f t="shared" si="85"/>
        <v xml:space="preserve"> </v>
      </c>
      <c r="H437" s="16" t="str">
        <f t="shared" si="86"/>
        <v xml:space="preserve"> </v>
      </c>
      <c r="I437" s="16" t="str">
        <f t="shared" si="87"/>
        <v xml:space="preserve"> </v>
      </c>
      <c r="J437" s="16">
        <f t="shared" si="83"/>
        <v>1.6854387950207461E-3</v>
      </c>
      <c r="K437" s="16">
        <f t="shared" si="88"/>
        <v>-8.5544683875344758E-3</v>
      </c>
      <c r="L437" s="16">
        <f t="shared" si="89"/>
        <v>0.80320199219949207</v>
      </c>
      <c r="M437" s="16">
        <f t="shared" si="90"/>
        <v>2.7584960344089172E-2</v>
      </c>
      <c r="N437" s="16">
        <f t="shared" si="91"/>
        <v>0.80275886811363628</v>
      </c>
      <c r="O437" s="16">
        <f t="shared" si="92"/>
        <v>-2.4214082754047683E-2</v>
      </c>
      <c r="R437" s="5">
        <f>IF($T$1, J437, -0.2)</f>
        <v>-0.2</v>
      </c>
    </row>
    <row r="438" spans="2:18" x14ac:dyDescent="0.3">
      <c r="B438" s="16">
        <v>0.80606758963119207</v>
      </c>
      <c r="C438" s="16">
        <f t="shared" si="84"/>
        <v>2.5556668506656478E-2</v>
      </c>
      <c r="D438" s="16">
        <f t="shared" si="80"/>
        <v>1.6590291426745933E-3</v>
      </c>
      <c r="E438" s="16">
        <f t="shared" si="81"/>
        <v>-8.5546770625887676E-3</v>
      </c>
      <c r="F438" s="16">
        <f t="shared" si="82"/>
        <v>-8.5544683875344758E-3</v>
      </c>
      <c r="G438" s="16" t="str">
        <f t="shared" si="85"/>
        <v xml:space="preserve"> </v>
      </c>
      <c r="H438" s="16" t="str">
        <f t="shared" si="86"/>
        <v xml:space="preserve"> </v>
      </c>
      <c r="I438" s="16" t="str">
        <f t="shared" si="87"/>
        <v xml:space="preserve"> </v>
      </c>
      <c r="J438" s="16">
        <f t="shared" si="83"/>
        <v>1.6590291426745933E-3</v>
      </c>
      <c r="K438" s="16">
        <f t="shared" si="88"/>
        <v>-8.5544683875344758E-3</v>
      </c>
      <c r="L438" s="16">
        <f t="shared" si="89"/>
        <v>0.80628621067759121</v>
      </c>
      <c r="M438" s="16">
        <f t="shared" si="90"/>
        <v>2.7214762550213469E-2</v>
      </c>
      <c r="N438" s="16">
        <f t="shared" si="91"/>
        <v>0.80584896858479294</v>
      </c>
      <c r="O438" s="16">
        <f t="shared" si="92"/>
        <v>-2.3896704264864281E-2</v>
      </c>
      <c r="R438" s="5">
        <f>IF($T$1, J438, -0.2)</f>
        <v>-0.2</v>
      </c>
    </row>
    <row r="439" spans="2:18" x14ac:dyDescent="0.3">
      <c r="B439" s="16">
        <v>0.80915667081957843</v>
      </c>
      <c r="C439" s="16">
        <f t="shared" si="84"/>
        <v>2.5211382173346172E-2</v>
      </c>
      <c r="D439" s="16">
        <f t="shared" si="80"/>
        <v>1.6326030506878301E-3</v>
      </c>
      <c r="E439" s="16">
        <f t="shared" si="81"/>
        <v>-8.5546770625887676E-3</v>
      </c>
      <c r="F439" s="16">
        <f t="shared" si="82"/>
        <v>-8.5544683875344758E-3</v>
      </c>
      <c r="G439" s="16" t="str">
        <f t="shared" si="85"/>
        <v xml:space="preserve"> </v>
      </c>
      <c r="H439" s="16" t="str">
        <f t="shared" si="86"/>
        <v xml:space="preserve"> </v>
      </c>
      <c r="I439" s="16" t="str">
        <f t="shared" si="87"/>
        <v xml:space="preserve"> </v>
      </c>
      <c r="J439" s="16">
        <f t="shared" si="83"/>
        <v>1.6326030506878301E-3</v>
      </c>
      <c r="K439" s="16">
        <f t="shared" si="88"/>
        <v>-8.5544683875344758E-3</v>
      </c>
      <c r="L439" s="16">
        <f t="shared" si="89"/>
        <v>0.80937233816097975</v>
      </c>
      <c r="M439" s="16">
        <f t="shared" si="90"/>
        <v>2.6843062758681455E-2</v>
      </c>
      <c r="N439" s="16">
        <f t="shared" si="91"/>
        <v>0.8089410034781771</v>
      </c>
      <c r="O439" s="16">
        <f t="shared" si="92"/>
        <v>-2.3577856657305798E-2</v>
      </c>
      <c r="R439" s="5">
        <f>IF($T$1, J439, -0.2)</f>
        <v>-0.2</v>
      </c>
    </row>
    <row r="440" spans="2:18" x14ac:dyDescent="0.3">
      <c r="B440" s="16">
        <v>0.81224764311142017</v>
      </c>
      <c r="C440" s="16">
        <f t="shared" si="84"/>
        <v>2.4864610026744529E-2</v>
      </c>
      <c r="D440" s="16">
        <f t="shared" si="80"/>
        <v>1.6061607809217142E-3</v>
      </c>
      <c r="E440" s="16">
        <f t="shared" si="81"/>
        <v>-8.5546770625887676E-3</v>
      </c>
      <c r="F440" s="16">
        <f t="shared" si="82"/>
        <v>-8.5544683875344758E-3</v>
      </c>
      <c r="G440" s="16" t="str">
        <f t="shared" si="85"/>
        <v xml:space="preserve"> </v>
      </c>
      <c r="H440" s="16" t="str">
        <f t="shared" si="86"/>
        <v xml:space="preserve"> </v>
      </c>
      <c r="I440" s="16" t="str">
        <f t="shared" si="87"/>
        <v xml:space="preserve"> </v>
      </c>
      <c r="J440" s="16">
        <f t="shared" si="83"/>
        <v>1.6061607809217142E-3</v>
      </c>
      <c r="K440" s="16">
        <f t="shared" si="88"/>
        <v>-8.5544683875344758E-3</v>
      </c>
      <c r="L440" s="16">
        <f t="shared" si="89"/>
        <v>0.81246034403763578</v>
      </c>
      <c r="M440" s="16">
        <f t="shared" si="90"/>
        <v>2.6469861030443537E-2</v>
      </c>
      <c r="N440" s="16">
        <f t="shared" si="91"/>
        <v>0.81203494218520456</v>
      </c>
      <c r="O440" s="16">
        <f t="shared" si="92"/>
        <v>-2.3257539468600107E-2</v>
      </c>
      <c r="R440" s="5">
        <f>IF($T$1, J440, -0.2)</f>
        <v>-0.2</v>
      </c>
    </row>
    <row r="441" spans="2:18" x14ac:dyDescent="0.3">
      <c r="B441" s="16">
        <v>0.81534047587767555</v>
      </c>
      <c r="C441" s="16">
        <f t="shared" si="84"/>
        <v>2.4516351746941573E-2</v>
      </c>
      <c r="D441" s="16">
        <f t="shared" si="80"/>
        <v>1.5797025953978062E-3</v>
      </c>
      <c r="E441" s="16">
        <f t="shared" si="81"/>
        <v>-8.5546770625887676E-3</v>
      </c>
      <c r="F441" s="16">
        <f t="shared" si="82"/>
        <v>-8.5544683875344758E-3</v>
      </c>
      <c r="G441" s="16" t="str">
        <f t="shared" si="85"/>
        <v xml:space="preserve"> </v>
      </c>
      <c r="H441" s="16" t="str">
        <f t="shared" si="86"/>
        <v xml:space="preserve"> </v>
      </c>
      <c r="I441" s="16" t="str">
        <f t="shared" si="87"/>
        <v xml:space="preserve"> </v>
      </c>
      <c r="J441" s="16">
        <f t="shared" si="83"/>
        <v>1.5797025953978062E-3</v>
      </c>
      <c r="K441" s="16">
        <f t="shared" si="88"/>
        <v>-8.5544683875344758E-3</v>
      </c>
      <c r="L441" s="16">
        <f t="shared" si="89"/>
        <v>0.81555019767578119</v>
      </c>
      <c r="M441" s="16">
        <f t="shared" si="90"/>
        <v>2.6095157307623001E-2</v>
      </c>
      <c r="N441" s="16">
        <f t="shared" si="91"/>
        <v>0.81513075407956992</v>
      </c>
      <c r="O441" s="16">
        <f t="shared" si="92"/>
        <v>-2.2935752116827388E-2</v>
      </c>
      <c r="R441" s="5">
        <f>IF($T$1, J441, -0.2)</f>
        <v>-0.2</v>
      </c>
    </row>
    <row r="442" spans="2:18" x14ac:dyDescent="0.3">
      <c r="B442" s="16">
        <v>0.81843513847086635</v>
      </c>
      <c r="C442" s="16">
        <f t="shared" si="84"/>
        <v>2.4166606894672361E-2</v>
      </c>
      <c r="D442" s="16">
        <f t="shared" si="80"/>
        <v>1.5532287562953853E-3</v>
      </c>
      <c r="E442" s="16">
        <f t="shared" si="81"/>
        <v>-8.5546770625887676E-3</v>
      </c>
      <c r="F442" s="16">
        <f t="shared" si="82"/>
        <v>-8.5544683875344758E-3</v>
      </c>
      <c r="G442" s="16" t="str">
        <f t="shared" si="85"/>
        <v xml:space="preserve"> </v>
      </c>
      <c r="H442" s="16" t="str">
        <f t="shared" si="86"/>
        <v xml:space="preserve"> </v>
      </c>
      <c r="I442" s="16" t="str">
        <f t="shared" si="87"/>
        <v xml:space="preserve"> </v>
      </c>
      <c r="J442" s="16">
        <f t="shared" si="83"/>
        <v>1.5532287562953853E-3</v>
      </c>
      <c r="K442" s="16">
        <f t="shared" si="88"/>
        <v>-8.5544683875344758E-3</v>
      </c>
      <c r="L442" s="16">
        <f t="shared" si="89"/>
        <v>0.81864186842417985</v>
      </c>
      <c r="M442" s="16">
        <f t="shared" si="90"/>
        <v>2.5718951413150254E-2</v>
      </c>
      <c r="N442" s="16">
        <f t="shared" si="91"/>
        <v>0.81822840851755285</v>
      </c>
      <c r="O442" s="16">
        <f t="shared" si="92"/>
        <v>-2.2612493900559485E-2</v>
      </c>
      <c r="R442" s="5">
        <f>IF($T$1, J442, -0.2)</f>
        <v>-0.2</v>
      </c>
    </row>
    <row r="443" spans="2:18" x14ac:dyDescent="0.3">
      <c r="B443" s="16">
        <v>0.82153160022538252</v>
      </c>
      <c r="C443" s="16">
        <f t="shared" si="84"/>
        <v>2.3815374910979136E-2</v>
      </c>
      <c r="D443" s="16">
        <f t="shared" si="80"/>
        <v>1.5267395259488425E-3</v>
      </c>
      <c r="E443" s="16">
        <f t="shared" si="81"/>
        <v>-8.5546770625887676E-3</v>
      </c>
      <c r="F443" s="16">
        <f t="shared" si="82"/>
        <v>-8.5544683875344758E-3</v>
      </c>
      <c r="G443" s="16" t="str">
        <f t="shared" si="85"/>
        <v xml:space="preserve"> </v>
      </c>
      <c r="H443" s="16" t="str">
        <f t="shared" si="86"/>
        <v xml:space="preserve"> </v>
      </c>
      <c r="I443" s="16" t="str">
        <f t="shared" si="87"/>
        <v xml:space="preserve"> </v>
      </c>
      <c r="J443" s="16">
        <f t="shared" si="83"/>
        <v>1.5267395259488425E-3</v>
      </c>
      <c r="K443" s="16">
        <f t="shared" si="88"/>
        <v>-8.5544683875344758E-3</v>
      </c>
      <c r="L443" s="16">
        <f t="shared" si="89"/>
        <v>0.82173532561244023</v>
      </c>
      <c r="M443" s="16">
        <f t="shared" si="90"/>
        <v>2.5341243050422384E-2</v>
      </c>
      <c r="N443" s="16">
        <f t="shared" si="91"/>
        <v>0.82132787483832481</v>
      </c>
      <c r="O443" s="16">
        <f t="shared" si="92"/>
        <v>-2.2287763998524699E-2</v>
      </c>
      <c r="R443" s="5">
        <f>IF($T$1, J443, -0.2)</f>
        <v>-0.2</v>
      </c>
    </row>
    <row r="444" spans="2:18" x14ac:dyDescent="0.3">
      <c r="B444" s="16">
        <v>0.82462983045778548</v>
      </c>
      <c r="C444" s="16">
        <f t="shared" si="84"/>
        <v>2.3462655116898826E-2</v>
      </c>
      <c r="D444" s="16">
        <f t="shared" si="80"/>
        <v>1.5002351668450859E-3</v>
      </c>
      <c r="E444" s="16">
        <f t="shared" si="81"/>
        <v>-8.5546770625887676E-3</v>
      </c>
      <c r="F444" s="16">
        <f t="shared" si="82"/>
        <v>-8.5544683875344758E-3</v>
      </c>
      <c r="G444" s="16" t="str">
        <f t="shared" si="85"/>
        <v xml:space="preserve"> </v>
      </c>
      <c r="H444" s="16" t="str">
        <f t="shared" si="86"/>
        <v xml:space="preserve"> </v>
      </c>
      <c r="I444" s="16" t="str">
        <f t="shared" si="87"/>
        <v xml:space="preserve"> </v>
      </c>
      <c r="J444" s="16">
        <f t="shared" si="83"/>
        <v>1.5002351668450859E-3</v>
      </c>
      <c r="K444" s="16">
        <f t="shared" si="88"/>
        <v>-8.5544683875344758E-3</v>
      </c>
      <c r="L444" s="16">
        <f t="shared" si="89"/>
        <v>0.82483053855131583</v>
      </c>
      <c r="M444" s="16">
        <f t="shared" si="90"/>
        <v>2.4962031802988068E-2</v>
      </c>
      <c r="N444" s="16">
        <f t="shared" si="91"/>
        <v>0.82442912236425514</v>
      </c>
      <c r="O444" s="16">
        <f t="shared" si="92"/>
        <v>-2.1961561469297897E-2</v>
      </c>
      <c r="R444" s="5">
        <f>IF($T$1, J444, -0.2)</f>
        <v>-0.2</v>
      </c>
    </row>
    <row r="445" spans="2:18" x14ac:dyDescent="0.3">
      <c r="B445" s="16">
        <v>0.82772979846711325</v>
      </c>
      <c r="C445" s="16">
        <f t="shared" si="84"/>
        <v>2.3108446713176332E-2</v>
      </c>
      <c r="D445" s="16">
        <f t="shared" si="80"/>
        <v>1.4737159416209305E-3</v>
      </c>
      <c r="E445" s="16">
        <f t="shared" si="81"/>
        <v>-8.5546770625887676E-3</v>
      </c>
      <c r="F445" s="16">
        <f t="shared" si="82"/>
        <v>-8.5544683875344758E-3</v>
      </c>
      <c r="G445" s="16" t="str">
        <f t="shared" si="85"/>
        <v xml:space="preserve"> </v>
      </c>
      <c r="H445" s="16" t="str">
        <f t="shared" si="86"/>
        <v xml:space="preserve"> </v>
      </c>
      <c r="I445" s="16" t="str">
        <f t="shared" si="87"/>
        <v xml:space="preserve"> </v>
      </c>
      <c r="J445" s="16">
        <f t="shared" si="83"/>
        <v>1.4737159416209305E-3</v>
      </c>
      <c r="K445" s="16">
        <f t="shared" si="88"/>
        <v>-8.5544683875344758E-3</v>
      </c>
      <c r="L445" s="16">
        <f t="shared" si="89"/>
        <v>0.82792747653300736</v>
      </c>
      <c r="M445" s="16">
        <f t="shared" si="90"/>
        <v>2.4581317134258266E-2</v>
      </c>
      <c r="N445" s="16">
        <f t="shared" si="91"/>
        <v>0.82753212040121915</v>
      </c>
      <c r="O445" s="16">
        <f t="shared" si="92"/>
        <v>-2.1633885251016404E-2</v>
      </c>
      <c r="R445" s="5">
        <f>IF($T$1, J445, -0.2)</f>
        <v>-0.2</v>
      </c>
    </row>
    <row r="446" spans="2:18" x14ac:dyDescent="0.3">
      <c r="B446" s="16">
        <v>0.8308314735351825</v>
      </c>
      <c r="C446" s="16">
        <f t="shared" si="84"/>
        <v>2.2752748780003499E-2</v>
      </c>
      <c r="D446" s="16">
        <f t="shared" si="80"/>
        <v>1.4471821130605151E-3</v>
      </c>
      <c r="E446" s="16">
        <f t="shared" si="81"/>
        <v>-8.5546770625887676E-3</v>
      </c>
      <c r="F446" s="16">
        <f t="shared" si="82"/>
        <v>-8.5544683875344758E-3</v>
      </c>
      <c r="G446" s="16" t="str">
        <f t="shared" si="85"/>
        <v xml:space="preserve"> </v>
      </c>
      <c r="H446" s="16" t="str">
        <f t="shared" si="86"/>
        <v xml:space="preserve"> </v>
      </c>
      <c r="I446" s="16" t="str">
        <f t="shared" si="87"/>
        <v xml:space="preserve"> </v>
      </c>
      <c r="J446" s="16">
        <f t="shared" si="83"/>
        <v>1.4471821130605151E-3</v>
      </c>
      <c r="K446" s="16">
        <f t="shared" si="88"/>
        <v>-8.5544683875344758E-3</v>
      </c>
      <c r="L446" s="16">
        <f t="shared" si="89"/>
        <v>0.83102610883146322</v>
      </c>
      <c r="M446" s="16">
        <f t="shared" si="90"/>
        <v>2.4199098387242619E-2</v>
      </c>
      <c r="N446" s="16">
        <f t="shared" si="91"/>
        <v>0.83063683823890178</v>
      </c>
      <c r="O446" s="16">
        <f t="shared" si="92"/>
        <v>-2.1304734161121591E-2</v>
      </c>
      <c r="R446" s="5">
        <f>IF($T$1, J446, -0.2)</f>
        <v>-0.2</v>
      </c>
    </row>
    <row r="447" spans="2:18" x14ac:dyDescent="0.3">
      <c r="B447" s="16">
        <v>0.83393482492689608</v>
      </c>
      <c r="C447" s="16">
        <f t="shared" si="84"/>
        <v>2.2395560276784077E-2</v>
      </c>
      <c r="D447" s="16">
        <f t="shared" si="80"/>
        <v>1.4206339440926701E-3</v>
      </c>
      <c r="E447" s="16">
        <f t="shared" si="81"/>
        <v>-8.5546770625887676E-3</v>
      </c>
      <c r="F447" s="16">
        <f t="shared" si="82"/>
        <v>-8.5544683875344758E-3</v>
      </c>
      <c r="G447" s="16" t="str">
        <f t="shared" si="85"/>
        <v xml:space="preserve"> </v>
      </c>
      <c r="H447" s="16" t="str">
        <f t="shared" si="86"/>
        <v xml:space="preserve"> </v>
      </c>
      <c r="I447" s="16" t="str">
        <f t="shared" si="87"/>
        <v xml:space="preserve"> </v>
      </c>
      <c r="J447" s="16">
        <f t="shared" si="83"/>
        <v>1.4206339440926701E-3</v>
      </c>
      <c r="K447" s="16">
        <f t="shared" si="88"/>
        <v>-8.5544683875344758E-3</v>
      </c>
      <c r="L447" s="16">
        <f t="shared" si="89"/>
        <v>0.83412640470268451</v>
      </c>
      <c r="M447" s="16">
        <f t="shared" si="90"/>
        <v>2.3815374784311779E-2</v>
      </c>
      <c r="N447" s="16">
        <f t="shared" si="91"/>
        <v>0.83374324515110765</v>
      </c>
      <c r="O447" s="16">
        <f t="shared" si="92"/>
        <v>-2.097410689612644E-2</v>
      </c>
      <c r="R447" s="5">
        <f>IF($T$1, J447, -0.2)</f>
        <v>-0.2</v>
      </c>
    </row>
    <row r="448" spans="2:18" x14ac:dyDescent="0.3">
      <c r="B448" s="16">
        <v>0.83703982189054416</v>
      </c>
      <c r="C448" s="16">
        <f t="shared" si="84"/>
        <v>2.203688004192482E-2</v>
      </c>
      <c r="D448" s="16">
        <f t="shared" si="80"/>
        <v>1.3940716977883421E-3</v>
      </c>
      <c r="E448" s="16">
        <f t="shared" si="81"/>
        <v>-8.5546770625887676E-3</v>
      </c>
      <c r="F448" s="16">
        <f t="shared" si="82"/>
        <v>-8.5544683875344758E-3</v>
      </c>
      <c r="G448" s="16" t="str">
        <f t="shared" si="85"/>
        <v xml:space="preserve"> </v>
      </c>
      <c r="H448" s="16" t="str">
        <f t="shared" si="86"/>
        <v xml:space="preserve"> </v>
      </c>
      <c r="I448" s="16" t="str">
        <f t="shared" si="87"/>
        <v xml:space="preserve"> </v>
      </c>
      <c r="J448" s="16">
        <f t="shared" si="83"/>
        <v>1.3940716977883421E-3</v>
      </c>
      <c r="K448" s="16">
        <f t="shared" si="88"/>
        <v>-8.5544683875344758E-3</v>
      </c>
      <c r="L448" s="16">
        <f t="shared" si="89"/>
        <v>0.83722833338502489</v>
      </c>
      <c r="M448" s="16">
        <f t="shared" si="90"/>
        <v>2.3430145426985953E-2</v>
      </c>
      <c r="N448" s="16">
        <f t="shared" si="91"/>
        <v>0.83685131039606342</v>
      </c>
      <c r="O448" s="16">
        <f t="shared" si="92"/>
        <v>-2.0642002031409271E-2</v>
      </c>
      <c r="R448" s="5">
        <f>IF($T$1, J448, -0.2)</f>
        <v>-0.2</v>
      </c>
    </row>
    <row r="449" spans="2:18" x14ac:dyDescent="0.3">
      <c r="B449" s="16">
        <v>0.8401464336581117</v>
      </c>
      <c r="C449" s="16">
        <f t="shared" si="84"/>
        <v>2.1676706792652278E-2</v>
      </c>
      <c r="D449" s="16">
        <f t="shared" ref="D449:D500" si="93">IF($Q$1=1, IF(B449&lt;$A$8, ($A$10/6)*((B449^3)-3*$A$8*(B449^2)+($A$8^2)*(3-$A$8)*B449), (($A$10*($A$8^3))/6)*(1-B449)), " ")</f>
        <v>1.3674956373579638E-3</v>
      </c>
      <c r="E449" s="16">
        <f t="shared" ref="E449:E500" si="94">IF($Q$1=1,IF(B449&lt;$A$8, ($A$10/6)*(3*(B449^2)-6*$A$8*B449+($A$8^2)*(3-$A$8)), -($A$10*($A$8^3))/6), " ")</f>
        <v>-8.5546770625887676E-3</v>
      </c>
      <c r="F449" s="16">
        <f t="shared" ref="F449:F500" si="95">IF($Q$1=1, ATAN(E449), " ")</f>
        <v>-8.5544683875344758E-3</v>
      </c>
      <c r="G449" s="16" t="str">
        <f t="shared" si="85"/>
        <v xml:space="preserve"> </v>
      </c>
      <c r="H449" s="16" t="str">
        <f t="shared" si="86"/>
        <v xml:space="preserve"> </v>
      </c>
      <c r="I449" s="16" t="str">
        <f t="shared" si="87"/>
        <v xml:space="preserve"> </v>
      </c>
      <c r="J449" s="16">
        <f t="shared" ref="J449:J500" si="96">IF($Q$1=1, D449, G449)</f>
        <v>1.3674956373579638E-3</v>
      </c>
      <c r="K449" s="16">
        <f t="shared" si="88"/>
        <v>-8.5544683875344758E-3</v>
      </c>
      <c r="L449" s="16">
        <f t="shared" si="89"/>
        <v>0.84033186409949578</v>
      </c>
      <c r="M449" s="16">
        <f t="shared" si="90"/>
        <v>2.3043409295749058E-2</v>
      </c>
      <c r="N449" s="16">
        <f t="shared" si="91"/>
        <v>0.83996100321672762</v>
      </c>
      <c r="O449" s="16">
        <f t="shared" si="92"/>
        <v>-2.0308418021033128E-2</v>
      </c>
      <c r="R449" s="5">
        <f>IF($T$1, J449, -0.2)</f>
        <v>-0.2</v>
      </c>
    </row>
    <row r="450" spans="2:18" x14ac:dyDescent="0.3">
      <c r="B450" s="16">
        <v>0.84325462944558205</v>
      </c>
      <c r="C450" s="16">
        <f t="shared" ref="C450:C500" si="97">IF(AND($Q$1=2, $A$3=1), 0, 5*($A$4/100)*(0.2969*SQRT(B450)-0.126*B450-0.3516*(B450^2)+0.2843*(B450^3)-0.1015*(B450^4)))</f>
        <v>2.131503912485682E-2</v>
      </c>
      <c r="D450" s="16">
        <f t="shared" si="93"/>
        <v>1.3409060261488561E-3</v>
      </c>
      <c r="E450" s="16">
        <f t="shared" si="94"/>
        <v>-8.5546770625887676E-3</v>
      </c>
      <c r="F450" s="16">
        <f t="shared" si="95"/>
        <v>-8.5544683875344758E-3</v>
      </c>
      <c r="G450" s="16" t="str">
        <f t="shared" ref="G450:G500" si="98">IF($Q$1=2, IF(A452&lt;&gt;1, IF(B450&lt;$A$11, ($A$12/6)*((B450-$A$11)^3-$A$13*((1-$A$11)^3)*B450-($A$11^3)*B450+$A$11^3), ($A$12/6)*($A$13*(B450-$A$11)^3-$A$13*((1-$A$11)^3)*B450-($A$11^3)*B450+$A$11^3)), 0), " ")</f>
        <v xml:space="preserve"> </v>
      </c>
      <c r="H450" s="16" t="str">
        <f t="shared" ref="H450:H500" si="99">IF($Q$1=2, IF(A452&lt;&gt;1, IF(B450&lt;$A$11, ($A$12/6)*(3*(B450-$A$11)^2-$A$13*((1-$A$11)^3)-($A$11^3)), ($A$12/6)*(3*$A$13*(B450-$A$11)^2-$A$13*((1-$A$11)^3)-($A$11^3))),0 ), " ")</f>
        <v xml:space="preserve"> </v>
      </c>
      <c r="I450" s="16" t="str">
        <f t="shared" ref="I450:I500" si="100">IF($Q$1=2, IF(A452&lt;&gt;1,  ATAN(H450), 0), " ")</f>
        <v xml:space="preserve"> </v>
      </c>
      <c r="J450" s="16">
        <f t="shared" si="96"/>
        <v>1.3409060261488561E-3</v>
      </c>
      <c r="K450" s="16">
        <f t="shared" ref="K450:K500" si="101">IF($Q$1=1, F450, I450)</f>
        <v>-8.5544683875344758E-3</v>
      </c>
      <c r="L450" s="16">
        <f t="shared" ref="L450:L500" si="102">B450-C450*SIN(K450)</f>
        <v>0.84343696605006946</v>
      </c>
      <c r="M450" s="16">
        <f t="shared" ref="M450:M500" si="103">J450+C450*COS(K450)</f>
        <v>2.2655165249890155E-2</v>
      </c>
      <c r="N450" s="16">
        <f t="shared" ref="N450:N500" si="104">B450+C450*SIN(K450)</f>
        <v>0.84307229284109464</v>
      </c>
      <c r="O450" s="16">
        <f t="shared" ref="O450:O500" si="105">J450-C450*COS(K450)</f>
        <v>-1.9973353197592442E-2</v>
      </c>
      <c r="R450" s="5">
        <f>IF($T$1, J450, -0.2)</f>
        <v>-0.2</v>
      </c>
    </row>
    <row r="451" spans="2:18" x14ac:dyDescent="0.3">
      <c r="B451" s="16">
        <v>0.84636437845324164</v>
      </c>
      <c r="C451" s="16">
        <f t="shared" si="97"/>
        <v>2.0951875512962025E-2</v>
      </c>
      <c r="D451" s="16">
        <f t="shared" si="93"/>
        <v>1.3143031276426223E-3</v>
      </c>
      <c r="E451" s="16">
        <f t="shared" si="94"/>
        <v>-8.5546770625887676E-3</v>
      </c>
      <c r="F451" s="16">
        <f t="shared" si="95"/>
        <v>-8.5544683875344758E-3</v>
      </c>
      <c r="G451" s="16" t="str">
        <f t="shared" si="98"/>
        <v xml:space="preserve"> </v>
      </c>
      <c r="H451" s="16" t="str">
        <f t="shared" si="99"/>
        <v xml:space="preserve"> </v>
      </c>
      <c r="I451" s="16" t="str">
        <f t="shared" si="100"/>
        <v xml:space="preserve"> </v>
      </c>
      <c r="J451" s="16">
        <f t="shared" si="96"/>
        <v>1.3143031276426223E-3</v>
      </c>
      <c r="K451" s="16">
        <f t="shared" si="101"/>
        <v>-8.5544683875344758E-3</v>
      </c>
      <c r="L451" s="16">
        <f t="shared" si="102"/>
        <v>0.84654360842398191</v>
      </c>
      <c r="M451" s="16">
        <f t="shared" si="103"/>
        <v>2.226541202737025E-2</v>
      </c>
      <c r="N451" s="16">
        <f t="shared" si="104"/>
        <v>0.84618514848250137</v>
      </c>
      <c r="O451" s="16">
        <f t="shared" si="105"/>
        <v>-1.9636805772085007E-2</v>
      </c>
      <c r="R451" s="5">
        <f>IF($T$1, J451, -0.2)</f>
        <v>-0.2</v>
      </c>
    </row>
    <row r="452" spans="2:18" x14ac:dyDescent="0.3">
      <c r="B452" s="16">
        <v>0.84947564986598656</v>
      </c>
      <c r="C452" s="16">
        <f t="shared" si="97"/>
        <v>2.0587214309821297E-2</v>
      </c>
      <c r="D452" s="16">
        <f t="shared" si="93"/>
        <v>1.2876872054525253E-3</v>
      </c>
      <c r="E452" s="16">
        <f t="shared" si="94"/>
        <v>-8.5546770625887676E-3</v>
      </c>
      <c r="F452" s="16">
        <f t="shared" si="95"/>
        <v>-8.5544683875344758E-3</v>
      </c>
      <c r="G452" s="16" t="str">
        <f t="shared" si="98"/>
        <v xml:space="preserve"> </v>
      </c>
      <c r="H452" s="16" t="str">
        <f t="shared" si="99"/>
        <v xml:space="preserve"> </v>
      </c>
      <c r="I452" s="16" t="str">
        <f t="shared" si="100"/>
        <v xml:space="preserve"> </v>
      </c>
      <c r="J452" s="16">
        <f t="shared" si="96"/>
        <v>1.2876872054525253E-3</v>
      </c>
      <c r="K452" s="16">
        <f t="shared" si="101"/>
        <v>-8.5544683875344758E-3</v>
      </c>
      <c r="L452" s="16">
        <f t="shared" si="102"/>
        <v>0.84965176039203905</v>
      </c>
      <c r="M452" s="16">
        <f t="shared" si="103"/>
        <v>2.1874148244716275E-2</v>
      </c>
      <c r="N452" s="16">
        <f t="shared" si="104"/>
        <v>0.84929953933993407</v>
      </c>
      <c r="O452" s="16">
        <f t="shared" si="105"/>
        <v>-1.9298773833811223E-2</v>
      </c>
      <c r="R452" s="5">
        <f>IF($T$1, J452, -0.2)</f>
        <v>-0.2</v>
      </c>
    </row>
    <row r="453" spans="2:18" x14ac:dyDescent="0.3">
      <c r="B453" s="16">
        <v>0.85258841285362663</v>
      </c>
      <c r="C453" s="16">
        <f t="shared" si="97"/>
        <v>2.0221053746640894E-2</v>
      </c>
      <c r="D453" s="16">
        <f t="shared" si="93"/>
        <v>1.2610585233208856E-3</v>
      </c>
      <c r="E453" s="16">
        <f t="shared" si="94"/>
        <v>-8.5546770625887676E-3</v>
      </c>
      <c r="F453" s="16">
        <f t="shared" si="95"/>
        <v>-8.5544683875344758E-3</v>
      </c>
      <c r="G453" s="16" t="str">
        <f t="shared" si="98"/>
        <v xml:space="preserve"> </v>
      </c>
      <c r="H453" s="16" t="str">
        <f t="shared" si="99"/>
        <v xml:space="preserve"> </v>
      </c>
      <c r="I453" s="16" t="str">
        <f t="shared" si="100"/>
        <v xml:space="preserve"> </v>
      </c>
      <c r="J453" s="16">
        <f t="shared" si="96"/>
        <v>1.2610585233208856E-3</v>
      </c>
      <c r="K453" s="16">
        <f t="shared" si="101"/>
        <v>-8.5544683875344758E-3</v>
      </c>
      <c r="L453" s="16">
        <f t="shared" si="102"/>
        <v>0.85276139110891969</v>
      </c>
      <c r="M453" s="16">
        <f t="shared" si="103"/>
        <v>2.148137239694153E-2</v>
      </c>
      <c r="N453" s="16">
        <f t="shared" si="104"/>
        <v>0.85241543459833358</v>
      </c>
      <c r="O453" s="16">
        <f t="shared" si="105"/>
        <v>-1.8959255350299759E-2</v>
      </c>
      <c r="R453" s="5">
        <f>IF($T$1, J453, -0.2)</f>
        <v>-0.2</v>
      </c>
    </row>
    <row r="454" spans="2:18" x14ac:dyDescent="0.3">
      <c r="B454" s="16">
        <v>0.85570263657119128</v>
      </c>
      <c r="C454" s="16">
        <f t="shared" si="97"/>
        <v>1.9853391932929978E-2</v>
      </c>
      <c r="D454" s="16">
        <f t="shared" si="93"/>
        <v>1.2344173451164652E-3</v>
      </c>
      <c r="E454" s="16">
        <f t="shared" si="94"/>
        <v>-8.5546770625887676E-3</v>
      </c>
      <c r="F454" s="16">
        <f t="shared" si="95"/>
        <v>-8.5544683875344758E-3</v>
      </c>
      <c r="G454" s="16" t="str">
        <f t="shared" si="98"/>
        <v xml:space="preserve"> </v>
      </c>
      <c r="H454" s="16" t="str">
        <f t="shared" si="99"/>
        <v xml:space="preserve"> </v>
      </c>
      <c r="I454" s="16" t="str">
        <f t="shared" si="100"/>
        <v xml:space="preserve"> </v>
      </c>
      <c r="J454" s="16">
        <f t="shared" si="96"/>
        <v>1.2344173451164652E-3</v>
      </c>
      <c r="K454" s="16">
        <f t="shared" si="101"/>
        <v>-8.5544683875344758E-3</v>
      </c>
      <c r="L454" s="16">
        <f t="shared" si="102"/>
        <v>0.8558724697134813</v>
      </c>
      <c r="M454" s="16">
        <f t="shared" si="103"/>
        <v>2.1087082857493111E-2</v>
      </c>
      <c r="N454" s="16">
        <f t="shared" si="104"/>
        <v>0.85553280342890126</v>
      </c>
      <c r="O454" s="16">
        <f t="shared" si="105"/>
        <v>-1.8618248167260182E-2</v>
      </c>
      <c r="R454" s="5">
        <f>IF($T$1, J454, -0.2)</f>
        <v>-0.2</v>
      </c>
    </row>
    <row r="455" spans="2:18" x14ac:dyDescent="0.3">
      <c r="B455" s="16">
        <v>0.85881829015923528</v>
      </c>
      <c r="C455" s="16">
        <f t="shared" si="97"/>
        <v>1.9484226856477008E-2</v>
      </c>
      <c r="D455" s="16">
        <f t="shared" si="93"/>
        <v>1.2077639348318529E-3</v>
      </c>
      <c r="E455" s="16">
        <f t="shared" si="94"/>
        <v>-8.5546770625887676E-3</v>
      </c>
      <c r="F455" s="16">
        <f t="shared" si="95"/>
        <v>-8.5544683875344758E-3</v>
      </c>
      <c r="G455" s="16" t="str">
        <f t="shared" si="98"/>
        <v xml:space="preserve"> </v>
      </c>
      <c r="H455" s="16" t="str">
        <f t="shared" si="99"/>
        <v xml:space="preserve"> </v>
      </c>
      <c r="I455" s="16" t="str">
        <f t="shared" si="100"/>
        <v xml:space="preserve"> </v>
      </c>
      <c r="J455" s="16">
        <f t="shared" si="96"/>
        <v>1.2077639348318529E-3</v>
      </c>
      <c r="K455" s="16">
        <f t="shared" si="101"/>
        <v>-8.5544683875344758E-3</v>
      </c>
      <c r="L455" s="16">
        <f t="shared" si="102"/>
        <v>0.85898496532906543</v>
      </c>
      <c r="M455" s="16">
        <f t="shared" si="103"/>
        <v>2.0691277878225688E-2</v>
      </c>
      <c r="N455" s="16">
        <f t="shared" si="104"/>
        <v>0.85865161498940512</v>
      </c>
      <c r="O455" s="16">
        <f t="shared" si="105"/>
        <v>-1.8275750008561985E-2</v>
      </c>
      <c r="R455" s="5">
        <f>IF($T$1, J455, -0.2)</f>
        <v>-0.2</v>
      </c>
    </row>
    <row r="456" spans="2:18" x14ac:dyDescent="0.3">
      <c r="B456" s="16">
        <v>0.86193534274414518</v>
      </c>
      <c r="C456" s="16">
        <f t="shared" si="97"/>
        <v>1.9113556383353394E-2</v>
      </c>
      <c r="D456" s="16">
        <f t="shared" si="93"/>
        <v>1.1810985565808411E-3</v>
      </c>
      <c r="E456" s="16">
        <f t="shared" si="94"/>
        <v>-8.5546770625887676E-3</v>
      </c>
      <c r="F456" s="16">
        <f t="shared" si="95"/>
        <v>-8.5544683875344758E-3</v>
      </c>
      <c r="G456" s="16" t="str">
        <f t="shared" si="98"/>
        <v xml:space="preserve"> </v>
      </c>
      <c r="H456" s="16" t="str">
        <f t="shared" si="99"/>
        <v xml:space="preserve"> </v>
      </c>
      <c r="I456" s="16" t="str">
        <f t="shared" si="100"/>
        <v xml:space="preserve"> </v>
      </c>
      <c r="J456" s="16">
        <f t="shared" si="96"/>
        <v>1.1810985565808411E-3</v>
      </c>
      <c r="K456" s="16">
        <f t="shared" si="101"/>
        <v>-8.5544683875344758E-3</v>
      </c>
      <c r="L456" s="16">
        <f t="shared" si="102"/>
        <v>0.86209884706380435</v>
      </c>
      <c r="M456" s="16">
        <f t="shared" si="103"/>
        <v>2.0293955589402547E-2</v>
      </c>
      <c r="N456" s="16">
        <f t="shared" si="104"/>
        <v>0.86177183842448601</v>
      </c>
      <c r="O456" s="16">
        <f t="shared" si="105"/>
        <v>-1.7931758476240862E-2</v>
      </c>
      <c r="R456" s="5">
        <f>IF($T$1, J456, -0.2)</f>
        <v>-0.2</v>
      </c>
    </row>
    <row r="457" spans="2:18" x14ac:dyDescent="0.3">
      <c r="B457" s="16">
        <v>0.86505376343844365</v>
      </c>
      <c r="C457" s="16">
        <f t="shared" si="97"/>
        <v>1.8741378257944336E-2</v>
      </c>
      <c r="D457" s="16">
        <f t="shared" si="93"/>
        <v>1.1544214745958239E-3</v>
      </c>
      <c r="E457" s="16">
        <f t="shared" si="94"/>
        <v>-8.5546770625887676E-3</v>
      </c>
      <c r="F457" s="16">
        <f t="shared" si="95"/>
        <v>-8.5544683875344758E-3</v>
      </c>
      <c r="G457" s="16" t="str">
        <f t="shared" si="98"/>
        <v xml:space="preserve"> </v>
      </c>
      <c r="H457" s="16" t="str">
        <f t="shared" si="99"/>
        <v xml:space="preserve"> </v>
      </c>
      <c r="I457" s="16" t="str">
        <f t="shared" si="100"/>
        <v xml:space="preserve"> </v>
      </c>
      <c r="J457" s="16">
        <f t="shared" si="96"/>
        <v>1.1544214745958239E-3</v>
      </c>
      <c r="K457" s="16">
        <f t="shared" si="101"/>
        <v>-8.5544683875344758E-3</v>
      </c>
      <c r="L457" s="16">
        <f t="shared" si="102"/>
        <v>0.86521408401092537</v>
      </c>
      <c r="M457" s="16">
        <f t="shared" si="103"/>
        <v>1.9895113999723806E-2</v>
      </c>
      <c r="N457" s="16">
        <f t="shared" si="104"/>
        <v>0.86489344286596193</v>
      </c>
      <c r="O457" s="16">
        <f t="shared" si="105"/>
        <v>-1.7586271050532159E-2</v>
      </c>
      <c r="R457" s="5">
        <f>IF($T$1, J457, -0.2)</f>
        <v>-0.2</v>
      </c>
    </row>
    <row r="458" spans="2:18" x14ac:dyDescent="0.3">
      <c r="B458" s="16">
        <v>0.86817352134109738</v>
      </c>
      <c r="C458" s="16">
        <f t="shared" si="97"/>
        <v>1.8367690103006627E-2</v>
      </c>
      <c r="D458" s="16">
        <f t="shared" si="93"/>
        <v>1.127732953225162E-3</v>
      </c>
      <c r="E458" s="16">
        <f t="shared" si="94"/>
        <v>-8.5546770625887676E-3</v>
      </c>
      <c r="F458" s="16">
        <f t="shared" si="95"/>
        <v>-8.5544683875344758E-3</v>
      </c>
      <c r="G458" s="16" t="str">
        <f t="shared" si="98"/>
        <v xml:space="preserve"> </v>
      </c>
      <c r="H458" s="16" t="str">
        <f t="shared" si="99"/>
        <v xml:space="preserve"> </v>
      </c>
      <c r="I458" s="16" t="str">
        <f t="shared" si="100"/>
        <v xml:space="preserve"> </v>
      </c>
      <c r="J458" s="16">
        <f t="shared" si="96"/>
        <v>1.127732953225162E-3</v>
      </c>
      <c r="K458" s="16">
        <f t="shared" si="101"/>
        <v>-8.5544683875344758E-3</v>
      </c>
      <c r="L458" s="16">
        <f t="shared" si="102"/>
        <v>0.86833064524905934</v>
      </c>
      <c r="M458" s="16">
        <f t="shared" si="103"/>
        <v>1.9494750996381604E-2</v>
      </c>
      <c r="N458" s="16">
        <f t="shared" si="104"/>
        <v>0.86801639743313541</v>
      </c>
      <c r="O458" s="16">
        <f t="shared" si="105"/>
        <v>-1.7239285089931281E-2</v>
      </c>
      <c r="R458" s="5">
        <f>IF($T$1, J458, -0.2)</f>
        <v>-0.2</v>
      </c>
    </row>
    <row r="459" spans="2:18" x14ac:dyDescent="0.3">
      <c r="B459" s="16">
        <v>0.87129458553782158</v>
      </c>
      <c r="C459" s="16">
        <f t="shared" si="97"/>
        <v>1.799248941975375E-2</v>
      </c>
      <c r="D459" s="16">
        <f t="shared" si="93"/>
        <v>1.1010332569305783E-3</v>
      </c>
      <c r="E459" s="16">
        <f t="shared" si="94"/>
        <v>-8.5546770625887676E-3</v>
      </c>
      <c r="F459" s="16">
        <f t="shared" si="95"/>
        <v>-8.5544683875344758E-3</v>
      </c>
      <c r="G459" s="16" t="str">
        <f t="shared" si="98"/>
        <v xml:space="preserve"> </v>
      </c>
      <c r="H459" s="16" t="str">
        <f t="shared" si="99"/>
        <v xml:space="preserve"> </v>
      </c>
      <c r="I459" s="16" t="str">
        <f t="shared" si="100"/>
        <v xml:space="preserve"> </v>
      </c>
      <c r="J459" s="16">
        <f t="shared" si="96"/>
        <v>1.1010332569305783E-3</v>
      </c>
      <c r="K459" s="16">
        <f t="shared" si="101"/>
        <v>-8.5544683875344758E-3</v>
      </c>
      <c r="L459" s="16">
        <f t="shared" si="102"/>
        <v>0.87144849984254591</v>
      </c>
      <c r="M459" s="16">
        <f t="shared" si="103"/>
        <v>1.9092864345142582E-2</v>
      </c>
      <c r="N459" s="16">
        <f t="shared" si="104"/>
        <v>0.87114067123309724</v>
      </c>
      <c r="O459" s="16">
        <f t="shared" si="105"/>
        <v>-1.6890797831281425E-2</v>
      </c>
      <c r="R459" s="5">
        <f>IF($T$1, J459, -0.2)</f>
        <v>-0.2</v>
      </c>
    </row>
    <row r="460" spans="2:18" x14ac:dyDescent="0.3">
      <c r="B460" s="16">
        <v>0.87441692510138791</v>
      </c>
      <c r="C460" s="16">
        <f t="shared" si="97"/>
        <v>1.7615773587968057E-2</v>
      </c>
      <c r="D460" s="16">
        <f t="shared" si="93"/>
        <v>1.0743226502845241E-3</v>
      </c>
      <c r="E460" s="16">
        <f t="shared" si="94"/>
        <v>-8.5546770625887676E-3</v>
      </c>
      <c r="F460" s="16">
        <f t="shared" si="95"/>
        <v>-8.5544683875344758E-3</v>
      </c>
      <c r="G460" s="16" t="str">
        <f t="shared" si="98"/>
        <v xml:space="preserve"> </v>
      </c>
      <c r="H460" s="16" t="str">
        <f t="shared" si="99"/>
        <v xml:space="preserve"> </v>
      </c>
      <c r="I460" s="16" t="str">
        <f t="shared" si="100"/>
        <v xml:space="preserve"> </v>
      </c>
      <c r="J460" s="16">
        <f t="shared" si="96"/>
        <v>1.0743226502845241E-3</v>
      </c>
      <c r="K460" s="16">
        <f t="shared" si="101"/>
        <v>-8.5544683875344758E-3</v>
      </c>
      <c r="L460" s="16">
        <f t="shared" si="102"/>
        <v>0.87456761684174245</v>
      </c>
      <c r="M460" s="16">
        <f t="shared" si="103"/>
        <v>1.8689451690457402E-2</v>
      </c>
      <c r="N460" s="16">
        <f t="shared" si="104"/>
        <v>0.87426623336103337</v>
      </c>
      <c r="O460" s="16">
        <f t="shared" si="105"/>
        <v>-1.6540806389888356E-2</v>
      </c>
      <c r="R460" s="5">
        <f>IF($T$1, J460, -0.2)</f>
        <v>-0.2</v>
      </c>
    </row>
    <row r="461" spans="2:18" x14ac:dyDescent="0.3">
      <c r="B461" s="16">
        <v>0.87754050909192971</v>
      </c>
      <c r="C461" s="16">
        <f t="shared" si="97"/>
        <v>1.7237539866140787E-2</v>
      </c>
      <c r="D461" s="16">
        <f t="shared" si="93"/>
        <v>1.0476013979675667E-3</v>
      </c>
      <c r="E461" s="16">
        <f t="shared" si="94"/>
        <v>-8.5546770625887676E-3</v>
      </c>
      <c r="F461" s="16">
        <f t="shared" si="95"/>
        <v>-8.5544683875344758E-3</v>
      </c>
      <c r="G461" s="16" t="str">
        <f t="shared" si="98"/>
        <v xml:space="preserve"> </v>
      </c>
      <c r="H461" s="16" t="str">
        <f t="shared" si="99"/>
        <v xml:space="preserve"> </v>
      </c>
      <c r="I461" s="16" t="str">
        <f t="shared" si="100"/>
        <v xml:space="preserve"> </v>
      </c>
      <c r="J461" s="16">
        <f t="shared" si="96"/>
        <v>1.0476013979675667E-3</v>
      </c>
      <c r="K461" s="16">
        <f t="shared" si="101"/>
        <v>-8.5544683875344758E-3</v>
      </c>
      <c r="L461" s="16">
        <f t="shared" si="102"/>
        <v>0.87768796528333037</v>
      </c>
      <c r="M461" s="16">
        <f t="shared" si="103"/>
        <v>1.8284510555598193E-2</v>
      </c>
      <c r="N461" s="16">
        <f t="shared" si="104"/>
        <v>0.87739305290052905</v>
      </c>
      <c r="O461" s="16">
        <f t="shared" si="105"/>
        <v>-1.6189307759663058E-2</v>
      </c>
      <c r="R461" s="5">
        <f>IF($T$1, J461, -0.2)</f>
        <v>-0.2</v>
      </c>
    </row>
    <row r="462" spans="2:18" x14ac:dyDescent="0.3">
      <c r="B462" s="16">
        <v>0.88066530655724884</v>
      </c>
      <c r="C462" s="16">
        <f t="shared" si="97"/>
        <v>1.6857785391639148E-2</v>
      </c>
      <c r="D462" s="16">
        <f t="shared" si="93"/>
        <v>1.0208697647657657E-3</v>
      </c>
      <c r="E462" s="16">
        <f t="shared" si="94"/>
        <v>-8.5546770625887676E-3</v>
      </c>
      <c r="F462" s="16">
        <f t="shared" si="95"/>
        <v>-8.5544683875344758E-3</v>
      </c>
      <c r="G462" s="16" t="str">
        <f t="shared" si="98"/>
        <v xml:space="preserve"> </v>
      </c>
      <c r="H462" s="16" t="str">
        <f t="shared" si="99"/>
        <v xml:space="preserve"> </v>
      </c>
      <c r="I462" s="16" t="str">
        <f t="shared" si="100"/>
        <v xml:space="preserve"> </v>
      </c>
      <c r="J462" s="16">
        <f t="shared" si="96"/>
        <v>1.0208697647657657E-3</v>
      </c>
      <c r="K462" s="16">
        <f t="shared" si="101"/>
        <v>-8.5544683875344758E-3</v>
      </c>
      <c r="L462" s="16">
        <f t="shared" si="102"/>
        <v>0.8808095141906237</v>
      </c>
      <c r="M462" s="16">
        <f t="shared" si="103"/>
        <v>1.7878038342822956E-2</v>
      </c>
      <c r="N462" s="16">
        <f t="shared" si="104"/>
        <v>0.88052109892387398</v>
      </c>
      <c r="O462" s="16">
        <f t="shared" si="105"/>
        <v>-1.5836298813291426E-2</v>
      </c>
      <c r="R462" s="5">
        <f>IF($T$1, J462, -0.2)</f>
        <v>-0.2</v>
      </c>
    </row>
    <row r="463" spans="2:18" x14ac:dyDescent="0.3">
      <c r="B463" s="16">
        <v>0.88379128653312367</v>
      </c>
      <c r="C463" s="16">
        <f t="shared" si="97"/>
        <v>1.6476507180900848E-2</v>
      </c>
      <c r="D463" s="16">
        <f t="shared" si="93"/>
        <v>9.9412801556803747E-4</v>
      </c>
      <c r="E463" s="16">
        <f t="shared" si="94"/>
        <v>-8.5546770625887676E-3</v>
      </c>
      <c r="F463" s="16">
        <f t="shared" si="95"/>
        <v>-8.5544683875344758E-3</v>
      </c>
      <c r="G463" s="16" t="str">
        <f t="shared" si="98"/>
        <v xml:space="preserve"> </v>
      </c>
      <c r="H463" s="16" t="str">
        <f t="shared" si="99"/>
        <v xml:space="preserve"> </v>
      </c>
      <c r="I463" s="16" t="str">
        <f t="shared" si="100"/>
        <v xml:space="preserve"> </v>
      </c>
      <c r="J463" s="16">
        <f t="shared" si="96"/>
        <v>9.9412801556803747E-4</v>
      </c>
      <c r="K463" s="16">
        <f t="shared" si="101"/>
        <v>-8.5544683875344758E-3</v>
      </c>
      <c r="L463" s="16">
        <f t="shared" si="102"/>
        <v>0.88393223257387832</v>
      </c>
      <c r="M463" s="16">
        <f t="shared" si="103"/>
        <v>1.7470032333567483E-2</v>
      </c>
      <c r="N463" s="16">
        <f t="shared" si="104"/>
        <v>0.88365034049236901</v>
      </c>
      <c r="O463" s="16">
        <f t="shared" si="105"/>
        <v>-1.5481776302431409E-2</v>
      </c>
      <c r="R463" s="5">
        <f>IF($T$1, J463, -0.2)</f>
        <v>-0.2</v>
      </c>
    </row>
    <row r="464" spans="2:18" x14ac:dyDescent="0.3">
      <c r="B464" s="16">
        <v>0.88691841804361304</v>
      </c>
      <c r="C464" s="16">
        <f t="shared" si="97"/>
        <v>1.6093702129656912E-2</v>
      </c>
      <c r="D464" s="16">
        <f t="shared" si="93"/>
        <v>9.6737641536355533E-4</v>
      </c>
      <c r="E464" s="16">
        <f t="shared" si="94"/>
        <v>-8.5546770625887676E-3</v>
      </c>
      <c r="F464" s="16">
        <f t="shared" si="95"/>
        <v>-8.5544683875344758E-3</v>
      </c>
      <c r="G464" s="16" t="str">
        <f t="shared" si="98"/>
        <v xml:space="preserve"> </v>
      </c>
      <c r="H464" s="16" t="str">
        <f t="shared" si="99"/>
        <v xml:space="preserve"> </v>
      </c>
      <c r="I464" s="16" t="str">
        <f t="shared" si="100"/>
        <v xml:space="preserve"> </v>
      </c>
      <c r="J464" s="16">
        <f t="shared" si="96"/>
        <v>9.6737641536355533E-4</v>
      </c>
      <c r="K464" s="16">
        <f t="shared" si="101"/>
        <v>-8.5544683875344758E-3</v>
      </c>
      <c r="L464" s="16">
        <f t="shared" si="102"/>
        <v>0.88705608943059777</v>
      </c>
      <c r="M464" s="16">
        <f t="shared" si="103"/>
        <v>1.7060489688665557E-2</v>
      </c>
      <c r="N464" s="16">
        <f t="shared" si="104"/>
        <v>0.88678074665662832</v>
      </c>
      <c r="O464" s="16">
        <f t="shared" si="105"/>
        <v>-1.5125736857938447E-2</v>
      </c>
      <c r="R464" s="5">
        <f>IF($T$1, J464, -0.2)</f>
        <v>-0.2</v>
      </c>
    </row>
    <row r="465" spans="2:18" x14ac:dyDescent="0.3">
      <c r="B465" s="16">
        <v>0.89004667010136695</v>
      </c>
      <c r="C465" s="16">
        <f t="shared" si="97"/>
        <v>1.5709367013181125E-2</v>
      </c>
      <c r="D465" s="16">
        <f t="shared" si="93"/>
        <v>9.4061522923909191E-4</v>
      </c>
      <c r="E465" s="16">
        <f t="shared" si="94"/>
        <v>-8.5546770625887676E-3</v>
      </c>
      <c r="F465" s="16">
        <f t="shared" si="95"/>
        <v>-8.5544683875344758E-3</v>
      </c>
      <c r="G465" s="16" t="str">
        <f t="shared" si="98"/>
        <v xml:space="preserve"> </v>
      </c>
      <c r="H465" s="16" t="str">
        <f t="shared" si="99"/>
        <v xml:space="preserve"> </v>
      </c>
      <c r="I465" s="16" t="str">
        <f t="shared" si="100"/>
        <v xml:space="preserve"> </v>
      </c>
      <c r="J465" s="16">
        <f t="shared" si="96"/>
        <v>9.4061522923909191E-4</v>
      </c>
      <c r="K465" s="16">
        <f t="shared" si="101"/>
        <v>-8.5544683875344758E-3</v>
      </c>
      <c r="L465" s="16">
        <f t="shared" si="102"/>
        <v>0.89018105374584688</v>
      </c>
      <c r="M465" s="16">
        <f t="shared" si="103"/>
        <v>1.6649407448595728E-2</v>
      </c>
      <c r="N465" s="16">
        <f t="shared" si="104"/>
        <v>0.88991228645688703</v>
      </c>
      <c r="O465" s="16">
        <f t="shared" si="105"/>
        <v>-1.4768176990117544E-2</v>
      </c>
      <c r="R465" s="5">
        <f>IF($T$1, J465, -0.2)</f>
        <v>-0.2</v>
      </c>
    </row>
    <row r="466" spans="2:18" x14ac:dyDescent="0.3">
      <c r="B466" s="16">
        <v>0.89317601170793026</v>
      </c>
      <c r="C466" s="16">
        <f t="shared" si="97"/>
        <v>1.5323498486568079E-2</v>
      </c>
      <c r="D466" s="16">
        <f t="shared" si="93"/>
        <v>9.138447223764201E-4</v>
      </c>
      <c r="E466" s="16">
        <f t="shared" si="94"/>
        <v>-8.5546770625887676E-3</v>
      </c>
      <c r="F466" s="16">
        <f t="shared" si="95"/>
        <v>-8.5544683875344758E-3</v>
      </c>
      <c r="G466" s="16" t="str">
        <f t="shared" si="98"/>
        <v xml:space="preserve"> </v>
      </c>
      <c r="H466" s="16" t="str">
        <f t="shared" si="99"/>
        <v xml:space="preserve"> </v>
      </c>
      <c r="I466" s="16" t="str">
        <f t="shared" si="100"/>
        <v xml:space="preserve"> </v>
      </c>
      <c r="J466" s="16">
        <f t="shared" si="96"/>
        <v>9.138447223764201E-4</v>
      </c>
      <c r="K466" s="16">
        <f t="shared" si="101"/>
        <v>-8.5544683875344758E-3</v>
      </c>
      <c r="L466" s="16">
        <f t="shared" si="102"/>
        <v>0.89330709449255674</v>
      </c>
      <c r="M466" s="16">
        <f t="shared" si="103"/>
        <v>1.6236782533756742E-2</v>
      </c>
      <c r="N466" s="16">
        <f t="shared" si="104"/>
        <v>0.89304492892330378</v>
      </c>
      <c r="O466" s="16">
        <f t="shared" si="105"/>
        <v>-1.4409093089003903E-2</v>
      </c>
      <c r="R466" s="5">
        <f>IF($T$1, J466, -0.2)</f>
        <v>-0.2</v>
      </c>
    </row>
    <row r="467" spans="2:18" x14ac:dyDescent="0.3">
      <c r="B467" s="16">
        <v>0.89630641185405224</v>
      </c>
      <c r="C467" s="16">
        <f t="shared" si="97"/>
        <v>1.4936093085038328E-2</v>
      </c>
      <c r="D467" s="16">
        <f t="shared" si="93"/>
        <v>8.8706516004966583E-4</v>
      </c>
      <c r="E467" s="16">
        <f t="shared" si="94"/>
        <v>-8.5546770625887676E-3</v>
      </c>
      <c r="F467" s="16">
        <f t="shared" si="95"/>
        <v>-8.5544683875344758E-3</v>
      </c>
      <c r="G467" s="16" t="str">
        <f t="shared" si="98"/>
        <v xml:space="preserve"> </v>
      </c>
      <c r="H467" s="16" t="str">
        <f t="shared" si="99"/>
        <v xml:space="preserve"> </v>
      </c>
      <c r="I467" s="16" t="str">
        <f t="shared" si="100"/>
        <v xml:space="preserve"> </v>
      </c>
      <c r="J467" s="16">
        <f t="shared" si="96"/>
        <v>8.8706516004966583E-4</v>
      </c>
      <c r="K467" s="16">
        <f t="shared" si="101"/>
        <v>-8.5544683875344758E-3</v>
      </c>
      <c r="L467" s="16">
        <f t="shared" si="102"/>
        <v>0.89643418063183777</v>
      </c>
      <c r="M467" s="16">
        <f t="shared" si="103"/>
        <v>1.5822611744770058E-2</v>
      </c>
      <c r="N467" s="16">
        <f t="shared" si="104"/>
        <v>0.89617864307626671</v>
      </c>
      <c r="O467" s="16">
        <f t="shared" si="105"/>
        <v>-1.4048481424670727E-2</v>
      </c>
      <c r="R467" s="5">
        <f>IF($T$1, J467, -0.2)</f>
        <v>-0.2</v>
      </c>
    </row>
    <row r="468" spans="2:18" x14ac:dyDescent="0.3">
      <c r="B468" s="16">
        <v>0.8994378395199919</v>
      </c>
      <c r="C468" s="16">
        <f t="shared" si="97"/>
        <v>1.4547147224271858E-2</v>
      </c>
      <c r="D468" s="16">
        <f t="shared" si="93"/>
        <v>8.6027680762269592E-4</v>
      </c>
      <c r="E468" s="16">
        <f t="shared" si="94"/>
        <v>-8.5546770625887676E-3</v>
      </c>
      <c r="F468" s="16">
        <f t="shared" si="95"/>
        <v>-8.5544683875344758E-3</v>
      </c>
      <c r="G468" s="16" t="str">
        <f t="shared" si="98"/>
        <v xml:space="preserve"> </v>
      </c>
      <c r="H468" s="16" t="str">
        <f t="shared" si="99"/>
        <v xml:space="preserve"> </v>
      </c>
      <c r="I468" s="16" t="str">
        <f t="shared" si="100"/>
        <v xml:space="preserve"> </v>
      </c>
      <c r="J468" s="16">
        <f t="shared" si="96"/>
        <v>8.6027680762269592E-4</v>
      </c>
      <c r="K468" s="16">
        <f t="shared" si="101"/>
        <v>-8.5544683875344758E-3</v>
      </c>
      <c r="L468" s="16">
        <f t="shared" si="102"/>
        <v>0.8995622811132874</v>
      </c>
      <c r="M468" s="16">
        <f t="shared" si="103"/>
        <v>1.5406891762810673E-2</v>
      </c>
      <c r="N468" s="16">
        <f t="shared" si="104"/>
        <v>0.8993133979266964</v>
      </c>
      <c r="O468" s="16">
        <f t="shared" si="105"/>
        <v>-1.368633814756528E-2</v>
      </c>
      <c r="R468" s="5">
        <f>IF($T$1, J468, -0.2)</f>
        <v>-0.2</v>
      </c>
    </row>
    <row r="469" spans="2:18" x14ac:dyDescent="0.3">
      <c r="B469" s="16">
        <v>0.9025702636758276</v>
      </c>
      <c r="C469" s="16">
        <f t="shared" si="97"/>
        <v>1.4156657200768859E-2</v>
      </c>
      <c r="D469" s="16">
        <f t="shared" si="93"/>
        <v>8.3347993054646934E-4</v>
      </c>
      <c r="E469" s="16">
        <f t="shared" si="94"/>
        <v>-8.5546770625887676E-3</v>
      </c>
      <c r="F469" s="16">
        <f t="shared" si="95"/>
        <v>-8.5544683875344758E-3</v>
      </c>
      <c r="G469" s="16" t="str">
        <f t="shared" si="98"/>
        <v xml:space="preserve"> </v>
      </c>
      <c r="H469" s="16" t="str">
        <f t="shared" si="99"/>
        <v xml:space="preserve"> </v>
      </c>
      <c r="I469" s="16" t="str">
        <f t="shared" si="100"/>
        <v xml:space="preserve"> </v>
      </c>
      <c r="J469" s="16">
        <f t="shared" si="96"/>
        <v>8.3347993054646934E-4</v>
      </c>
      <c r="K469" s="16">
        <f t="shared" si="101"/>
        <v>-8.5544683875344758E-3</v>
      </c>
      <c r="L469" s="16">
        <f t="shared" si="102"/>
        <v>0.90269136487530277</v>
      </c>
      <c r="M469" s="16">
        <f t="shared" si="103"/>
        <v>1.4989619149965248E-2</v>
      </c>
      <c r="N469" s="16">
        <f t="shared" si="104"/>
        <v>0.90244916247635243</v>
      </c>
      <c r="O469" s="16">
        <f t="shared" si="105"/>
        <v>-1.3322659288872309E-2</v>
      </c>
      <c r="R469" s="5">
        <f>IF($T$1, J469, -0.2)</f>
        <v>-0.2</v>
      </c>
    </row>
    <row r="470" spans="2:18" x14ac:dyDescent="0.3">
      <c r="B470" s="16">
        <v>0.90570365328176206</v>
      </c>
      <c r="C470" s="16">
        <f t="shared" si="97"/>
        <v>1.3764619192238824E-2</v>
      </c>
      <c r="D470" s="16">
        <f t="shared" si="93"/>
        <v>8.066747943564277E-4</v>
      </c>
      <c r="E470" s="16">
        <f t="shared" si="94"/>
        <v>-8.5546770625887676E-3</v>
      </c>
      <c r="F470" s="16">
        <f t="shared" si="95"/>
        <v>-8.5544683875344758E-3</v>
      </c>
      <c r="G470" s="16" t="str">
        <f t="shared" si="98"/>
        <v xml:space="preserve"> </v>
      </c>
      <c r="H470" s="16" t="str">
        <f t="shared" si="99"/>
        <v xml:space="preserve"> </v>
      </c>
      <c r="I470" s="16" t="str">
        <f t="shared" si="100"/>
        <v xml:space="preserve"> </v>
      </c>
      <c r="J470" s="16">
        <f t="shared" si="96"/>
        <v>8.066747943564277E-4</v>
      </c>
      <c r="K470" s="16">
        <f t="shared" si="101"/>
        <v>-8.5544683875344758E-3</v>
      </c>
      <c r="L470" s="16">
        <f t="shared" si="102"/>
        <v>0.90582140084538942</v>
      </c>
      <c r="M470" s="16">
        <f t="shared" si="103"/>
        <v>1.4570790349618569E-2</v>
      </c>
      <c r="N470" s="16">
        <f t="shared" si="104"/>
        <v>0.90558590571813469</v>
      </c>
      <c r="O470" s="16">
        <f t="shared" si="105"/>
        <v>-1.2957440760905712E-2</v>
      </c>
      <c r="R470" s="5">
        <f>IF($T$1, J470, -0.2)</f>
        <v>-0.2</v>
      </c>
    </row>
    <row r="471" spans="2:18" x14ac:dyDescent="0.3">
      <c r="B471" s="16">
        <v>0.90883797728843208</v>
      </c>
      <c r="C471" s="16">
        <f t="shared" si="97"/>
        <v>1.3371029258017442E-2</v>
      </c>
      <c r="D471" s="16">
        <f t="shared" si="93"/>
        <v>7.7986166466984636E-4</v>
      </c>
      <c r="E471" s="16">
        <f t="shared" si="94"/>
        <v>-8.5546770625887676E-3</v>
      </c>
      <c r="F471" s="16">
        <f t="shared" si="95"/>
        <v>-8.5544683875344758E-3</v>
      </c>
      <c r="G471" s="16" t="str">
        <f t="shared" si="98"/>
        <v xml:space="preserve"> </v>
      </c>
      <c r="H471" s="16" t="str">
        <f t="shared" si="99"/>
        <v xml:space="preserve"> </v>
      </c>
      <c r="I471" s="16" t="str">
        <f t="shared" si="100"/>
        <v xml:space="preserve"> </v>
      </c>
      <c r="J471" s="16">
        <f t="shared" si="96"/>
        <v>7.7986166466984636E-4</v>
      </c>
      <c r="K471" s="16">
        <f t="shared" si="101"/>
        <v>-8.5544683875344758E-3</v>
      </c>
      <c r="L471" s="16">
        <f t="shared" si="102"/>
        <v>0.90895235794047435</v>
      </c>
      <c r="M471" s="16">
        <f t="shared" si="103"/>
        <v>1.4150401686867785E-2</v>
      </c>
      <c r="N471" s="16">
        <f t="shared" si="104"/>
        <v>0.9087235966363898</v>
      </c>
      <c r="O471" s="16">
        <f t="shared" si="105"/>
        <v>-1.2590678357528091E-2</v>
      </c>
      <c r="R471" s="5">
        <f>IF($T$1, J471, -0.2)</f>
        <v>-0.2</v>
      </c>
    </row>
    <row r="472" spans="2:18" x14ac:dyDescent="0.3">
      <c r="B472" s="16">
        <v>0.91197320463721476</v>
      </c>
      <c r="C472" s="16">
        <f t="shared" si="97"/>
        <v>1.2975883339510982E-2</v>
      </c>
      <c r="D472" s="16">
        <f t="shared" si="93"/>
        <v>7.5304080718321422E-4</v>
      </c>
      <c r="E472" s="16">
        <f t="shared" si="94"/>
        <v>-8.5546770625887676E-3</v>
      </c>
      <c r="F472" s="16">
        <f t="shared" si="95"/>
        <v>-8.5544683875344758E-3</v>
      </c>
      <c r="G472" s="16" t="str">
        <f t="shared" si="98"/>
        <v xml:space="preserve"> </v>
      </c>
      <c r="H472" s="16" t="str">
        <f t="shared" si="99"/>
        <v xml:space="preserve"> </v>
      </c>
      <c r="I472" s="16" t="str">
        <f t="shared" si="100"/>
        <v xml:space="preserve"> </v>
      </c>
      <c r="J472" s="16">
        <f t="shared" si="96"/>
        <v>7.5304080718321422E-4</v>
      </c>
      <c r="K472" s="16">
        <f t="shared" si="101"/>
        <v>-8.5544683875344758E-3</v>
      </c>
      <c r="L472" s="16">
        <f t="shared" si="102"/>
        <v>0.91208420506721599</v>
      </c>
      <c r="M472" s="16">
        <f t="shared" si="103"/>
        <v>1.372844936896416E-2</v>
      </c>
      <c r="N472" s="16">
        <f t="shared" si="104"/>
        <v>0.91186220420721353</v>
      </c>
      <c r="O472" s="16">
        <f t="shared" si="105"/>
        <v>-1.2222367754597731E-2</v>
      </c>
      <c r="R472" s="5">
        <f>IF($T$1, J472, -0.2)</f>
        <v>-0.2</v>
      </c>
    </row>
    <row r="473" spans="2:18" x14ac:dyDescent="0.3">
      <c r="B473" s="16">
        <v>0.91510930426053605</v>
      </c>
      <c r="C473" s="16">
        <f t="shared" si="97"/>
        <v>1.2579177260669499E-2</v>
      </c>
      <c r="D473" s="16">
        <f t="shared" si="93"/>
        <v>7.2621248766959433E-4</v>
      </c>
      <c r="E473" s="16">
        <f t="shared" si="94"/>
        <v>-8.5546770625887676E-3</v>
      </c>
      <c r="F473" s="16">
        <f t="shared" si="95"/>
        <v>-8.5544683875344758E-3</v>
      </c>
      <c r="G473" s="16" t="str">
        <f t="shared" si="98"/>
        <v xml:space="preserve"> </v>
      </c>
      <c r="H473" s="16" t="str">
        <f t="shared" si="99"/>
        <v xml:space="preserve"> </v>
      </c>
      <c r="I473" s="16" t="str">
        <f t="shared" si="100"/>
        <v xml:space="preserve"> </v>
      </c>
      <c r="J473" s="16">
        <f t="shared" si="96"/>
        <v>7.2621248766959433E-4</v>
      </c>
      <c r="K473" s="16">
        <f t="shared" si="101"/>
        <v>-8.5544683875344758E-3</v>
      </c>
      <c r="L473" s="16">
        <f t="shared" si="102"/>
        <v>0.91521691112231662</v>
      </c>
      <c r="M473" s="16">
        <f t="shared" si="103"/>
        <v>1.3304929485783604E-2</v>
      </c>
      <c r="N473" s="16">
        <f t="shared" si="104"/>
        <v>0.91500169739875548</v>
      </c>
      <c r="O473" s="16">
        <f t="shared" si="105"/>
        <v>-1.1852504510444416E-2</v>
      </c>
      <c r="R473" s="5">
        <f>IF($T$1, J473, -0.2)</f>
        <v>-0.2</v>
      </c>
    </row>
    <row r="474" spans="2:18" x14ac:dyDescent="0.3">
      <c r="B474" s="16">
        <v>0.91824624508217823</v>
      </c>
      <c r="C474" s="16">
        <f t="shared" si="97"/>
        <v>1.2180906728487175E-2</v>
      </c>
      <c r="D474" s="16">
        <f t="shared" si="93"/>
        <v>6.9937697197599365E-4</v>
      </c>
      <c r="E474" s="16">
        <f t="shared" si="94"/>
        <v>-8.5546770625887676E-3</v>
      </c>
      <c r="F474" s="16">
        <f t="shared" si="95"/>
        <v>-8.5544683875344758E-3</v>
      </c>
      <c r="G474" s="16" t="str">
        <f t="shared" si="98"/>
        <v xml:space="preserve"> </v>
      </c>
      <c r="H474" s="16" t="str">
        <f t="shared" si="99"/>
        <v xml:space="preserve"> </v>
      </c>
      <c r="I474" s="16" t="str">
        <f t="shared" si="100"/>
        <v xml:space="preserve"> </v>
      </c>
      <c r="J474" s="16">
        <f t="shared" si="96"/>
        <v>6.9937697197599365E-4</v>
      </c>
      <c r="K474" s="16">
        <f t="shared" si="101"/>
        <v>-8.5544683875344758E-3</v>
      </c>
      <c r="L474" s="16">
        <f t="shared" si="102"/>
        <v>0.91835044499283469</v>
      </c>
      <c r="M474" s="16">
        <f t="shared" si="103"/>
        <v>1.2879838010324392E-2</v>
      </c>
      <c r="N474" s="16">
        <f t="shared" si="104"/>
        <v>0.91814204517152176</v>
      </c>
      <c r="O474" s="16">
        <f t="shared" si="105"/>
        <v>-1.1481084066372403E-2</v>
      </c>
      <c r="R474" s="5">
        <f>IF($T$1, J474, -0.2)</f>
        <v>-0.2</v>
      </c>
    </row>
    <row r="475" spans="2:18" x14ac:dyDescent="0.3">
      <c r="B475" s="16">
        <v>0.92138399601758791</v>
      </c>
      <c r="C475" s="16">
        <f t="shared" si="97"/>
        <v>1.1781067333530926E-2</v>
      </c>
      <c r="D475" s="16">
        <f t="shared" si="93"/>
        <v>6.7253452602072787E-4</v>
      </c>
      <c r="E475" s="16">
        <f t="shared" si="94"/>
        <v>-8.5546770625887676E-3</v>
      </c>
      <c r="F475" s="16">
        <f t="shared" si="95"/>
        <v>-8.5544683875344758E-3</v>
      </c>
      <c r="G475" s="16" t="str">
        <f t="shared" si="98"/>
        <v xml:space="preserve"> </v>
      </c>
      <c r="H475" s="16" t="str">
        <f t="shared" si="99"/>
        <v xml:space="preserve"> </v>
      </c>
      <c r="I475" s="16" t="str">
        <f t="shared" si="100"/>
        <v xml:space="preserve"> </v>
      </c>
      <c r="J475" s="16">
        <f t="shared" si="96"/>
        <v>6.7253452602072787E-4</v>
      </c>
      <c r="K475" s="16">
        <f t="shared" si="101"/>
        <v>-8.5544683875344758E-3</v>
      </c>
      <c r="L475" s="16">
        <f t="shared" si="102"/>
        <v>0.9214847755564971</v>
      </c>
      <c r="M475" s="16">
        <f t="shared" si="103"/>
        <v>1.2453170799233085E-2</v>
      </c>
      <c r="N475" s="16">
        <f t="shared" si="104"/>
        <v>0.92128321647867872</v>
      </c>
      <c r="O475" s="16">
        <f t="shared" si="105"/>
        <v>-1.110810174719163E-2</v>
      </c>
      <c r="R475" s="5">
        <f>IF($T$1, J475, -0.2)</f>
        <v>-0.2</v>
      </c>
    </row>
    <row r="476" spans="2:18" x14ac:dyDescent="0.3">
      <c r="B476" s="16">
        <v>0.92452252597418461</v>
      </c>
      <c r="C476" s="16">
        <f t="shared" si="97"/>
        <v>1.1379654550497425E-2</v>
      </c>
      <c r="D476" s="16">
        <f t="shared" si="93"/>
        <v>6.4568541579078246E-4</v>
      </c>
      <c r="E476" s="16">
        <f t="shared" si="94"/>
        <v>-8.5546770625887676E-3</v>
      </c>
      <c r="F476" s="16">
        <f t="shared" si="95"/>
        <v>-8.5544683875344758E-3</v>
      </c>
      <c r="G476" s="16" t="str">
        <f t="shared" si="98"/>
        <v xml:space="preserve"> </v>
      </c>
      <c r="H476" s="16" t="str">
        <f t="shared" si="99"/>
        <v xml:space="preserve"> </v>
      </c>
      <c r="I476" s="16" t="str">
        <f t="shared" si="100"/>
        <v xml:space="preserve"> </v>
      </c>
      <c r="J476" s="16">
        <f t="shared" si="96"/>
        <v>6.4568541579078246E-4</v>
      </c>
      <c r="K476" s="16">
        <f t="shared" si="101"/>
        <v>-8.5544683875344758E-3</v>
      </c>
      <c r="L476" s="16">
        <f t="shared" si="102"/>
        <v>0.92461987168201198</v>
      </c>
      <c r="M476" s="16">
        <f t="shared" si="103"/>
        <v>1.2024923593358924E-2</v>
      </c>
      <c r="N476" s="16">
        <f t="shared" si="104"/>
        <v>0.92442518026635723</v>
      </c>
      <c r="O476" s="16">
        <f t="shared" si="105"/>
        <v>-1.073355276177736E-2</v>
      </c>
      <c r="R476" s="5">
        <f>IF($T$1, J476, -0.2)</f>
        <v>-0.2</v>
      </c>
    </row>
    <row r="477" spans="2:18" x14ac:dyDescent="0.3">
      <c r="B477" s="16">
        <v>0.92766180385166763</v>
      </c>
      <c r="C477" s="16">
        <f t="shared" si="97"/>
        <v>1.0976663738797203E-2</v>
      </c>
      <c r="D477" s="16">
        <f t="shared" si="93"/>
        <v>6.1882990733918609E-4</v>
      </c>
      <c r="E477" s="16">
        <f t="shared" si="94"/>
        <v>-8.5546770625887676E-3</v>
      </c>
      <c r="F477" s="16">
        <f t="shared" si="95"/>
        <v>-8.5544683875344758E-3</v>
      </c>
      <c r="G477" s="16" t="str">
        <f t="shared" si="98"/>
        <v xml:space="preserve"> </v>
      </c>
      <c r="H477" s="16" t="str">
        <f t="shared" si="99"/>
        <v xml:space="preserve"> </v>
      </c>
      <c r="I477" s="16" t="str">
        <f t="shared" si="100"/>
        <v xml:space="preserve"> </v>
      </c>
      <c r="J477" s="16">
        <f t="shared" si="96"/>
        <v>6.1882990733918609E-4</v>
      </c>
      <c r="K477" s="16">
        <f t="shared" si="101"/>
        <v>-8.5544683875344758E-3</v>
      </c>
      <c r="L477" s="16">
        <f t="shared" si="102"/>
        <v>0.92775570222938153</v>
      </c>
      <c r="M477" s="16">
        <f t="shared" si="103"/>
        <v>1.1595092018335265E-2</v>
      </c>
      <c r="N477" s="16">
        <f t="shared" si="104"/>
        <v>0.92756790547395374</v>
      </c>
      <c r="O477" s="16">
        <f t="shared" si="105"/>
        <v>-1.0357432203656893E-2</v>
      </c>
      <c r="R477" s="5">
        <f>IF($T$1, J477, -0.2)</f>
        <v>-0.2</v>
      </c>
    </row>
    <row r="478" spans="2:18" x14ac:dyDescent="0.3">
      <c r="B478" s="16">
        <v>0.93080179854232581</v>
      </c>
      <c r="C478" s="16">
        <f t="shared" si="97"/>
        <v>1.0572090143167711E-2</v>
      </c>
      <c r="D478" s="16">
        <f t="shared" si="93"/>
        <v>5.9196826678236205E-4</v>
      </c>
      <c r="E478" s="16">
        <f t="shared" si="94"/>
        <v>-8.5546770625887676E-3</v>
      </c>
      <c r="F478" s="16">
        <f t="shared" si="95"/>
        <v>-8.5544683875344758E-3</v>
      </c>
      <c r="G478" s="16" t="str">
        <f t="shared" si="98"/>
        <v xml:space="preserve"> </v>
      </c>
      <c r="H478" s="16" t="str">
        <f t="shared" si="99"/>
        <v xml:space="preserve"> </v>
      </c>
      <c r="I478" s="16" t="str">
        <f t="shared" si="100"/>
        <v xml:space="preserve"> </v>
      </c>
      <c r="J478" s="16">
        <f t="shared" si="96"/>
        <v>5.9196826678236205E-4</v>
      </c>
      <c r="K478" s="16">
        <f t="shared" si="101"/>
        <v>-8.5544683875344758E-3</v>
      </c>
      <c r="L478" s="16">
        <f t="shared" si="102"/>
        <v>0.93089223605021632</v>
      </c>
      <c r="M478" s="16">
        <f t="shared" si="103"/>
        <v>1.1163671585189971E-2</v>
      </c>
      <c r="N478" s="16">
        <f t="shared" si="104"/>
        <v>0.9307113610344353</v>
      </c>
      <c r="O478" s="16">
        <f t="shared" si="105"/>
        <v>-9.9797350516252475E-3</v>
      </c>
      <c r="R478" s="5">
        <f>IF($T$1, J478, -0.2)</f>
        <v>-0.2</v>
      </c>
    </row>
    <row r="479" spans="2:18" x14ac:dyDescent="0.3">
      <c r="B479" s="16">
        <v>0.93394247893134419</v>
      </c>
      <c r="C479" s="16">
        <f t="shared" si="97"/>
        <v>1.0165928894313789E-2</v>
      </c>
      <c r="D479" s="16">
        <f t="shared" si="93"/>
        <v>5.6510076029750412E-4</v>
      </c>
      <c r="E479" s="16">
        <f t="shared" si="94"/>
        <v>-8.5546770625887676E-3</v>
      </c>
      <c r="F479" s="16">
        <f t="shared" si="95"/>
        <v>-8.5544683875344758E-3</v>
      </c>
      <c r="G479" s="16" t="str">
        <f t="shared" si="98"/>
        <v xml:space="preserve"> </v>
      </c>
      <c r="H479" s="16" t="str">
        <f t="shared" si="99"/>
        <v xml:space="preserve"> </v>
      </c>
      <c r="I479" s="16" t="str">
        <f t="shared" si="100"/>
        <v xml:space="preserve"> </v>
      </c>
      <c r="J479" s="16">
        <f t="shared" si="96"/>
        <v>5.6510076029750412E-4</v>
      </c>
      <c r="K479" s="16">
        <f t="shared" si="101"/>
        <v>-8.5544683875344758E-3</v>
      </c>
      <c r="L479" s="16">
        <f t="shared" si="102"/>
        <v>0.9340294419880476</v>
      </c>
      <c r="M479" s="16">
        <f t="shared" si="103"/>
        <v>1.073065769098324E-2</v>
      </c>
      <c r="N479" s="16">
        <f t="shared" si="104"/>
        <v>0.93385551587464077</v>
      </c>
      <c r="O479" s="16">
        <f t="shared" si="105"/>
        <v>-9.6004561703882316E-3</v>
      </c>
      <c r="R479" s="5">
        <f>IF($T$1, J479, -0.2)</f>
        <v>-0.2</v>
      </c>
    </row>
    <row r="480" spans="2:18" x14ac:dyDescent="0.3">
      <c r="B480" s="16">
        <v>0.9370838138971137</v>
      </c>
      <c r="C480" s="16">
        <f t="shared" si="97"/>
        <v>9.7581750095761168E-3</v>
      </c>
      <c r="D480" s="16">
        <f t="shared" si="93"/>
        <v>5.3822765411992756E-4</v>
      </c>
      <c r="E480" s="16">
        <f t="shared" si="94"/>
        <v>-8.5546770625887676E-3</v>
      </c>
      <c r="F480" s="16">
        <f t="shared" si="95"/>
        <v>-8.5544683875344758E-3</v>
      </c>
      <c r="G480" s="16" t="str">
        <f t="shared" si="98"/>
        <v xml:space="preserve"> </v>
      </c>
      <c r="H480" s="16" t="str">
        <f t="shared" si="99"/>
        <v xml:space="preserve"> </v>
      </c>
      <c r="I480" s="16" t="str">
        <f t="shared" si="100"/>
        <v xml:space="preserve"> </v>
      </c>
      <c r="J480" s="16">
        <f t="shared" si="96"/>
        <v>5.3822765411992756E-4</v>
      </c>
      <c r="K480" s="16">
        <f t="shared" si="101"/>
        <v>-8.5544683875344758E-3</v>
      </c>
      <c r="L480" s="16">
        <f t="shared" si="102"/>
        <v>0.93716728887864287</v>
      </c>
      <c r="M480" s="16">
        <f t="shared" si="103"/>
        <v>1.0296045619473379E-2</v>
      </c>
      <c r="N480" s="16">
        <f t="shared" si="104"/>
        <v>0.93700033891558454</v>
      </c>
      <c r="O480" s="16">
        <f t="shared" si="105"/>
        <v>-9.2195903112335248E-3</v>
      </c>
      <c r="R480" s="5">
        <f>IF($T$1, J480, -0.2)</f>
        <v>-0.2</v>
      </c>
    </row>
    <row r="481" spans="2:18" x14ac:dyDescent="0.3">
      <c r="B481" s="16">
        <v>0.94022577231153837</v>
      </c>
      <c r="C481" s="16">
        <f t="shared" si="97"/>
        <v>9.3488233936280356E-3</v>
      </c>
      <c r="D481" s="16">
        <f t="shared" si="93"/>
        <v>5.113492145404411E-4</v>
      </c>
      <c r="E481" s="16">
        <f t="shared" si="94"/>
        <v>-8.5546770625887676E-3</v>
      </c>
      <c r="F481" s="16">
        <f t="shared" si="95"/>
        <v>-8.5544683875344758E-3</v>
      </c>
      <c r="G481" s="16" t="str">
        <f t="shared" si="98"/>
        <v xml:space="preserve"> </v>
      </c>
      <c r="H481" s="16" t="str">
        <f t="shared" si="99"/>
        <v xml:space="preserve"> </v>
      </c>
      <c r="I481" s="16" t="str">
        <f t="shared" si="100"/>
        <v xml:space="preserve"> </v>
      </c>
      <c r="J481" s="16">
        <f t="shared" si="96"/>
        <v>5.113492145404411E-4</v>
      </c>
      <c r="K481" s="16">
        <f t="shared" si="101"/>
        <v>-8.5544683875344758E-3</v>
      </c>
      <c r="L481" s="16">
        <f t="shared" si="102"/>
        <v>0.94030574555031876</v>
      </c>
      <c r="M481" s="16">
        <f t="shared" si="103"/>
        <v>9.8598305418109711E-3</v>
      </c>
      <c r="N481" s="16">
        <f t="shared" si="104"/>
        <v>0.94014579907275797</v>
      </c>
      <c r="O481" s="16">
        <f t="shared" si="105"/>
        <v>-8.8371321127300902E-3</v>
      </c>
      <c r="R481" s="5">
        <f>IF($T$1, J481, -0.2)</f>
        <v>-0.2</v>
      </c>
    </row>
    <row r="482" spans="2:18" x14ac:dyDescent="0.3">
      <c r="B482" s="16">
        <v>0.94336832304034501</v>
      </c>
      <c r="C482" s="16">
        <f t="shared" si="97"/>
        <v>8.937868839199772E-3</v>
      </c>
      <c r="D482" s="16">
        <f t="shared" si="93"/>
        <v>4.8446570790269729E-4</v>
      </c>
      <c r="E482" s="16">
        <f t="shared" si="94"/>
        <v>-8.5546770625887676E-3</v>
      </c>
      <c r="F482" s="16">
        <f t="shared" si="95"/>
        <v>-8.5544683875344758E-3</v>
      </c>
      <c r="G482" s="16" t="str">
        <f t="shared" si="98"/>
        <v xml:space="preserve"> </v>
      </c>
      <c r="H482" s="16" t="str">
        <f t="shared" si="99"/>
        <v xml:space="preserve"> </v>
      </c>
      <c r="I482" s="16" t="str">
        <f t="shared" si="100"/>
        <v xml:space="preserve"> </v>
      </c>
      <c r="J482" s="16">
        <f t="shared" si="96"/>
        <v>4.8446570790269729E-4</v>
      </c>
      <c r="K482" s="16">
        <f t="shared" si="101"/>
        <v>-8.5544683875344758E-3</v>
      </c>
      <c r="L482" s="16">
        <f t="shared" si="102"/>
        <v>0.94344478082425742</v>
      </c>
      <c r="M482" s="16">
        <f t="shared" si="103"/>
        <v>9.4220075172604285E-3</v>
      </c>
      <c r="N482" s="16">
        <f t="shared" si="104"/>
        <v>0.9432918652564326</v>
      </c>
      <c r="O482" s="16">
        <f t="shared" si="105"/>
        <v>-8.4530761014550357E-3</v>
      </c>
      <c r="R482" s="5">
        <f>IF($T$1, J482, -0.2)</f>
        <v>-0.2</v>
      </c>
    </row>
    <row r="483" spans="2:18" x14ac:dyDescent="0.3">
      <c r="B483" s="16">
        <v>0.94651143494339052</v>
      </c>
      <c r="C483" s="16">
        <f t="shared" si="97"/>
        <v>8.5253060278309614E-3</v>
      </c>
      <c r="D483" s="16">
        <f t="shared" si="93"/>
        <v>4.575774006005642E-4</v>
      </c>
      <c r="E483" s="16">
        <f t="shared" si="94"/>
        <v>-8.5546770625887676E-3</v>
      </c>
      <c r="F483" s="16">
        <f t="shared" si="95"/>
        <v>-8.5544683875344758E-3</v>
      </c>
      <c r="G483" s="16" t="str">
        <f t="shared" si="98"/>
        <v xml:space="preserve"> </v>
      </c>
      <c r="H483" s="16" t="str">
        <f t="shared" si="99"/>
        <v xml:space="preserve"> </v>
      </c>
      <c r="I483" s="16" t="str">
        <f t="shared" si="100"/>
        <v xml:space="preserve"> </v>
      </c>
      <c r="J483" s="16">
        <f t="shared" si="96"/>
        <v>4.575774006005642E-4</v>
      </c>
      <c r="K483" s="16">
        <f t="shared" si="101"/>
        <v>-8.5544683875344758E-3</v>
      </c>
      <c r="L483" s="16">
        <f t="shared" si="102"/>
        <v>0.94658436351481956</v>
      </c>
      <c r="M483" s="16">
        <f t="shared" si="103"/>
        <v>8.9825714939498515E-3</v>
      </c>
      <c r="N483" s="16">
        <f t="shared" si="104"/>
        <v>0.94643850637196147</v>
      </c>
      <c r="O483" s="16">
        <f t="shared" si="105"/>
        <v>-8.0674166927487238E-3</v>
      </c>
      <c r="R483" s="5">
        <f>IF($T$1, J483, -0.2)</f>
        <v>-0.2</v>
      </c>
    </row>
    <row r="484" spans="2:18" x14ac:dyDescent="0.3">
      <c r="B484" s="16">
        <v>0.9496550768749713</v>
      </c>
      <c r="C484" s="16">
        <f t="shared" si="97"/>
        <v>8.1111295306509588E-3</v>
      </c>
      <c r="D484" s="16">
        <f t="shared" si="93"/>
        <v>4.3068455907547778E-4</v>
      </c>
      <c r="E484" s="16">
        <f t="shared" si="94"/>
        <v>-8.5546770625887676E-3</v>
      </c>
      <c r="F484" s="16">
        <f t="shared" si="95"/>
        <v>-8.5544683875344758E-3</v>
      </c>
      <c r="G484" s="16" t="str">
        <f t="shared" si="98"/>
        <v xml:space="preserve"> </v>
      </c>
      <c r="H484" s="16" t="str">
        <f t="shared" si="99"/>
        <v xml:space="preserve"> </v>
      </c>
      <c r="I484" s="16" t="str">
        <f t="shared" si="100"/>
        <v xml:space="preserve"> </v>
      </c>
      <c r="J484" s="16">
        <f t="shared" si="96"/>
        <v>4.3068455907547778E-4</v>
      </c>
      <c r="K484" s="16">
        <f t="shared" si="101"/>
        <v>-8.5544683875344758E-3</v>
      </c>
      <c r="L484" s="16">
        <f t="shared" si="102"/>
        <v>0.94972446242986108</v>
      </c>
      <c r="M484" s="16">
        <f t="shared" si="103"/>
        <v>8.541517309648668E-3</v>
      </c>
      <c r="N484" s="16">
        <f t="shared" si="104"/>
        <v>0.94958569132008153</v>
      </c>
      <c r="O484" s="16">
        <f t="shared" si="105"/>
        <v>-7.680148191497713E-3</v>
      </c>
      <c r="R484" s="5">
        <f>IF($T$1, J484, -0.2)</f>
        <v>-0.2</v>
      </c>
    </row>
    <row r="485" spans="2:18" x14ac:dyDescent="0.3">
      <c r="B485" s="16">
        <v>0.95279921768413134</v>
      </c>
      <c r="C485" s="16">
        <f t="shared" si="97"/>
        <v>7.6953338091870268E-3</v>
      </c>
      <c r="D485" s="16">
        <f t="shared" si="93"/>
        <v>4.0378744981380715E-4</v>
      </c>
      <c r="E485" s="16">
        <f t="shared" si="94"/>
        <v>-8.5546770625887676E-3</v>
      </c>
      <c r="F485" s="16">
        <f t="shared" si="95"/>
        <v>-8.5544683875344758E-3</v>
      </c>
      <c r="G485" s="16" t="str">
        <f t="shared" si="98"/>
        <v xml:space="preserve"> </v>
      </c>
      <c r="H485" s="16" t="str">
        <f t="shared" si="99"/>
        <v xml:space="preserve"> </v>
      </c>
      <c r="I485" s="16" t="str">
        <f t="shared" si="100"/>
        <v xml:space="preserve"> </v>
      </c>
      <c r="J485" s="16">
        <f t="shared" si="96"/>
        <v>4.0378744981380715E-4</v>
      </c>
      <c r="K485" s="16">
        <f t="shared" si="101"/>
        <v>-8.5544683875344758E-3</v>
      </c>
      <c r="L485" s="16">
        <f t="shared" si="102"/>
        <v>0.95286504637104785</v>
      </c>
      <c r="M485" s="16">
        <f t="shared" si="103"/>
        <v>8.0988396925731621E-3</v>
      </c>
      <c r="N485" s="16">
        <f t="shared" si="104"/>
        <v>0.95273338899721483</v>
      </c>
      <c r="O485" s="16">
        <f t="shared" si="105"/>
        <v>-7.2912647929455473E-3</v>
      </c>
      <c r="R485" s="5">
        <f>IF($T$1, J485, -0.2)</f>
        <v>-0.2</v>
      </c>
    </row>
    <row r="486" spans="2:18" x14ac:dyDescent="0.3">
      <c r="B486" s="16">
        <v>0.9559438262149712</v>
      </c>
      <c r="C486" s="16">
        <f t="shared" si="97"/>
        <v>7.2779132161999464E-3</v>
      </c>
      <c r="D486" s="16">
        <f t="shared" si="93"/>
        <v>3.7688633934421039E-4</v>
      </c>
      <c r="E486" s="16">
        <f t="shared" si="94"/>
        <v>-8.5546770625887676E-3</v>
      </c>
      <c r="F486" s="16">
        <f t="shared" si="95"/>
        <v>-8.5544683875344758E-3</v>
      </c>
      <c r="G486" s="16" t="str">
        <f t="shared" si="98"/>
        <v xml:space="preserve"> </v>
      </c>
      <c r="H486" s="16" t="str">
        <f t="shared" si="99"/>
        <v xml:space="preserve"> </v>
      </c>
      <c r="I486" s="16" t="str">
        <f t="shared" si="100"/>
        <v xml:space="preserve"> </v>
      </c>
      <c r="J486" s="16">
        <f t="shared" si="96"/>
        <v>3.7688633934421039E-4</v>
      </c>
      <c r="K486" s="16">
        <f t="shared" si="101"/>
        <v>-8.5544683875344758E-3</v>
      </c>
      <c r="L486" s="16">
        <f t="shared" si="102"/>
        <v>0.95600608413417199</v>
      </c>
      <c r="M486" s="16">
        <f t="shared" si="103"/>
        <v>7.6545332622193953E-3</v>
      </c>
      <c r="N486" s="16">
        <f t="shared" si="104"/>
        <v>0.95588156829577042</v>
      </c>
      <c r="O486" s="16">
        <f t="shared" si="105"/>
        <v>-6.9007605835309741E-3</v>
      </c>
      <c r="R486" s="5">
        <f>IF($T$1, J486, -0.2)</f>
        <v>-0.2</v>
      </c>
    </row>
    <row r="487" spans="2:18" x14ac:dyDescent="0.3">
      <c r="B487" s="16">
        <v>0.95908887130695719</v>
      </c>
      <c r="C487" s="16">
        <f t="shared" si="97"/>
        <v>6.8588619965483039E-3</v>
      </c>
      <c r="D487" s="16">
        <f t="shared" si="93"/>
        <v>3.4998149423499052E-4</v>
      </c>
      <c r="E487" s="16">
        <f t="shared" si="94"/>
        <v>-8.5546770625887676E-3</v>
      </c>
      <c r="F487" s="16">
        <f t="shared" si="95"/>
        <v>-8.5544683875344758E-3</v>
      </c>
      <c r="G487" s="16" t="str">
        <f t="shared" si="98"/>
        <v xml:space="preserve"> </v>
      </c>
      <c r="H487" s="16" t="str">
        <f t="shared" si="99"/>
        <v xml:space="preserve"> </v>
      </c>
      <c r="I487" s="16" t="str">
        <f t="shared" si="100"/>
        <v xml:space="preserve"> </v>
      </c>
      <c r="J487" s="16">
        <f t="shared" si="96"/>
        <v>3.4998149423499052E-4</v>
      </c>
      <c r="K487" s="16">
        <f t="shared" si="101"/>
        <v>-8.5544683875344758E-3</v>
      </c>
      <c r="L487" s="16">
        <f t="shared" si="102"/>
        <v>0.95914754450946804</v>
      </c>
      <c r="M487" s="16">
        <f t="shared" si="103"/>
        <v>7.2085925302248369E-3</v>
      </c>
      <c r="N487" s="16">
        <f t="shared" si="104"/>
        <v>0.95903019810444634</v>
      </c>
      <c r="O487" s="16">
        <f t="shared" si="105"/>
        <v>-6.5086295417548555E-3</v>
      </c>
      <c r="R487" s="5">
        <f>IF($T$1, J487, -0.2)</f>
        <v>-0.2</v>
      </c>
    </row>
    <row r="488" spans="2:18" x14ac:dyDescent="0.3">
      <c r="B488" s="16">
        <v>0.96223432179522894</v>
      </c>
      <c r="C488" s="16">
        <f t="shared" si="97"/>
        <v>6.4381742880793543E-3</v>
      </c>
      <c r="D488" s="16">
        <f t="shared" si="93"/>
        <v>3.230731810914635E-4</v>
      </c>
      <c r="E488" s="16">
        <f t="shared" si="94"/>
        <v>-8.5546770625887676E-3</v>
      </c>
      <c r="F488" s="16">
        <f t="shared" si="95"/>
        <v>-8.5544683875344758E-3</v>
      </c>
      <c r="G488" s="16" t="str">
        <f t="shared" si="98"/>
        <v xml:space="preserve"> </v>
      </c>
      <c r="H488" s="16" t="str">
        <f t="shared" si="99"/>
        <v xml:space="preserve"> </v>
      </c>
      <c r="I488" s="16" t="str">
        <f t="shared" si="100"/>
        <v xml:space="preserve"> </v>
      </c>
      <c r="J488" s="16">
        <f t="shared" si="96"/>
        <v>3.230731810914635E-4</v>
      </c>
      <c r="K488" s="16">
        <f t="shared" si="101"/>
        <v>-8.5544683875344758E-3</v>
      </c>
      <c r="L488" s="16">
        <f t="shared" si="102"/>
        <v>0.96228939628192867</v>
      </c>
      <c r="M488" s="16">
        <f t="shared" si="103"/>
        <v>6.7610119012565485E-3</v>
      </c>
      <c r="N488" s="16">
        <f t="shared" si="104"/>
        <v>0.96217924730852922</v>
      </c>
      <c r="O488" s="16">
        <f t="shared" si="105"/>
        <v>-6.1148655390736223E-3</v>
      </c>
      <c r="R488" s="5">
        <f>IF($T$1, J488, -0.2)</f>
        <v>-0.2</v>
      </c>
    </row>
    <row r="489" spans="2:18" x14ac:dyDescent="0.3">
      <c r="B489" s="16">
        <v>0.96538014651090975</v>
      </c>
      <c r="C489" s="16">
        <f t="shared" si="97"/>
        <v>6.0158441225484803E-3</v>
      </c>
      <c r="D489" s="16">
        <f t="shared" si="93"/>
        <v>2.9616166655330406E-4</v>
      </c>
      <c r="E489" s="16">
        <f t="shared" si="94"/>
        <v>-8.5546770625887676E-3</v>
      </c>
      <c r="F489" s="16">
        <f t="shared" si="95"/>
        <v>-8.5544683875344758E-3</v>
      </c>
      <c r="G489" s="16" t="str">
        <f t="shared" si="98"/>
        <v xml:space="preserve"> </v>
      </c>
      <c r="H489" s="16" t="str">
        <f t="shared" si="99"/>
        <v xml:space="preserve"> </v>
      </c>
      <c r="I489" s="16" t="str">
        <f t="shared" si="100"/>
        <v xml:space="preserve"> </v>
      </c>
      <c r="J489" s="16">
        <f t="shared" si="96"/>
        <v>2.9616166655330406E-4</v>
      </c>
      <c r="K489" s="16">
        <f t="shared" si="101"/>
        <v>-8.5544683875344758E-3</v>
      </c>
      <c r="L489" s="16">
        <f t="shared" si="102"/>
        <v>0.96543160823162277</v>
      </c>
      <c r="M489" s="16">
        <f t="shared" si="103"/>
        <v>6.3117856739279632E-3</v>
      </c>
      <c r="N489" s="16">
        <f t="shared" si="104"/>
        <v>0.96532868479019673</v>
      </c>
      <c r="O489" s="16">
        <f t="shared" si="105"/>
        <v>-5.7194623408213545E-3</v>
      </c>
      <c r="R489" s="5">
        <f>IF($T$1, J489, -0.2)</f>
        <v>-0.2</v>
      </c>
    </row>
    <row r="490" spans="2:18" x14ac:dyDescent="0.3">
      <c r="B490" s="16">
        <v>0.96852631428141356</v>
      </c>
      <c r="C490" s="16">
        <f t="shared" si="97"/>
        <v>5.5918654265659003E-3</v>
      </c>
      <c r="D490" s="16">
        <f t="shared" si="93"/>
        <v>2.6924721729191912E-4</v>
      </c>
      <c r="E490" s="16">
        <f t="shared" si="94"/>
        <v>-8.5546770625887676E-3</v>
      </c>
      <c r="F490" s="16">
        <f t="shared" si="95"/>
        <v>-8.5544683875344758E-3</v>
      </c>
      <c r="G490" s="16" t="str">
        <f t="shared" si="98"/>
        <v xml:space="preserve"> </v>
      </c>
      <c r="H490" s="16" t="str">
        <f t="shared" si="99"/>
        <v xml:space="preserve"> </v>
      </c>
      <c r="I490" s="16" t="str">
        <f t="shared" si="100"/>
        <v xml:space="preserve"> </v>
      </c>
      <c r="J490" s="16">
        <f t="shared" si="96"/>
        <v>2.6924721729191912E-4</v>
      </c>
      <c r="K490" s="16">
        <f t="shared" si="101"/>
        <v>-8.5544683875344758E-3</v>
      </c>
      <c r="L490" s="16">
        <f t="shared" si="102"/>
        <v>0.9685741491340103</v>
      </c>
      <c r="M490" s="16">
        <f t="shared" si="103"/>
        <v>5.860908041742924E-3</v>
      </c>
      <c r="N490" s="16">
        <f t="shared" si="104"/>
        <v>0.96847847942881682</v>
      </c>
      <c r="O490" s="16">
        <f t="shared" si="105"/>
        <v>-5.3224136071590858E-3</v>
      </c>
      <c r="R490" s="5">
        <f>IF($T$1, J490, -0.2)</f>
        <v>-0.2</v>
      </c>
    </row>
    <row r="491" spans="2:18" x14ac:dyDescent="0.3">
      <c r="B491" s="16">
        <v>0.9716727939307559</v>
      </c>
      <c r="C491" s="16">
        <f t="shared" si="97"/>
        <v>5.1662320225706933E-3</v>
      </c>
      <c r="D491" s="16">
        <f t="shared" si="93"/>
        <v>2.4233010000778785E-4</v>
      </c>
      <c r="E491" s="16">
        <f t="shared" si="94"/>
        <v>-8.5546770625887676E-3</v>
      </c>
      <c r="F491" s="16">
        <f t="shared" si="95"/>
        <v>-8.5544683875344758E-3</v>
      </c>
      <c r="G491" s="16" t="str">
        <f t="shared" si="98"/>
        <v xml:space="preserve"> </v>
      </c>
      <c r="H491" s="16" t="str">
        <f t="shared" si="99"/>
        <v xml:space="preserve"> </v>
      </c>
      <c r="I491" s="16" t="str">
        <f t="shared" si="100"/>
        <v xml:space="preserve"> </v>
      </c>
      <c r="J491" s="16">
        <f t="shared" si="96"/>
        <v>2.4233010000778785E-4</v>
      </c>
      <c r="K491" s="16">
        <f t="shared" si="101"/>
        <v>-8.5544683875344758E-3</v>
      </c>
      <c r="L491" s="16">
        <f t="shared" si="102"/>
        <v>0.9717169877602615</v>
      </c>
      <c r="M491" s="16">
        <f t="shared" si="103"/>
        <v>5.4083730940670226E-3</v>
      </c>
      <c r="N491" s="16">
        <f t="shared" si="104"/>
        <v>0.97162860010125029</v>
      </c>
      <c r="O491" s="16">
        <f t="shared" si="105"/>
        <v>-4.9237128940514477E-3</v>
      </c>
      <c r="R491" s="5">
        <f>IF($T$1, J491, -0.2)</f>
        <v>-0.2</v>
      </c>
    </row>
    <row r="492" spans="2:18" x14ac:dyDescent="0.3">
      <c r="B492" s="16">
        <v>0.97481955427986144</v>
      </c>
      <c r="C492" s="16">
        <f t="shared" si="97"/>
        <v>4.7389376298328399E-3</v>
      </c>
      <c r="D492" s="16">
        <f t="shared" si="93"/>
        <v>2.1541058142783079E-4</v>
      </c>
      <c r="E492" s="16">
        <f t="shared" si="94"/>
        <v>-8.5546770625887676E-3</v>
      </c>
      <c r="F492" s="16">
        <f t="shared" si="95"/>
        <v>-8.5544683875344758E-3</v>
      </c>
      <c r="G492" s="16" t="str">
        <f t="shared" si="98"/>
        <v xml:space="preserve"> </v>
      </c>
      <c r="H492" s="16" t="str">
        <f t="shared" si="99"/>
        <v xml:space="preserve"> </v>
      </c>
      <c r="I492" s="16" t="str">
        <f t="shared" si="100"/>
        <v xml:space="preserve"> </v>
      </c>
      <c r="J492" s="16">
        <f t="shared" si="96"/>
        <v>2.1541058142783079E-4</v>
      </c>
      <c r="K492" s="16">
        <f t="shared" si="101"/>
        <v>-8.5544683875344758E-3</v>
      </c>
      <c r="L492" s="16">
        <f t="shared" si="102"/>
        <v>0.97486009287757358</v>
      </c>
      <c r="M492" s="16">
        <f t="shared" si="103"/>
        <v>4.9541748171269681E-3</v>
      </c>
      <c r="N492" s="16">
        <f t="shared" si="104"/>
        <v>0.97477901568214931</v>
      </c>
      <c r="O492" s="16">
        <f t="shared" si="105"/>
        <v>-4.5233536542713072E-3</v>
      </c>
      <c r="R492" s="5">
        <f>IF($T$1, J492, -0.2)</f>
        <v>-0.2</v>
      </c>
    </row>
    <row r="493" spans="2:18" x14ac:dyDescent="0.3">
      <c r="B493" s="16">
        <v>0.977966564146873</v>
      </c>
      <c r="C493" s="16">
        <f t="shared" si="97"/>
        <v>4.3099758654820903E-3</v>
      </c>
      <c r="D493" s="16">
        <f t="shared" si="93"/>
        <v>1.8848892830276655E-4</v>
      </c>
      <c r="E493" s="16">
        <f t="shared" si="94"/>
        <v>-8.5546770625887676E-3</v>
      </c>
      <c r="F493" s="16">
        <f t="shared" si="95"/>
        <v>-8.5544683875344758E-3</v>
      </c>
      <c r="G493" s="16" t="str">
        <f t="shared" si="98"/>
        <v xml:space="preserve"> </v>
      </c>
      <c r="H493" s="16" t="str">
        <f t="shared" si="99"/>
        <v xml:space="preserve"> </v>
      </c>
      <c r="I493" s="16" t="str">
        <f t="shared" si="100"/>
        <v xml:space="preserve"> </v>
      </c>
      <c r="J493" s="16">
        <f t="shared" si="96"/>
        <v>1.8848892830276655E-4</v>
      </c>
      <c r="K493" s="16">
        <f t="shared" si="101"/>
        <v>-8.5544683875344758E-3</v>
      </c>
      <c r="L493" s="16">
        <f t="shared" si="102"/>
        <v>0.97800343324948791</v>
      </c>
      <c r="M493" s="16">
        <f t="shared" si="103"/>
        <v>4.4983070950367727E-3</v>
      </c>
      <c r="N493" s="16">
        <f t="shared" si="104"/>
        <v>0.97792969504425808</v>
      </c>
      <c r="O493" s="16">
        <f t="shared" si="105"/>
        <v>-4.1213292384312391E-3</v>
      </c>
      <c r="R493" s="5">
        <f>IF($T$1, J493, -0.2)</f>
        <v>-0.2</v>
      </c>
    </row>
    <row r="494" spans="2:18" x14ac:dyDescent="0.3">
      <c r="B494" s="16">
        <v>0.98111379234746177</v>
      </c>
      <c r="C494" s="16">
        <f t="shared" si="97"/>
        <v>3.8793402455646136E-3</v>
      </c>
      <c r="D494" s="16">
        <f t="shared" si="93"/>
        <v>1.6156540740445727E-4</v>
      </c>
      <c r="E494" s="16">
        <f t="shared" si="94"/>
        <v>-8.5546770625887676E-3</v>
      </c>
      <c r="F494" s="16">
        <f t="shared" si="95"/>
        <v>-8.5544683875344758E-3</v>
      </c>
      <c r="G494" s="16" t="str">
        <f t="shared" si="98"/>
        <v xml:space="preserve"> </v>
      </c>
      <c r="H494" s="16" t="str">
        <f t="shared" si="99"/>
        <v xml:space="preserve"> </v>
      </c>
      <c r="I494" s="16" t="str">
        <f t="shared" si="100"/>
        <v xml:space="preserve"> </v>
      </c>
      <c r="J494" s="16">
        <f t="shared" si="96"/>
        <v>1.6156540740445727E-4</v>
      </c>
      <c r="K494" s="16">
        <f t="shared" si="101"/>
        <v>-8.5544683875344758E-3</v>
      </c>
      <c r="L494" s="16">
        <f t="shared" si="102"/>
        <v>0.98114697763620951</v>
      </c>
      <c r="M494" s="16">
        <f t="shared" si="103"/>
        <v>4.0407637108517101E-3</v>
      </c>
      <c r="N494" s="16">
        <f t="shared" si="104"/>
        <v>0.98108060705871403</v>
      </c>
      <c r="O494" s="16">
        <f t="shared" si="105"/>
        <v>-3.7176328960427957E-3</v>
      </c>
      <c r="R494" s="5">
        <f>IF($T$1, J494, -0.2)</f>
        <v>-0.2</v>
      </c>
    </row>
    <row r="495" spans="2:18" x14ac:dyDescent="0.3">
      <c r="B495" s="16">
        <v>0.98426120769513414</v>
      </c>
      <c r="C495" s="16">
        <f t="shared" si="97"/>
        <v>3.4470241861267932E-3</v>
      </c>
      <c r="D495" s="16">
        <f t="shared" si="93"/>
        <v>1.3464028552328454E-4</v>
      </c>
      <c r="E495" s="16">
        <f t="shared" si="94"/>
        <v>-8.5546770625887676E-3</v>
      </c>
      <c r="F495" s="16">
        <f t="shared" si="95"/>
        <v>-8.5544683875344758E-3</v>
      </c>
      <c r="G495" s="16" t="str">
        <f t="shared" si="98"/>
        <v xml:space="preserve"> </v>
      </c>
      <c r="H495" s="16" t="str">
        <f t="shared" si="99"/>
        <v xml:space="preserve"> </v>
      </c>
      <c r="I495" s="16" t="str">
        <f t="shared" si="100"/>
        <v xml:space="preserve"> </v>
      </c>
      <c r="J495" s="16">
        <f t="shared" si="96"/>
        <v>1.3464028552328454E-4</v>
      </c>
      <c r="K495" s="16">
        <f t="shared" si="101"/>
        <v>-8.5544683875344758E-3</v>
      </c>
      <c r="L495" s="16">
        <f t="shared" si="102"/>
        <v>0.98429069479492326</v>
      </c>
      <c r="M495" s="16">
        <f t="shared" si="103"/>
        <v>3.5815383476494487E-3</v>
      </c>
      <c r="N495" s="16">
        <f t="shared" si="104"/>
        <v>0.98423172059534503</v>
      </c>
      <c r="O495" s="16">
        <f t="shared" si="105"/>
        <v>-3.31225777660288E-3</v>
      </c>
      <c r="R495" s="5">
        <f>IF($T$1, J495, -0.2)</f>
        <v>-0.2</v>
      </c>
    </row>
    <row r="496" spans="2:18" x14ac:dyDescent="0.3">
      <c r="B496" s="16">
        <v>0.98740877900154345</v>
      </c>
      <c r="C496" s="16">
        <f t="shared" si="97"/>
        <v>3.013021004325708E-3</v>
      </c>
      <c r="D496" s="16">
        <f t="shared" si="93"/>
        <v>1.0771382946548232E-4</v>
      </c>
      <c r="E496" s="16">
        <f t="shared" si="94"/>
        <v>-8.5546770625887676E-3</v>
      </c>
      <c r="F496" s="16">
        <f t="shared" si="95"/>
        <v>-8.5544683875344758E-3</v>
      </c>
      <c r="G496" s="16" t="str">
        <f t="shared" si="98"/>
        <v xml:space="preserve"> </v>
      </c>
      <c r="H496" s="16" t="str">
        <f t="shared" si="99"/>
        <v xml:space="preserve"> </v>
      </c>
      <c r="I496" s="16" t="str">
        <f t="shared" si="100"/>
        <v xml:space="preserve"> </v>
      </c>
      <c r="J496" s="16">
        <f t="shared" si="96"/>
        <v>1.0771382946548232E-4</v>
      </c>
      <c r="K496" s="16">
        <f t="shared" si="101"/>
        <v>-8.5544683875344758E-3</v>
      </c>
      <c r="L496" s="16">
        <f t="shared" si="102"/>
        <v>0.98743455348011511</v>
      </c>
      <c r="M496" s="16">
        <f t="shared" si="103"/>
        <v>3.1206245896378206E-3</v>
      </c>
      <c r="N496" s="16">
        <f t="shared" si="104"/>
        <v>0.98738300452297179</v>
      </c>
      <c r="O496" s="16">
        <f t="shared" si="105"/>
        <v>-2.9051969307068563E-3</v>
      </c>
      <c r="R496" s="5">
        <f>IF($T$1, J496, -0.2)</f>
        <v>-0.2</v>
      </c>
    </row>
    <row r="497" spans="2:18" x14ac:dyDescent="0.3">
      <c r="B497" s="16">
        <v>0.99055647507679634</v>
      </c>
      <c r="C497" s="16">
        <f t="shared" si="97"/>
        <v>2.5773239195677144E-3</v>
      </c>
      <c r="D497" s="16">
        <f t="shared" si="93"/>
        <v>8.0786306050515709E-5</v>
      </c>
      <c r="E497" s="16">
        <f t="shared" si="94"/>
        <v>-8.5546770625887676E-3</v>
      </c>
      <c r="F497" s="16">
        <f t="shared" si="95"/>
        <v>-8.5544683875344758E-3</v>
      </c>
      <c r="G497" s="16" t="str">
        <f t="shared" si="98"/>
        <v xml:space="preserve"> </v>
      </c>
      <c r="H497" s="16" t="str">
        <f t="shared" si="99"/>
        <v xml:space="preserve"> </v>
      </c>
      <c r="I497" s="16" t="str">
        <f t="shared" si="100"/>
        <v xml:space="preserve"> </v>
      </c>
      <c r="J497" s="16">
        <f t="shared" si="96"/>
        <v>8.0786306050515709E-5</v>
      </c>
      <c r="K497" s="16">
        <f t="shared" si="101"/>
        <v>-8.5544683875344758E-3</v>
      </c>
      <c r="L497" s="16">
        <f t="shared" si="102"/>
        <v>0.990578522443888</v>
      </c>
      <c r="M497" s="16">
        <f t="shared" si="103"/>
        <v>2.6580159232907443E-3</v>
      </c>
      <c r="N497" s="16">
        <f t="shared" si="104"/>
        <v>0.99053442770970468</v>
      </c>
      <c r="O497" s="16">
        <f t="shared" si="105"/>
        <v>-2.4964433111897126E-3</v>
      </c>
      <c r="R497" s="5">
        <f>IF($T$1, J497, -0.2)</f>
        <v>-0.2</v>
      </c>
    </row>
    <row r="498" spans="2:18" x14ac:dyDescent="0.3">
      <c r="B498" s="16">
        <v>0.99370426472976414</v>
      </c>
      <c r="C498" s="16">
        <f t="shared" si="97"/>
        <v>2.1399260546728777E-3</v>
      </c>
      <c r="D498" s="16">
        <f t="shared" si="93"/>
        <v>5.3857982108417794E-5</v>
      </c>
      <c r="E498" s="16">
        <f t="shared" si="94"/>
        <v>-8.5546770625887676E-3</v>
      </c>
      <c r="F498" s="16">
        <f t="shared" si="95"/>
        <v>-8.5544683875344758E-3</v>
      </c>
      <c r="G498" s="16" t="str">
        <f t="shared" si="98"/>
        <v xml:space="preserve"> </v>
      </c>
      <c r="H498" s="16" t="str">
        <f t="shared" si="99"/>
        <v xml:space="preserve"> </v>
      </c>
      <c r="I498" s="16" t="str">
        <f t="shared" si="100"/>
        <v xml:space="preserve"> </v>
      </c>
      <c r="J498" s="16">
        <f t="shared" si="96"/>
        <v>5.3857982108417794E-5</v>
      </c>
      <c r="K498" s="16">
        <f t="shared" si="101"/>
        <v>-8.5544683875344758E-3</v>
      </c>
      <c r="L498" s="16">
        <f t="shared" si="102"/>
        <v>0.99372257043628331</v>
      </c>
      <c r="M498" s="16">
        <f t="shared" si="103"/>
        <v>2.1937057385099483E-3</v>
      </c>
      <c r="N498" s="16">
        <f t="shared" si="104"/>
        <v>0.99368595902324497</v>
      </c>
      <c r="O498" s="16">
        <f t="shared" si="105"/>
        <v>-2.085989774293113E-3</v>
      </c>
      <c r="R498" s="5">
        <f>IF($T$1, J498, -0.2)</f>
        <v>-0.2</v>
      </c>
    </row>
    <row r="499" spans="2:18" x14ac:dyDescent="0.3">
      <c r="B499" s="16">
        <v>0.99685211676839014</v>
      </c>
      <c r="C499" s="16">
        <f t="shared" si="97"/>
        <v>1.70082043706693E-3</v>
      </c>
      <c r="D499" s="16">
        <f t="shared" si="93"/>
        <v>2.6929124477160678E-5</v>
      </c>
      <c r="E499" s="16">
        <f t="shared" si="94"/>
        <v>-8.5546770625887676E-3</v>
      </c>
      <c r="F499" s="16">
        <f t="shared" si="95"/>
        <v>-8.5544683875344758E-3</v>
      </c>
      <c r="G499" s="16" t="str">
        <f t="shared" si="98"/>
        <v xml:space="preserve"> </v>
      </c>
      <c r="H499" s="16" t="str">
        <f t="shared" si="99"/>
        <v xml:space="preserve"> </v>
      </c>
      <c r="I499" s="16" t="str">
        <f t="shared" si="100"/>
        <v xml:space="preserve"> </v>
      </c>
      <c r="J499" s="16">
        <f t="shared" si="96"/>
        <v>2.6929124477160678E-5</v>
      </c>
      <c r="K499" s="16">
        <f t="shared" si="101"/>
        <v>-8.5544683875344758E-3</v>
      </c>
      <c r="L499" s="16">
        <f t="shared" si="102"/>
        <v>0.99686666620559838</v>
      </c>
      <c r="M499" s="16">
        <f t="shared" si="103"/>
        <v>1.7276873298142591E-3</v>
      </c>
      <c r="N499" s="16">
        <f t="shared" si="104"/>
        <v>0.9968375673311819</v>
      </c>
      <c r="O499" s="16">
        <f t="shared" si="105"/>
        <v>-1.6738290808599376E-3</v>
      </c>
      <c r="R499" s="5">
        <f>IF($T$1, J499, -0.2)</f>
        <v>-0.2</v>
      </c>
    </row>
    <row r="500" spans="2:18" x14ac:dyDescent="0.3">
      <c r="B500" s="16">
        <v>0.99999999999999989</v>
      </c>
      <c r="C500" s="16">
        <f t="shared" si="97"/>
        <v>1.2599999999999862E-3</v>
      </c>
      <c r="D500" s="16">
        <f t="shared" si="93"/>
        <v>9.4975994431187512E-19</v>
      </c>
      <c r="E500" s="16">
        <f t="shared" si="94"/>
        <v>-8.5546770625887676E-3</v>
      </c>
      <c r="F500" s="16">
        <f t="shared" si="95"/>
        <v>-8.5544683875344758E-3</v>
      </c>
      <c r="G500" s="16" t="str">
        <f t="shared" si="98"/>
        <v xml:space="preserve"> </v>
      </c>
      <c r="H500" s="16" t="str">
        <f t="shared" si="99"/>
        <v xml:space="preserve"> </v>
      </c>
      <c r="I500" s="16" t="str">
        <f t="shared" si="100"/>
        <v xml:space="preserve"> </v>
      </c>
      <c r="J500" s="16">
        <f t="shared" si="96"/>
        <v>9.4975994431187512E-19</v>
      </c>
      <c r="K500" s="16">
        <f t="shared" si="101"/>
        <v>-8.5544683875344758E-3</v>
      </c>
      <c r="L500" s="16">
        <f t="shared" si="102"/>
        <v>1.0000107784987071</v>
      </c>
      <c r="M500" s="16">
        <f t="shared" si="103"/>
        <v>1.2599538975556143E-3</v>
      </c>
      <c r="N500" s="16">
        <f t="shared" si="104"/>
        <v>0.99998922150129255</v>
      </c>
      <c r="O500" s="16">
        <f t="shared" si="105"/>
        <v>-1.2599538975556126E-3</v>
      </c>
      <c r="R500" s="5">
        <f>IF($T$1, J500, -0.2)</f>
        <v>-0.2</v>
      </c>
    </row>
    <row r="501" spans="2:18" x14ac:dyDescent="0.3">
      <c r="C501" s="16"/>
      <c r="D501" s="16"/>
      <c r="J501" s="16"/>
      <c r="O501" s="16"/>
    </row>
    <row r="502" spans="2:18" x14ac:dyDescent="0.3">
      <c r="C502" s="16"/>
      <c r="D502" s="16"/>
      <c r="J502" s="16"/>
      <c r="O502" s="16"/>
    </row>
    <row r="503" spans="2:18" x14ac:dyDescent="0.3">
      <c r="C503" s="16"/>
      <c r="D503" s="16"/>
      <c r="J503" s="16"/>
      <c r="O503" s="16"/>
    </row>
    <row r="504" spans="2:18" x14ac:dyDescent="0.3">
      <c r="C504" s="16"/>
      <c r="D504" s="16"/>
      <c r="J504" s="16"/>
      <c r="O504" s="16"/>
    </row>
    <row r="505" spans="2:18" x14ac:dyDescent="0.3">
      <c r="C505" s="16"/>
      <c r="D505" s="16"/>
      <c r="J505" s="16"/>
      <c r="O505" s="16"/>
    </row>
    <row r="506" spans="2:18" x14ac:dyDescent="0.3">
      <c r="C506" s="16"/>
      <c r="D506" s="16"/>
      <c r="J506" s="16"/>
      <c r="O506" s="16"/>
    </row>
    <row r="507" spans="2:18" x14ac:dyDescent="0.3">
      <c r="C507" s="16"/>
      <c r="D507" s="16"/>
      <c r="J507" s="16"/>
      <c r="O507" s="16"/>
    </row>
    <row r="508" spans="2:18" x14ac:dyDescent="0.3">
      <c r="C508" s="16"/>
      <c r="D508" s="16"/>
      <c r="J508" s="16"/>
      <c r="O508" s="16"/>
    </row>
    <row r="509" spans="2:18" x14ac:dyDescent="0.3">
      <c r="C509" s="16"/>
      <c r="D509" s="16"/>
      <c r="J509" s="16"/>
      <c r="O509" s="16"/>
    </row>
    <row r="510" spans="2:18" x14ac:dyDescent="0.3">
      <c r="C510" s="16"/>
      <c r="D510" s="16"/>
      <c r="J510" s="16"/>
      <c r="O510" s="16"/>
    </row>
    <row r="511" spans="2:18" x14ac:dyDescent="0.3">
      <c r="C511" s="16"/>
      <c r="D511" s="16"/>
      <c r="J511" s="16"/>
      <c r="O511" s="16"/>
    </row>
    <row r="512" spans="2:18" x14ac:dyDescent="0.3">
      <c r="C512" s="16"/>
      <c r="D512" s="16"/>
      <c r="J512" s="16"/>
      <c r="O512" s="16"/>
    </row>
    <row r="513" spans="3:15" x14ac:dyDescent="0.3">
      <c r="C513" s="16"/>
      <c r="D513" s="16"/>
      <c r="J513" s="16"/>
      <c r="O513" s="16"/>
    </row>
    <row r="514" spans="3:15" x14ac:dyDescent="0.3">
      <c r="C514" s="16"/>
      <c r="D514" s="16"/>
      <c r="J514" s="16"/>
      <c r="O514" s="16"/>
    </row>
    <row r="515" spans="3:15" x14ac:dyDescent="0.3">
      <c r="C515" s="16"/>
      <c r="D515" s="16"/>
      <c r="J515" s="16"/>
      <c r="O515" s="16"/>
    </row>
    <row r="516" spans="3:15" x14ac:dyDescent="0.3">
      <c r="C516" s="16"/>
      <c r="D516" s="16"/>
      <c r="J516" s="16"/>
      <c r="O516" s="16"/>
    </row>
    <row r="517" spans="3:15" x14ac:dyDescent="0.3">
      <c r="C517" s="16"/>
      <c r="D517" s="16"/>
      <c r="J517" s="16"/>
      <c r="O517" s="16"/>
    </row>
    <row r="518" spans="3:15" x14ac:dyDescent="0.3">
      <c r="C518" s="16"/>
      <c r="D518" s="16"/>
      <c r="J518" s="16"/>
      <c r="O518" s="16"/>
    </row>
    <row r="519" spans="3:15" x14ac:dyDescent="0.3">
      <c r="C519" s="16"/>
      <c r="D519" s="16"/>
      <c r="J519" s="16"/>
      <c r="O519" s="16"/>
    </row>
    <row r="520" spans="3:15" x14ac:dyDescent="0.3">
      <c r="C520" s="16"/>
      <c r="D520" s="16"/>
      <c r="J520" s="16"/>
      <c r="O520" s="16"/>
    </row>
    <row r="521" spans="3:15" x14ac:dyDescent="0.3">
      <c r="C521" s="16"/>
      <c r="D521" s="16"/>
      <c r="J521" s="16"/>
      <c r="O521" s="16"/>
    </row>
    <row r="522" spans="3:15" x14ac:dyDescent="0.3">
      <c r="C522" s="16"/>
      <c r="D522" s="16"/>
      <c r="J522" s="16"/>
      <c r="O522" s="16"/>
    </row>
    <row r="523" spans="3:15" x14ac:dyDescent="0.3">
      <c r="C523" s="16"/>
      <c r="D523" s="16"/>
      <c r="J523" s="16"/>
      <c r="O523" s="16"/>
    </row>
    <row r="524" spans="3:15" x14ac:dyDescent="0.3">
      <c r="C524" s="16"/>
      <c r="D524" s="16"/>
      <c r="J524" s="16"/>
      <c r="O524" s="16"/>
    </row>
    <row r="525" spans="3:15" x14ac:dyDescent="0.3">
      <c r="C525" s="16"/>
      <c r="D525" s="16"/>
      <c r="J525" s="16"/>
      <c r="O525" s="16"/>
    </row>
    <row r="526" spans="3:15" x14ac:dyDescent="0.3">
      <c r="C526" s="16"/>
      <c r="D526" s="16"/>
      <c r="J526" s="16"/>
      <c r="O526" s="16"/>
    </row>
    <row r="527" spans="3:15" x14ac:dyDescent="0.3">
      <c r="C527" s="16"/>
      <c r="D527" s="16"/>
      <c r="J527" s="16"/>
      <c r="O527" s="16"/>
    </row>
    <row r="528" spans="3:15" x14ac:dyDescent="0.3">
      <c r="C528" s="16"/>
      <c r="D528" s="16"/>
      <c r="J528" s="16"/>
      <c r="O528" s="16"/>
    </row>
    <row r="529" spans="3:15" x14ac:dyDescent="0.3">
      <c r="C529" s="16"/>
      <c r="D529" s="16"/>
      <c r="J529" s="16"/>
      <c r="O529" s="16"/>
    </row>
    <row r="530" spans="3:15" x14ac:dyDescent="0.3">
      <c r="C530" s="16"/>
      <c r="D530" s="16"/>
      <c r="J530" s="16"/>
      <c r="O530" s="16"/>
    </row>
    <row r="531" spans="3:15" x14ac:dyDescent="0.3">
      <c r="C531" s="16"/>
      <c r="D531" s="16"/>
      <c r="J531" s="16"/>
      <c r="O531" s="16"/>
    </row>
    <row r="532" spans="3:15" x14ac:dyDescent="0.3">
      <c r="C532" s="16"/>
      <c r="D532" s="16"/>
      <c r="J532" s="16"/>
      <c r="O532" s="16"/>
    </row>
    <row r="533" spans="3:15" x14ac:dyDescent="0.3">
      <c r="C533" s="16"/>
      <c r="D533" s="16"/>
      <c r="J533" s="16"/>
      <c r="O533" s="16"/>
    </row>
    <row r="534" spans="3:15" x14ac:dyDescent="0.3">
      <c r="C534" s="16"/>
      <c r="D534" s="16"/>
      <c r="J534" s="16"/>
      <c r="O534" s="16"/>
    </row>
    <row r="535" spans="3:15" x14ac:dyDescent="0.3">
      <c r="C535" s="16"/>
      <c r="D535" s="16"/>
      <c r="J535" s="16"/>
      <c r="O535" s="16"/>
    </row>
    <row r="536" spans="3:15" x14ac:dyDescent="0.3">
      <c r="C536" s="16"/>
      <c r="D536" s="16"/>
      <c r="J536" s="16"/>
      <c r="O536" s="16"/>
    </row>
    <row r="537" spans="3:15" x14ac:dyDescent="0.3">
      <c r="C537" s="16"/>
      <c r="D537" s="16"/>
      <c r="J537" s="16"/>
      <c r="O537" s="16"/>
    </row>
    <row r="538" spans="3:15" x14ac:dyDescent="0.3">
      <c r="C538" s="16"/>
      <c r="D538" s="16"/>
      <c r="J538" s="16"/>
      <c r="O538" s="16"/>
    </row>
    <row r="539" spans="3:15" x14ac:dyDescent="0.3">
      <c r="C539" s="16"/>
      <c r="D539" s="16"/>
      <c r="J539" s="16"/>
      <c r="O539" s="16"/>
    </row>
    <row r="540" spans="3:15" x14ac:dyDescent="0.3">
      <c r="C540" s="16"/>
      <c r="D540" s="16"/>
      <c r="J540" s="16"/>
      <c r="O540" s="16"/>
    </row>
    <row r="541" spans="3:15" x14ac:dyDescent="0.3">
      <c r="C541" s="16"/>
      <c r="D541" s="16"/>
      <c r="J541" s="16"/>
      <c r="O541" s="16"/>
    </row>
    <row r="542" spans="3:15" x14ac:dyDescent="0.3">
      <c r="C542" s="16"/>
      <c r="D542" s="16"/>
      <c r="J542" s="16"/>
      <c r="O542" s="16"/>
    </row>
    <row r="543" spans="3:15" x14ac:dyDescent="0.3">
      <c r="C543" s="16"/>
      <c r="D543" s="16"/>
      <c r="J543" s="16"/>
      <c r="O543" s="16"/>
    </row>
    <row r="544" spans="3:15" x14ac:dyDescent="0.3">
      <c r="C544" s="16"/>
      <c r="D544" s="16"/>
      <c r="J544" s="16"/>
      <c r="O544" s="16"/>
    </row>
    <row r="545" spans="3:15" x14ac:dyDescent="0.3">
      <c r="C545" s="16"/>
      <c r="D545" s="16"/>
      <c r="J545" s="16"/>
      <c r="O545" s="16"/>
    </row>
    <row r="546" spans="3:15" x14ac:dyDescent="0.3">
      <c r="C546" s="16"/>
      <c r="D546" s="16"/>
      <c r="J546" s="16"/>
      <c r="O546" s="16"/>
    </row>
    <row r="547" spans="3:15" x14ac:dyDescent="0.3">
      <c r="C547" s="16"/>
      <c r="D547" s="16"/>
      <c r="J547" s="16"/>
      <c r="O547" s="16"/>
    </row>
    <row r="548" spans="3:15" x14ac:dyDescent="0.3">
      <c r="C548" s="16"/>
      <c r="D548" s="16"/>
      <c r="J548" s="16"/>
      <c r="O548" s="16"/>
    </row>
    <row r="549" spans="3:15" x14ac:dyDescent="0.3">
      <c r="C549" s="16"/>
      <c r="D549" s="16"/>
      <c r="J549" s="16"/>
      <c r="O549" s="16"/>
    </row>
    <row r="550" spans="3:15" x14ac:dyDescent="0.3">
      <c r="C550" s="16"/>
      <c r="D550" s="16"/>
      <c r="J550" s="16"/>
      <c r="O550" s="16"/>
    </row>
    <row r="551" spans="3:15" x14ac:dyDescent="0.3">
      <c r="C551" s="16"/>
      <c r="D551" s="16"/>
      <c r="J551" s="16"/>
      <c r="O551" s="16"/>
    </row>
    <row r="552" spans="3:15" x14ac:dyDescent="0.3">
      <c r="C552" s="16"/>
      <c r="D552" s="16"/>
      <c r="J552" s="16"/>
      <c r="O552" s="16"/>
    </row>
    <row r="553" spans="3:15" x14ac:dyDescent="0.3">
      <c r="C553" s="16"/>
      <c r="D553" s="16"/>
      <c r="J553" s="16"/>
      <c r="O553" s="16"/>
    </row>
    <row r="554" spans="3:15" x14ac:dyDescent="0.3">
      <c r="C554" s="16"/>
      <c r="D554" s="16"/>
      <c r="J554" s="16"/>
      <c r="O554" s="16"/>
    </row>
    <row r="555" spans="3:15" x14ac:dyDescent="0.3">
      <c r="C555" s="16"/>
      <c r="D555" s="16"/>
      <c r="J555" s="16"/>
      <c r="O555" s="16"/>
    </row>
    <row r="556" spans="3:15" x14ac:dyDescent="0.3">
      <c r="C556" s="16"/>
      <c r="D556" s="16"/>
      <c r="J556" s="16"/>
      <c r="O556" s="16"/>
    </row>
    <row r="557" spans="3:15" x14ac:dyDescent="0.3">
      <c r="C557" s="16"/>
      <c r="D557" s="16"/>
      <c r="J557" s="16"/>
      <c r="O557" s="16"/>
    </row>
    <row r="558" spans="3:15" x14ac:dyDescent="0.3">
      <c r="C558" s="16"/>
      <c r="D558" s="16"/>
      <c r="J558" s="16"/>
      <c r="O558" s="16"/>
    </row>
    <row r="559" spans="3:15" x14ac:dyDescent="0.3">
      <c r="C559" s="16"/>
      <c r="D559" s="16"/>
      <c r="J559" s="16"/>
      <c r="O559" s="16"/>
    </row>
    <row r="560" spans="3:15" x14ac:dyDescent="0.3">
      <c r="C560" s="16"/>
      <c r="D560" s="16"/>
      <c r="J560" s="16"/>
      <c r="O560" s="16"/>
    </row>
    <row r="561" spans="3:15" x14ac:dyDescent="0.3">
      <c r="C561" s="16"/>
      <c r="D561" s="16"/>
      <c r="J561" s="16"/>
      <c r="O561" s="16"/>
    </row>
    <row r="562" spans="3:15" x14ac:dyDescent="0.3">
      <c r="C562" s="16"/>
      <c r="D562" s="16"/>
      <c r="J562" s="16"/>
      <c r="O562" s="16"/>
    </row>
    <row r="563" spans="3:15" x14ac:dyDescent="0.3">
      <c r="C563" s="16"/>
      <c r="D563" s="16"/>
      <c r="J563" s="16"/>
      <c r="O563" s="16"/>
    </row>
    <row r="564" spans="3:15" x14ac:dyDescent="0.3">
      <c r="C564" s="16"/>
      <c r="D564" s="16"/>
      <c r="J564" s="16"/>
      <c r="O564" s="16"/>
    </row>
    <row r="565" spans="3:15" x14ac:dyDescent="0.3">
      <c r="C565" s="16"/>
      <c r="D565" s="16"/>
      <c r="J565" s="16"/>
      <c r="O565" s="16"/>
    </row>
    <row r="566" spans="3:15" x14ac:dyDescent="0.3">
      <c r="C566" s="16"/>
      <c r="D566" s="16"/>
      <c r="J566" s="16"/>
      <c r="O566" s="16"/>
    </row>
    <row r="567" spans="3:15" x14ac:dyDescent="0.3">
      <c r="C567" s="16"/>
      <c r="D567" s="16"/>
      <c r="J567" s="16"/>
      <c r="O567" s="16"/>
    </row>
    <row r="568" spans="3:15" x14ac:dyDescent="0.3">
      <c r="C568" s="16"/>
      <c r="D568" s="16"/>
      <c r="J568" s="16"/>
      <c r="O568" s="16"/>
    </row>
    <row r="569" spans="3:15" x14ac:dyDescent="0.3">
      <c r="C569" s="16"/>
      <c r="D569" s="16"/>
      <c r="J569" s="16"/>
      <c r="O569" s="16"/>
    </row>
    <row r="570" spans="3:15" x14ac:dyDescent="0.3">
      <c r="C570" s="16"/>
      <c r="D570" s="16"/>
      <c r="J570" s="16"/>
      <c r="O570" s="16"/>
    </row>
    <row r="571" spans="3:15" x14ac:dyDescent="0.3">
      <c r="C571" s="16"/>
      <c r="D571" s="16"/>
      <c r="J571" s="16"/>
      <c r="O571" s="16"/>
    </row>
    <row r="572" spans="3:15" x14ac:dyDescent="0.3">
      <c r="C572" s="16"/>
      <c r="D572" s="16"/>
      <c r="J572" s="16"/>
      <c r="O572" s="16"/>
    </row>
    <row r="573" spans="3:15" x14ac:dyDescent="0.3">
      <c r="C573" s="16"/>
      <c r="D573" s="16"/>
      <c r="J573" s="16"/>
      <c r="O573" s="16"/>
    </row>
    <row r="574" spans="3:15" x14ac:dyDescent="0.3">
      <c r="C574" s="16"/>
      <c r="D574" s="16"/>
      <c r="J574" s="16"/>
      <c r="O574" s="16"/>
    </row>
    <row r="575" spans="3:15" x14ac:dyDescent="0.3">
      <c r="C575" s="16"/>
      <c r="D575" s="16"/>
      <c r="J575" s="16"/>
      <c r="O575" s="16"/>
    </row>
    <row r="576" spans="3:15" x14ac:dyDescent="0.3">
      <c r="C576" s="16"/>
      <c r="D576" s="16"/>
      <c r="J576" s="16"/>
      <c r="O576" s="16"/>
    </row>
    <row r="577" spans="3:15" x14ac:dyDescent="0.3">
      <c r="C577" s="16"/>
      <c r="D577" s="16"/>
      <c r="J577" s="16"/>
      <c r="O577" s="16"/>
    </row>
    <row r="578" spans="3:15" x14ac:dyDescent="0.3">
      <c r="C578" s="16"/>
      <c r="D578" s="16"/>
      <c r="J578" s="16"/>
      <c r="O578" s="16"/>
    </row>
    <row r="579" spans="3:15" x14ac:dyDescent="0.3">
      <c r="C579" s="16"/>
      <c r="D579" s="16"/>
      <c r="J579" s="16"/>
      <c r="O579" s="16"/>
    </row>
    <row r="580" spans="3:15" x14ac:dyDescent="0.3">
      <c r="C580" s="16"/>
      <c r="D580" s="16"/>
      <c r="J580" s="16"/>
      <c r="O580" s="16"/>
    </row>
    <row r="581" spans="3:15" x14ac:dyDescent="0.3">
      <c r="C581" s="16"/>
      <c r="D581" s="16"/>
      <c r="J581" s="16"/>
      <c r="O581" s="16"/>
    </row>
    <row r="582" spans="3:15" x14ac:dyDescent="0.3">
      <c r="C582" s="16"/>
      <c r="D582" s="16"/>
      <c r="J582" s="16"/>
      <c r="O582" s="16"/>
    </row>
    <row r="583" spans="3:15" x14ac:dyDescent="0.3">
      <c r="C583" s="16"/>
      <c r="D583" s="16"/>
      <c r="J583" s="16"/>
      <c r="O583" s="16"/>
    </row>
    <row r="584" spans="3:15" x14ac:dyDescent="0.3">
      <c r="C584" s="16"/>
      <c r="D584" s="16"/>
      <c r="J584" s="16"/>
      <c r="O584" s="16"/>
    </row>
    <row r="585" spans="3:15" x14ac:dyDescent="0.3">
      <c r="C585" s="16"/>
      <c r="D585" s="16"/>
      <c r="J585" s="16"/>
      <c r="O585" s="16"/>
    </row>
    <row r="586" spans="3:15" x14ac:dyDescent="0.3">
      <c r="C586" s="16"/>
      <c r="D586" s="16"/>
      <c r="J586" s="16"/>
      <c r="O586" s="16"/>
    </row>
    <row r="587" spans="3:15" x14ac:dyDescent="0.3">
      <c r="C587" s="16"/>
      <c r="D587" s="16"/>
      <c r="J587" s="16"/>
      <c r="O587" s="16"/>
    </row>
    <row r="588" spans="3:15" x14ac:dyDescent="0.3">
      <c r="C588" s="16"/>
      <c r="D588" s="16"/>
      <c r="J588" s="16"/>
      <c r="O588" s="16"/>
    </row>
    <row r="589" spans="3:15" x14ac:dyDescent="0.3">
      <c r="C589" s="16"/>
      <c r="D589" s="16"/>
      <c r="J589" s="16"/>
      <c r="O589" s="16"/>
    </row>
    <row r="590" spans="3:15" x14ac:dyDescent="0.3">
      <c r="C590" s="16"/>
      <c r="D590" s="16"/>
      <c r="J590" s="16"/>
      <c r="O590" s="16"/>
    </row>
    <row r="591" spans="3:15" x14ac:dyDescent="0.3">
      <c r="C591" s="16"/>
      <c r="D591" s="16"/>
      <c r="J591" s="16"/>
      <c r="O591" s="16"/>
    </row>
    <row r="592" spans="3:15" x14ac:dyDescent="0.3">
      <c r="C592" s="16"/>
      <c r="D592" s="16"/>
      <c r="J592" s="16"/>
      <c r="O592" s="16"/>
    </row>
    <row r="593" spans="3:15" x14ac:dyDescent="0.3">
      <c r="C593" s="16"/>
      <c r="D593" s="16"/>
      <c r="J593" s="16"/>
      <c r="O593" s="16"/>
    </row>
    <row r="594" spans="3:15" x14ac:dyDescent="0.3">
      <c r="C594" s="16"/>
      <c r="D594" s="16"/>
      <c r="J594" s="16"/>
      <c r="O594" s="16"/>
    </row>
    <row r="595" spans="3:15" x14ac:dyDescent="0.3">
      <c r="C595" s="16"/>
      <c r="D595" s="16"/>
      <c r="J595" s="16"/>
      <c r="O595" s="16"/>
    </row>
    <row r="596" spans="3:15" x14ac:dyDescent="0.3">
      <c r="C596" s="16"/>
      <c r="D596" s="16"/>
      <c r="J596" s="16"/>
      <c r="O596" s="16"/>
    </row>
    <row r="597" spans="3:15" x14ac:dyDescent="0.3">
      <c r="C597" s="16"/>
      <c r="D597" s="16"/>
      <c r="J597" s="16"/>
      <c r="O597" s="16"/>
    </row>
    <row r="598" spans="3:15" x14ac:dyDescent="0.3">
      <c r="C598" s="16"/>
      <c r="D598" s="16"/>
      <c r="J598" s="16"/>
      <c r="O598" s="16"/>
    </row>
    <row r="599" spans="3:15" x14ac:dyDescent="0.3">
      <c r="C599" s="16"/>
      <c r="D599" s="16"/>
      <c r="J599" s="16"/>
      <c r="O599" s="16"/>
    </row>
    <row r="600" spans="3:15" x14ac:dyDescent="0.3">
      <c r="C600" s="16"/>
      <c r="D600" s="16"/>
      <c r="J600" s="16"/>
      <c r="O600" s="16"/>
    </row>
    <row r="601" spans="3:15" x14ac:dyDescent="0.3">
      <c r="C601" s="16"/>
      <c r="D601" s="16"/>
      <c r="J601" s="16"/>
      <c r="O601" s="16"/>
    </row>
    <row r="602" spans="3:15" x14ac:dyDescent="0.3">
      <c r="C602" s="16"/>
      <c r="D602" s="16"/>
      <c r="J602" s="16"/>
      <c r="O602" s="16"/>
    </row>
    <row r="603" spans="3:15" x14ac:dyDescent="0.3">
      <c r="C603" s="16"/>
      <c r="D603" s="16"/>
      <c r="J603" s="16"/>
      <c r="O603" s="16"/>
    </row>
    <row r="604" spans="3:15" x14ac:dyDescent="0.3">
      <c r="C604" s="16"/>
      <c r="D604" s="16"/>
      <c r="J604" s="16"/>
      <c r="O604" s="16"/>
    </row>
    <row r="605" spans="3:15" x14ac:dyDescent="0.3">
      <c r="C605" s="16"/>
      <c r="D605" s="16"/>
      <c r="J605" s="16"/>
      <c r="O605" s="16"/>
    </row>
    <row r="606" spans="3:15" x14ac:dyDescent="0.3">
      <c r="C606" s="16"/>
      <c r="D606" s="16"/>
      <c r="J606" s="16"/>
      <c r="O606" s="16"/>
    </row>
    <row r="607" spans="3:15" x14ac:dyDescent="0.3">
      <c r="C607" s="16"/>
      <c r="D607" s="16"/>
      <c r="J607" s="16"/>
      <c r="O607" s="16"/>
    </row>
    <row r="608" spans="3:15" x14ac:dyDescent="0.3">
      <c r="C608" s="16"/>
      <c r="D608" s="16"/>
      <c r="J608" s="16"/>
      <c r="O608" s="16"/>
    </row>
    <row r="609" spans="3:15" x14ac:dyDescent="0.3">
      <c r="C609" s="16"/>
      <c r="D609" s="16"/>
      <c r="J609" s="16"/>
      <c r="O609" s="16"/>
    </row>
    <row r="610" spans="3:15" x14ac:dyDescent="0.3">
      <c r="C610" s="16"/>
      <c r="D610" s="16"/>
      <c r="J610" s="16"/>
      <c r="O610" s="16"/>
    </row>
    <row r="611" spans="3:15" x14ac:dyDescent="0.3">
      <c r="C611" s="16"/>
      <c r="D611" s="16"/>
      <c r="J611" s="16"/>
      <c r="O611" s="16"/>
    </row>
    <row r="612" spans="3:15" x14ac:dyDescent="0.3">
      <c r="C612" s="16"/>
      <c r="D612" s="16"/>
      <c r="J612" s="16"/>
      <c r="O612" s="16"/>
    </row>
    <row r="613" spans="3:15" x14ac:dyDescent="0.3">
      <c r="C613" s="16"/>
      <c r="D613" s="16"/>
      <c r="J613" s="16"/>
      <c r="O613" s="16"/>
    </row>
    <row r="614" spans="3:15" x14ac:dyDescent="0.3">
      <c r="C614" s="16"/>
      <c r="D614" s="16"/>
      <c r="J614" s="16"/>
      <c r="O614" s="16"/>
    </row>
    <row r="615" spans="3:15" x14ac:dyDescent="0.3">
      <c r="C615" s="16"/>
      <c r="D615" s="16"/>
      <c r="J615" s="16"/>
      <c r="O615" s="16"/>
    </row>
    <row r="616" spans="3:15" x14ac:dyDescent="0.3">
      <c r="C616" s="16"/>
      <c r="D616" s="16"/>
      <c r="J616" s="16"/>
      <c r="O616" s="16"/>
    </row>
    <row r="617" spans="3:15" x14ac:dyDescent="0.3">
      <c r="C617" s="16"/>
      <c r="D617" s="16"/>
      <c r="J617" s="16"/>
      <c r="O617" s="16"/>
    </row>
    <row r="618" spans="3:15" x14ac:dyDescent="0.3">
      <c r="C618" s="16"/>
      <c r="D618" s="16"/>
      <c r="J618" s="16"/>
      <c r="O618" s="16"/>
    </row>
    <row r="619" spans="3:15" x14ac:dyDescent="0.3">
      <c r="C619" s="16"/>
      <c r="D619" s="16"/>
      <c r="J619" s="16"/>
      <c r="O619" s="16"/>
    </row>
    <row r="620" spans="3:15" x14ac:dyDescent="0.3">
      <c r="C620" s="16"/>
      <c r="D620" s="16"/>
      <c r="J620" s="16"/>
      <c r="O620" s="16"/>
    </row>
    <row r="621" spans="3:15" x14ac:dyDescent="0.3">
      <c r="C621" s="16"/>
      <c r="D621" s="16"/>
      <c r="J621" s="16"/>
      <c r="O621" s="16"/>
    </row>
    <row r="622" spans="3:15" x14ac:dyDescent="0.3">
      <c r="C622" s="16"/>
      <c r="D622" s="16"/>
      <c r="J622" s="16"/>
      <c r="O622" s="16"/>
    </row>
    <row r="623" spans="3:15" x14ac:dyDescent="0.3">
      <c r="C623" s="16"/>
      <c r="D623" s="16"/>
      <c r="J623" s="16"/>
      <c r="O623" s="16"/>
    </row>
    <row r="624" spans="3:15" x14ac:dyDescent="0.3">
      <c r="C624" s="16"/>
      <c r="D624" s="16"/>
      <c r="J624" s="16"/>
      <c r="O624" s="16"/>
    </row>
    <row r="625" spans="3:15" x14ac:dyDescent="0.3">
      <c r="C625" s="16"/>
      <c r="D625" s="16"/>
      <c r="J625" s="16"/>
      <c r="O625" s="16"/>
    </row>
    <row r="626" spans="3:15" x14ac:dyDescent="0.3">
      <c r="C626" s="16"/>
      <c r="D626" s="16"/>
      <c r="J626" s="16"/>
      <c r="O626" s="16"/>
    </row>
    <row r="627" spans="3:15" x14ac:dyDescent="0.3">
      <c r="C627" s="16"/>
      <c r="D627" s="16"/>
      <c r="J627" s="16"/>
      <c r="O627" s="16"/>
    </row>
    <row r="628" spans="3:15" x14ac:dyDescent="0.3">
      <c r="C628" s="16"/>
      <c r="D628" s="16"/>
      <c r="J628" s="16"/>
      <c r="O628" s="16"/>
    </row>
    <row r="629" spans="3:15" x14ac:dyDescent="0.3">
      <c r="C629" s="16"/>
      <c r="D629" s="16"/>
      <c r="J629" s="16"/>
      <c r="O629" s="16"/>
    </row>
    <row r="630" spans="3:15" x14ac:dyDescent="0.3">
      <c r="C630" s="16"/>
      <c r="D630" s="16"/>
      <c r="J630" s="16"/>
      <c r="O630" s="16"/>
    </row>
    <row r="631" spans="3:15" x14ac:dyDescent="0.3">
      <c r="C631" s="16"/>
      <c r="D631" s="16"/>
      <c r="J631" s="16"/>
      <c r="O631" s="16"/>
    </row>
    <row r="632" spans="3:15" x14ac:dyDescent="0.3">
      <c r="C632" s="16"/>
      <c r="D632" s="16"/>
      <c r="J632" s="16"/>
      <c r="O632" s="16"/>
    </row>
    <row r="633" spans="3:15" x14ac:dyDescent="0.3">
      <c r="C633" s="16"/>
      <c r="D633" s="16"/>
      <c r="J633" s="16"/>
      <c r="O633" s="16"/>
    </row>
    <row r="634" spans="3:15" x14ac:dyDescent="0.3">
      <c r="C634" s="16"/>
      <c r="D634" s="16"/>
      <c r="J634" s="16"/>
      <c r="O634" s="16"/>
    </row>
    <row r="635" spans="3:15" x14ac:dyDescent="0.3">
      <c r="C635" s="16"/>
      <c r="D635" s="16"/>
      <c r="J635" s="16"/>
      <c r="O635" s="16"/>
    </row>
    <row r="636" spans="3:15" x14ac:dyDescent="0.3">
      <c r="C636" s="16"/>
      <c r="D636" s="16"/>
      <c r="J636" s="16"/>
      <c r="O636" s="16"/>
    </row>
    <row r="637" spans="3:15" x14ac:dyDescent="0.3">
      <c r="C637" s="16"/>
      <c r="D637" s="16"/>
      <c r="J637" s="16"/>
      <c r="O637" s="16"/>
    </row>
    <row r="638" spans="3:15" x14ac:dyDescent="0.3">
      <c r="C638" s="16"/>
      <c r="D638" s="16"/>
      <c r="J638" s="16"/>
      <c r="O638" s="16"/>
    </row>
    <row r="639" spans="3:15" x14ac:dyDescent="0.3">
      <c r="C639" s="16"/>
      <c r="D639" s="16"/>
      <c r="J639" s="16"/>
      <c r="O639" s="16"/>
    </row>
    <row r="640" spans="3:15" x14ac:dyDescent="0.3">
      <c r="C640" s="16"/>
      <c r="D640" s="16"/>
      <c r="J640" s="16"/>
      <c r="O640" s="16"/>
    </row>
    <row r="641" spans="3:15" x14ac:dyDescent="0.3">
      <c r="C641" s="16"/>
      <c r="D641" s="16"/>
      <c r="J641" s="16"/>
      <c r="O641" s="16"/>
    </row>
    <row r="642" spans="3:15" x14ac:dyDescent="0.3">
      <c r="C642" s="16"/>
      <c r="D642" s="16"/>
      <c r="J642" s="16"/>
      <c r="O642" s="16"/>
    </row>
    <row r="643" spans="3:15" x14ac:dyDescent="0.3">
      <c r="C643" s="16"/>
      <c r="D643" s="16"/>
      <c r="J643" s="16"/>
      <c r="O643" s="16"/>
    </row>
    <row r="644" spans="3:15" x14ac:dyDescent="0.3">
      <c r="C644" s="16"/>
      <c r="D644" s="16"/>
      <c r="J644" s="16"/>
      <c r="O644" s="16"/>
    </row>
    <row r="645" spans="3:15" x14ac:dyDescent="0.3">
      <c r="C645" s="16"/>
      <c r="D645" s="16"/>
      <c r="J645" s="16"/>
      <c r="O645" s="16"/>
    </row>
    <row r="646" spans="3:15" x14ac:dyDescent="0.3">
      <c r="C646" s="16"/>
      <c r="D646" s="16"/>
      <c r="J646" s="16"/>
      <c r="O646" s="16"/>
    </row>
    <row r="647" spans="3:15" x14ac:dyDescent="0.3">
      <c r="C647" s="16"/>
      <c r="D647" s="16"/>
      <c r="J647" s="16"/>
      <c r="O647" s="16"/>
    </row>
    <row r="648" spans="3:15" x14ac:dyDescent="0.3">
      <c r="C648" s="16"/>
      <c r="D648" s="16"/>
      <c r="J648" s="16"/>
      <c r="O648" s="16"/>
    </row>
    <row r="649" spans="3:15" x14ac:dyDescent="0.3">
      <c r="C649" s="16"/>
      <c r="D649" s="16"/>
      <c r="J649" s="16"/>
      <c r="O649" s="16"/>
    </row>
    <row r="650" spans="3:15" x14ac:dyDescent="0.3">
      <c r="C650" s="16"/>
      <c r="D650" s="16"/>
      <c r="J650" s="16"/>
      <c r="O650" s="16"/>
    </row>
    <row r="651" spans="3:15" x14ac:dyDescent="0.3">
      <c r="C651" s="16"/>
      <c r="D651" s="16"/>
      <c r="J651" s="16"/>
      <c r="O651" s="16"/>
    </row>
    <row r="652" spans="3:15" x14ac:dyDescent="0.3">
      <c r="C652" s="16"/>
      <c r="D652" s="16"/>
      <c r="J652" s="16"/>
      <c r="O652" s="16"/>
    </row>
    <row r="653" spans="3:15" x14ac:dyDescent="0.3">
      <c r="C653" s="16"/>
      <c r="D653" s="16"/>
      <c r="J653" s="16"/>
      <c r="O653" s="16"/>
    </row>
    <row r="654" spans="3:15" x14ac:dyDescent="0.3">
      <c r="C654" s="16"/>
      <c r="D654" s="16"/>
      <c r="J654" s="16"/>
      <c r="O654" s="16"/>
    </row>
    <row r="655" spans="3:15" x14ac:dyDescent="0.3">
      <c r="C655" s="16"/>
      <c r="D655" s="16"/>
      <c r="J655" s="16"/>
      <c r="O655" s="16"/>
    </row>
    <row r="656" spans="3:15" x14ac:dyDescent="0.3">
      <c r="C656" s="16"/>
      <c r="D656" s="16"/>
      <c r="J656" s="16"/>
      <c r="O656" s="16"/>
    </row>
    <row r="657" spans="3:15" x14ac:dyDescent="0.3">
      <c r="C657" s="16"/>
      <c r="D657" s="16"/>
      <c r="J657" s="16"/>
      <c r="O657" s="16"/>
    </row>
    <row r="658" spans="3:15" x14ac:dyDescent="0.3">
      <c r="C658" s="16"/>
      <c r="D658" s="16"/>
      <c r="J658" s="16"/>
      <c r="O658" s="16"/>
    </row>
    <row r="659" spans="3:15" x14ac:dyDescent="0.3">
      <c r="C659" s="16"/>
      <c r="D659" s="16"/>
      <c r="J659" s="16"/>
      <c r="O659" s="16"/>
    </row>
    <row r="660" spans="3:15" x14ac:dyDescent="0.3">
      <c r="C660" s="16"/>
      <c r="D660" s="16"/>
      <c r="J660" s="16"/>
      <c r="O660" s="16"/>
    </row>
    <row r="661" spans="3:15" x14ac:dyDescent="0.3">
      <c r="C661" s="16"/>
      <c r="D661" s="16"/>
      <c r="J661" s="16"/>
      <c r="O661" s="16"/>
    </row>
    <row r="662" spans="3:15" x14ac:dyDescent="0.3">
      <c r="C662" s="16"/>
      <c r="D662" s="16"/>
      <c r="J662" s="16"/>
      <c r="O662" s="16"/>
    </row>
    <row r="663" spans="3:15" x14ac:dyDescent="0.3">
      <c r="C663" s="16"/>
      <c r="D663" s="16"/>
      <c r="J663" s="16"/>
      <c r="O663" s="16"/>
    </row>
    <row r="664" spans="3:15" x14ac:dyDescent="0.3">
      <c r="C664" s="16"/>
      <c r="D664" s="16"/>
      <c r="J664" s="16"/>
      <c r="O664" s="16"/>
    </row>
    <row r="665" spans="3:15" x14ac:dyDescent="0.3">
      <c r="C665" s="16"/>
      <c r="D665" s="16"/>
      <c r="J665" s="16"/>
      <c r="O665" s="16"/>
    </row>
    <row r="666" spans="3:15" x14ac:dyDescent="0.3">
      <c r="C666" s="16"/>
      <c r="D666" s="16"/>
      <c r="J666" s="16"/>
      <c r="O666" s="16"/>
    </row>
    <row r="667" spans="3:15" x14ac:dyDescent="0.3">
      <c r="C667" s="16"/>
      <c r="D667" s="16"/>
      <c r="J667" s="16"/>
      <c r="O667" s="16"/>
    </row>
    <row r="668" spans="3:15" x14ac:dyDescent="0.3">
      <c r="C668" s="16"/>
      <c r="D668" s="16"/>
      <c r="J668" s="16"/>
      <c r="O668" s="16"/>
    </row>
    <row r="669" spans="3:15" x14ac:dyDescent="0.3">
      <c r="C669" s="16"/>
      <c r="D669" s="16"/>
      <c r="J669" s="16"/>
      <c r="O669" s="16"/>
    </row>
    <row r="670" spans="3:15" x14ac:dyDescent="0.3">
      <c r="C670" s="16"/>
      <c r="D670" s="16"/>
      <c r="J670" s="16"/>
      <c r="O670" s="16"/>
    </row>
    <row r="671" spans="3:15" x14ac:dyDescent="0.3">
      <c r="C671" s="16"/>
      <c r="D671" s="16"/>
      <c r="J671" s="16"/>
      <c r="O671" s="16"/>
    </row>
    <row r="672" spans="3:15" x14ac:dyDescent="0.3">
      <c r="C672" s="16"/>
      <c r="D672" s="16"/>
      <c r="J672" s="16"/>
      <c r="O672" s="16"/>
    </row>
    <row r="673" spans="3:15" x14ac:dyDescent="0.3">
      <c r="C673" s="16"/>
      <c r="D673" s="16"/>
      <c r="J673" s="16"/>
      <c r="O673" s="16"/>
    </row>
    <row r="674" spans="3:15" x14ac:dyDescent="0.3">
      <c r="C674" s="16"/>
      <c r="D674" s="16"/>
      <c r="J674" s="16"/>
      <c r="O674" s="16"/>
    </row>
    <row r="675" spans="3:15" x14ac:dyDescent="0.3">
      <c r="C675" s="16"/>
      <c r="D675" s="16"/>
      <c r="J675" s="16"/>
      <c r="O675" s="16"/>
    </row>
    <row r="676" spans="3:15" x14ac:dyDescent="0.3">
      <c r="C676" s="16"/>
      <c r="D676" s="16"/>
      <c r="J676" s="16"/>
      <c r="O676" s="16"/>
    </row>
    <row r="677" spans="3:15" x14ac:dyDescent="0.3">
      <c r="C677" s="16"/>
      <c r="D677" s="16"/>
      <c r="J677" s="16"/>
      <c r="O677" s="16"/>
    </row>
    <row r="678" spans="3:15" x14ac:dyDescent="0.3">
      <c r="C678" s="16"/>
      <c r="D678" s="16"/>
      <c r="J678" s="16"/>
      <c r="O678" s="16"/>
    </row>
    <row r="679" spans="3:15" x14ac:dyDescent="0.3">
      <c r="C679" s="16"/>
      <c r="D679" s="16"/>
      <c r="J679" s="16"/>
      <c r="O679" s="16"/>
    </row>
    <row r="680" spans="3:15" x14ac:dyDescent="0.3">
      <c r="C680" s="16"/>
      <c r="D680" s="16"/>
      <c r="J680" s="16"/>
      <c r="O680" s="16"/>
    </row>
    <row r="681" spans="3:15" x14ac:dyDescent="0.3">
      <c r="C681" s="16"/>
      <c r="D681" s="16"/>
      <c r="J681" s="16"/>
      <c r="O681" s="16"/>
    </row>
    <row r="682" spans="3:15" x14ac:dyDescent="0.3">
      <c r="C682" s="16"/>
      <c r="D682" s="16"/>
      <c r="J682" s="16"/>
      <c r="O682" s="16"/>
    </row>
    <row r="683" spans="3:15" x14ac:dyDescent="0.3">
      <c r="C683" s="16"/>
      <c r="D683" s="16"/>
      <c r="J683" s="16"/>
      <c r="O683" s="16"/>
    </row>
    <row r="684" spans="3:15" x14ac:dyDescent="0.3">
      <c r="C684" s="16"/>
      <c r="D684" s="16"/>
      <c r="J684" s="16"/>
      <c r="O684" s="16"/>
    </row>
    <row r="685" spans="3:15" x14ac:dyDescent="0.3">
      <c r="C685" s="16"/>
      <c r="D685" s="16"/>
      <c r="J685" s="16"/>
      <c r="O685" s="16"/>
    </row>
    <row r="686" spans="3:15" x14ac:dyDescent="0.3">
      <c r="C686" s="16"/>
      <c r="D686" s="16"/>
      <c r="J686" s="16"/>
      <c r="O686" s="16"/>
    </row>
    <row r="687" spans="3:15" x14ac:dyDescent="0.3">
      <c r="C687" s="16"/>
      <c r="D687" s="16"/>
      <c r="J687" s="16"/>
      <c r="O687" s="16"/>
    </row>
    <row r="688" spans="3:15" x14ac:dyDescent="0.3">
      <c r="C688" s="16"/>
      <c r="D688" s="16"/>
      <c r="J688" s="16"/>
      <c r="O688" s="16"/>
    </row>
    <row r="689" spans="3:15" x14ac:dyDescent="0.3">
      <c r="C689" s="16"/>
      <c r="D689" s="16"/>
      <c r="J689" s="16"/>
      <c r="O689" s="16"/>
    </row>
    <row r="690" spans="3:15" x14ac:dyDescent="0.3">
      <c r="C690" s="16"/>
      <c r="D690" s="16"/>
      <c r="J690" s="16"/>
      <c r="O690" s="16"/>
    </row>
    <row r="691" spans="3:15" x14ac:dyDescent="0.3">
      <c r="C691" s="16"/>
      <c r="D691" s="16"/>
      <c r="J691" s="16"/>
      <c r="O691" s="16"/>
    </row>
    <row r="692" spans="3:15" x14ac:dyDescent="0.3">
      <c r="C692" s="16"/>
      <c r="D692" s="16"/>
      <c r="J692" s="16"/>
      <c r="O692" s="16"/>
    </row>
    <row r="693" spans="3:15" x14ac:dyDescent="0.3">
      <c r="C693" s="16"/>
      <c r="D693" s="16"/>
      <c r="J693" s="16"/>
      <c r="O693" s="16"/>
    </row>
    <row r="694" spans="3:15" x14ac:dyDescent="0.3">
      <c r="C694" s="16"/>
      <c r="D694" s="16"/>
      <c r="J694" s="16"/>
      <c r="O694" s="16"/>
    </row>
    <row r="695" spans="3:15" x14ac:dyDescent="0.3">
      <c r="C695" s="16"/>
      <c r="D695" s="16"/>
      <c r="J695" s="16"/>
      <c r="O695" s="16"/>
    </row>
    <row r="696" spans="3:15" x14ac:dyDescent="0.3">
      <c r="C696" s="16"/>
      <c r="D696" s="16"/>
      <c r="J696" s="16"/>
      <c r="O696" s="16"/>
    </row>
    <row r="697" spans="3:15" x14ac:dyDescent="0.3">
      <c r="C697" s="16"/>
      <c r="D697" s="16"/>
      <c r="J697" s="16"/>
      <c r="O697" s="16"/>
    </row>
    <row r="698" spans="3:15" x14ac:dyDescent="0.3">
      <c r="C698" s="16"/>
      <c r="D698" s="16"/>
      <c r="J698" s="16"/>
      <c r="O698" s="16"/>
    </row>
    <row r="699" spans="3:15" x14ac:dyDescent="0.3">
      <c r="C699" s="16"/>
      <c r="D699" s="16"/>
      <c r="J699" s="16"/>
      <c r="O699" s="16"/>
    </row>
    <row r="700" spans="3:15" x14ac:dyDescent="0.3">
      <c r="C700" s="16"/>
      <c r="D700" s="16"/>
      <c r="J700" s="16"/>
      <c r="O700" s="16"/>
    </row>
    <row r="701" spans="3:15" x14ac:dyDescent="0.3">
      <c r="C701" s="16"/>
      <c r="D701" s="16"/>
      <c r="J701" s="16"/>
      <c r="O701" s="16"/>
    </row>
    <row r="702" spans="3:15" x14ac:dyDescent="0.3">
      <c r="C702" s="16"/>
      <c r="D702" s="16"/>
      <c r="J702" s="16"/>
      <c r="O702" s="16"/>
    </row>
    <row r="703" spans="3:15" x14ac:dyDescent="0.3">
      <c r="C703" s="16"/>
      <c r="D703" s="16"/>
      <c r="J703" s="16"/>
      <c r="O703" s="16"/>
    </row>
    <row r="704" spans="3:15" x14ac:dyDescent="0.3">
      <c r="C704" s="16"/>
      <c r="D704" s="16"/>
      <c r="J704" s="16"/>
      <c r="O704" s="16"/>
    </row>
    <row r="705" spans="3:15" x14ac:dyDescent="0.3">
      <c r="C705" s="16"/>
      <c r="D705" s="16"/>
      <c r="J705" s="16"/>
      <c r="O705" s="16"/>
    </row>
    <row r="706" spans="3:15" x14ac:dyDescent="0.3">
      <c r="C706" s="16"/>
      <c r="D706" s="16"/>
      <c r="J706" s="16"/>
      <c r="O706" s="16"/>
    </row>
    <row r="707" spans="3:15" x14ac:dyDescent="0.3">
      <c r="C707" s="16"/>
      <c r="D707" s="16"/>
      <c r="J707" s="16"/>
      <c r="O707" s="16"/>
    </row>
    <row r="708" spans="3:15" x14ac:dyDescent="0.3">
      <c r="C708" s="16"/>
      <c r="D708" s="16"/>
      <c r="J708" s="16"/>
      <c r="O708" s="16"/>
    </row>
    <row r="709" spans="3:15" x14ac:dyDescent="0.3">
      <c r="C709" s="16"/>
      <c r="D709" s="16"/>
      <c r="J709" s="16"/>
      <c r="O709" s="16"/>
    </row>
    <row r="710" spans="3:15" x14ac:dyDescent="0.3">
      <c r="C710" s="16"/>
      <c r="D710" s="16"/>
      <c r="J710" s="16"/>
      <c r="O710" s="16"/>
    </row>
    <row r="711" spans="3:15" x14ac:dyDescent="0.3">
      <c r="C711" s="16"/>
      <c r="D711" s="16"/>
      <c r="J711" s="16"/>
      <c r="O711" s="16"/>
    </row>
    <row r="712" spans="3:15" x14ac:dyDescent="0.3">
      <c r="C712" s="16"/>
      <c r="D712" s="16"/>
      <c r="J712" s="16"/>
      <c r="O712" s="16"/>
    </row>
    <row r="713" spans="3:15" x14ac:dyDescent="0.3">
      <c r="C713" s="16"/>
      <c r="D713" s="16"/>
      <c r="J713" s="16"/>
      <c r="O713" s="16"/>
    </row>
    <row r="714" spans="3:15" x14ac:dyDescent="0.3">
      <c r="C714" s="16"/>
      <c r="D714" s="16"/>
      <c r="J714" s="16"/>
      <c r="O714" s="16"/>
    </row>
    <row r="715" spans="3:15" x14ac:dyDescent="0.3">
      <c r="C715" s="16"/>
      <c r="D715" s="16"/>
      <c r="J715" s="16"/>
      <c r="O715" s="16"/>
    </row>
    <row r="716" spans="3:15" x14ac:dyDescent="0.3">
      <c r="C716" s="16"/>
      <c r="D716" s="16"/>
      <c r="J716" s="16"/>
      <c r="O716" s="16"/>
    </row>
    <row r="717" spans="3:15" x14ac:dyDescent="0.3">
      <c r="C717" s="16"/>
      <c r="D717" s="16"/>
      <c r="J717" s="16"/>
      <c r="O717" s="16"/>
    </row>
    <row r="718" spans="3:15" x14ac:dyDescent="0.3">
      <c r="C718" s="16"/>
      <c r="D718" s="16"/>
      <c r="J718" s="16"/>
      <c r="O718" s="16"/>
    </row>
    <row r="719" spans="3:15" x14ac:dyDescent="0.3">
      <c r="C719" s="16"/>
      <c r="D719" s="16"/>
      <c r="J719" s="16"/>
      <c r="O719" s="16"/>
    </row>
    <row r="720" spans="3:15" x14ac:dyDescent="0.3">
      <c r="C720" s="16"/>
      <c r="D720" s="16"/>
      <c r="J720" s="16"/>
      <c r="O720" s="16"/>
    </row>
    <row r="721" spans="3:15" x14ac:dyDescent="0.3">
      <c r="C721" s="16"/>
      <c r="D721" s="16"/>
      <c r="J721" s="16"/>
      <c r="O721" s="16"/>
    </row>
    <row r="722" spans="3:15" x14ac:dyDescent="0.3">
      <c r="C722" s="16"/>
      <c r="D722" s="16"/>
      <c r="J722" s="16"/>
      <c r="O722" s="16"/>
    </row>
    <row r="723" spans="3:15" x14ac:dyDescent="0.3">
      <c r="C723" s="16"/>
      <c r="D723" s="16"/>
      <c r="J723" s="16"/>
      <c r="O723" s="16"/>
    </row>
    <row r="724" spans="3:15" x14ac:dyDescent="0.3">
      <c r="C724" s="16"/>
      <c r="D724" s="16"/>
      <c r="J724" s="16"/>
      <c r="O724" s="16"/>
    </row>
    <row r="725" spans="3:15" x14ac:dyDescent="0.3">
      <c r="C725" s="16"/>
      <c r="D725" s="16"/>
      <c r="J725" s="16"/>
      <c r="O725" s="16"/>
    </row>
    <row r="726" spans="3:15" x14ac:dyDescent="0.3">
      <c r="C726" s="16"/>
      <c r="D726" s="16"/>
      <c r="J726" s="16"/>
      <c r="O726" s="16"/>
    </row>
    <row r="727" spans="3:15" x14ac:dyDescent="0.3">
      <c r="C727" s="16"/>
      <c r="D727" s="16"/>
      <c r="J727" s="16"/>
      <c r="O727" s="16"/>
    </row>
    <row r="728" spans="3:15" x14ac:dyDescent="0.3">
      <c r="C728" s="16"/>
      <c r="D728" s="16"/>
      <c r="J728" s="16"/>
      <c r="O728" s="16"/>
    </row>
    <row r="729" spans="3:15" x14ac:dyDescent="0.3">
      <c r="C729" s="16"/>
      <c r="D729" s="16"/>
      <c r="J729" s="16"/>
      <c r="O729" s="16"/>
    </row>
    <row r="730" spans="3:15" x14ac:dyDescent="0.3">
      <c r="C730" s="16"/>
      <c r="D730" s="16"/>
      <c r="J730" s="16"/>
      <c r="O730" s="16"/>
    </row>
    <row r="731" spans="3:15" x14ac:dyDescent="0.3">
      <c r="C731" s="16"/>
      <c r="D731" s="16"/>
      <c r="J731" s="16"/>
      <c r="O731" s="16"/>
    </row>
    <row r="732" spans="3:15" x14ac:dyDescent="0.3">
      <c r="C732" s="16"/>
      <c r="D732" s="16"/>
      <c r="J732" s="16"/>
      <c r="O732" s="16"/>
    </row>
    <row r="733" spans="3:15" x14ac:dyDescent="0.3">
      <c r="C733" s="16"/>
      <c r="D733" s="16"/>
      <c r="J733" s="16"/>
      <c r="O733" s="16"/>
    </row>
    <row r="734" spans="3:15" x14ac:dyDescent="0.3">
      <c r="C734" s="16"/>
      <c r="D734" s="16"/>
      <c r="J734" s="16"/>
      <c r="O734" s="16"/>
    </row>
    <row r="735" spans="3:15" x14ac:dyDescent="0.3">
      <c r="C735" s="16"/>
      <c r="D735" s="16"/>
      <c r="J735" s="16"/>
      <c r="O735" s="16"/>
    </row>
    <row r="736" spans="3:15" x14ac:dyDescent="0.3">
      <c r="C736" s="16"/>
      <c r="D736" s="16"/>
      <c r="J736" s="16"/>
      <c r="O736" s="16"/>
    </row>
    <row r="737" spans="3:15" x14ac:dyDescent="0.3">
      <c r="C737" s="16"/>
      <c r="D737" s="16"/>
      <c r="J737" s="16"/>
      <c r="O737" s="16"/>
    </row>
    <row r="738" spans="3:15" x14ac:dyDescent="0.3">
      <c r="C738" s="16"/>
      <c r="D738" s="16"/>
      <c r="J738" s="16"/>
      <c r="O738" s="16"/>
    </row>
    <row r="739" spans="3:15" x14ac:dyDescent="0.3">
      <c r="C739" s="16"/>
      <c r="D739" s="16"/>
      <c r="J739" s="16"/>
      <c r="O739" s="16"/>
    </row>
    <row r="740" spans="3:15" x14ac:dyDescent="0.3">
      <c r="C740" s="16"/>
      <c r="D740" s="16"/>
      <c r="J740" s="16"/>
      <c r="O740" s="16"/>
    </row>
    <row r="741" spans="3:15" x14ac:dyDescent="0.3">
      <c r="C741" s="16"/>
      <c r="D741" s="16"/>
      <c r="J741" s="16"/>
      <c r="O741" s="16"/>
    </row>
    <row r="742" spans="3:15" x14ac:dyDescent="0.3">
      <c r="C742" s="16"/>
      <c r="D742" s="16"/>
      <c r="J742" s="16"/>
      <c r="O742" s="16"/>
    </row>
    <row r="743" spans="3:15" x14ac:dyDescent="0.3">
      <c r="C743" s="16"/>
      <c r="D743" s="16"/>
      <c r="J743" s="16"/>
      <c r="O743" s="16"/>
    </row>
    <row r="744" spans="3:15" x14ac:dyDescent="0.3">
      <c r="C744" s="16"/>
      <c r="D744" s="16"/>
      <c r="J744" s="16"/>
      <c r="O744" s="16"/>
    </row>
    <row r="745" spans="3:15" x14ac:dyDescent="0.3">
      <c r="C745" s="16"/>
      <c r="D745" s="16"/>
      <c r="J745" s="16"/>
      <c r="O745" s="16"/>
    </row>
    <row r="746" spans="3:15" x14ac:dyDescent="0.3">
      <c r="C746" s="16"/>
      <c r="D746" s="16"/>
      <c r="J746" s="16"/>
      <c r="O746" s="16"/>
    </row>
    <row r="747" spans="3:15" x14ac:dyDescent="0.3">
      <c r="C747" s="16"/>
      <c r="D747" s="16"/>
      <c r="J747" s="16"/>
      <c r="O747" s="16"/>
    </row>
    <row r="748" spans="3:15" x14ac:dyDescent="0.3">
      <c r="C748" s="16"/>
      <c r="D748" s="16"/>
      <c r="J748" s="16"/>
      <c r="O748" s="16"/>
    </row>
    <row r="749" spans="3:15" x14ac:dyDescent="0.3">
      <c r="C749" s="16"/>
      <c r="D749" s="16"/>
      <c r="J749" s="16"/>
      <c r="O749" s="16"/>
    </row>
    <row r="750" spans="3:15" x14ac:dyDescent="0.3">
      <c r="C750" s="16"/>
      <c r="D750" s="16"/>
      <c r="J750" s="16"/>
      <c r="O750" s="16"/>
    </row>
    <row r="751" spans="3:15" x14ac:dyDescent="0.3">
      <c r="C751" s="16"/>
      <c r="D751" s="16"/>
      <c r="J751" s="16"/>
      <c r="O751" s="16"/>
    </row>
    <row r="752" spans="3:15" x14ac:dyDescent="0.3">
      <c r="C752" s="16"/>
      <c r="D752" s="16"/>
      <c r="J752" s="16"/>
      <c r="O752" s="16"/>
    </row>
    <row r="753" spans="3:15" x14ac:dyDescent="0.3">
      <c r="C753" s="16"/>
      <c r="D753" s="16"/>
      <c r="J753" s="16"/>
      <c r="O753" s="16"/>
    </row>
    <row r="754" spans="3:15" x14ac:dyDescent="0.3">
      <c r="C754" s="16"/>
      <c r="D754" s="16"/>
      <c r="J754" s="16"/>
      <c r="O754" s="16"/>
    </row>
    <row r="755" spans="3:15" x14ac:dyDescent="0.3">
      <c r="C755" s="16"/>
      <c r="D755" s="16"/>
      <c r="J755" s="16"/>
      <c r="O755" s="16"/>
    </row>
    <row r="756" spans="3:15" x14ac:dyDescent="0.3">
      <c r="C756" s="16"/>
      <c r="D756" s="16"/>
      <c r="J756" s="16"/>
      <c r="O756" s="16"/>
    </row>
    <row r="757" spans="3:15" x14ac:dyDescent="0.3">
      <c r="C757" s="16"/>
      <c r="D757" s="16"/>
      <c r="J757" s="16"/>
      <c r="O757" s="16"/>
    </row>
    <row r="758" spans="3:15" x14ac:dyDescent="0.3">
      <c r="C758" s="16"/>
      <c r="D758" s="16"/>
      <c r="J758" s="16"/>
      <c r="O758" s="16"/>
    </row>
    <row r="759" spans="3:15" x14ac:dyDescent="0.3">
      <c r="C759" s="16"/>
      <c r="D759" s="16"/>
      <c r="J759" s="16"/>
      <c r="O759" s="16"/>
    </row>
    <row r="760" spans="3:15" x14ac:dyDescent="0.3">
      <c r="C760" s="16"/>
      <c r="D760" s="16"/>
      <c r="J760" s="16"/>
      <c r="O760" s="16"/>
    </row>
    <row r="761" spans="3:15" x14ac:dyDescent="0.3">
      <c r="C761" s="16"/>
      <c r="D761" s="16"/>
      <c r="J761" s="16"/>
      <c r="O761" s="16"/>
    </row>
    <row r="762" spans="3:15" x14ac:dyDescent="0.3">
      <c r="C762" s="16"/>
      <c r="D762" s="16"/>
      <c r="J762" s="16"/>
      <c r="O762" s="16"/>
    </row>
    <row r="763" spans="3:15" x14ac:dyDescent="0.3">
      <c r="C763" s="16"/>
      <c r="D763" s="16"/>
      <c r="J763" s="16"/>
      <c r="O763" s="16"/>
    </row>
    <row r="764" spans="3:15" x14ac:dyDescent="0.3">
      <c r="C764" s="16"/>
      <c r="D764" s="16"/>
      <c r="J764" s="16"/>
      <c r="O764" s="16"/>
    </row>
    <row r="765" spans="3:15" x14ac:dyDescent="0.3">
      <c r="C765" s="16"/>
      <c r="D765" s="16"/>
      <c r="J765" s="16"/>
      <c r="O765" s="16"/>
    </row>
    <row r="766" spans="3:15" x14ac:dyDescent="0.3">
      <c r="C766" s="16"/>
      <c r="D766" s="16"/>
      <c r="J766" s="16"/>
      <c r="O766" s="16"/>
    </row>
    <row r="767" spans="3:15" x14ac:dyDescent="0.3">
      <c r="C767" s="16"/>
      <c r="D767" s="16"/>
      <c r="J767" s="16"/>
      <c r="O767" s="16"/>
    </row>
    <row r="768" spans="3:15" x14ac:dyDescent="0.3">
      <c r="C768" s="16"/>
      <c r="D768" s="16"/>
      <c r="J768" s="16"/>
      <c r="O768" s="16"/>
    </row>
    <row r="769" spans="3:15" x14ac:dyDescent="0.3">
      <c r="C769" s="16"/>
      <c r="D769" s="16"/>
      <c r="J769" s="16"/>
      <c r="O769" s="16"/>
    </row>
    <row r="770" spans="3:15" x14ac:dyDescent="0.3">
      <c r="C770" s="16"/>
      <c r="D770" s="16"/>
      <c r="J770" s="16"/>
      <c r="O770" s="16"/>
    </row>
    <row r="771" spans="3:15" x14ac:dyDescent="0.3">
      <c r="C771" s="16"/>
      <c r="D771" s="16"/>
      <c r="J771" s="16"/>
      <c r="O771" s="16"/>
    </row>
    <row r="772" spans="3:15" x14ac:dyDescent="0.3">
      <c r="C772" s="16"/>
      <c r="D772" s="16"/>
      <c r="J772" s="16"/>
      <c r="O772" s="16"/>
    </row>
    <row r="773" spans="3:15" x14ac:dyDescent="0.3">
      <c r="C773" s="16"/>
      <c r="D773" s="16"/>
      <c r="J773" s="16"/>
      <c r="O773" s="16"/>
    </row>
    <row r="774" spans="3:15" x14ac:dyDescent="0.3">
      <c r="C774" s="16"/>
      <c r="D774" s="16"/>
      <c r="J774" s="16"/>
      <c r="O774" s="16"/>
    </row>
    <row r="775" spans="3:15" x14ac:dyDescent="0.3">
      <c r="C775" s="16"/>
      <c r="D775" s="16"/>
      <c r="J775" s="16"/>
      <c r="O775" s="16"/>
    </row>
    <row r="776" spans="3:15" x14ac:dyDescent="0.3">
      <c r="C776" s="16"/>
      <c r="D776" s="16"/>
      <c r="J776" s="16"/>
      <c r="O776" s="16"/>
    </row>
    <row r="777" spans="3:15" x14ac:dyDescent="0.3">
      <c r="C777" s="16"/>
      <c r="D777" s="16"/>
      <c r="J777" s="16"/>
      <c r="O777" s="16"/>
    </row>
    <row r="778" spans="3:15" x14ac:dyDescent="0.3">
      <c r="C778" s="16"/>
      <c r="D778" s="16"/>
      <c r="J778" s="16"/>
      <c r="O778" s="16"/>
    </row>
    <row r="779" spans="3:15" x14ac:dyDescent="0.3">
      <c r="C779" s="16"/>
      <c r="D779" s="16"/>
      <c r="J779" s="16"/>
      <c r="O779" s="16"/>
    </row>
    <row r="780" spans="3:15" x14ac:dyDescent="0.3">
      <c r="C780" s="16"/>
      <c r="D780" s="16"/>
      <c r="J780" s="16"/>
      <c r="O780" s="16"/>
    </row>
    <row r="781" spans="3:15" x14ac:dyDescent="0.3">
      <c r="C781" s="16"/>
      <c r="D781" s="16"/>
      <c r="J781" s="16"/>
      <c r="O781" s="16"/>
    </row>
    <row r="782" spans="3:15" x14ac:dyDescent="0.3">
      <c r="C782" s="16"/>
      <c r="D782" s="16"/>
      <c r="J782" s="16"/>
      <c r="O782" s="16"/>
    </row>
    <row r="783" spans="3:15" x14ac:dyDescent="0.3">
      <c r="C783" s="16"/>
      <c r="D783" s="16"/>
      <c r="J783" s="16"/>
      <c r="O783" s="16"/>
    </row>
    <row r="784" spans="3:15" x14ac:dyDescent="0.3">
      <c r="C784" s="16"/>
      <c r="D784" s="16"/>
      <c r="J784" s="16"/>
      <c r="O784" s="16"/>
    </row>
    <row r="785" spans="3:15" x14ac:dyDescent="0.3">
      <c r="C785" s="16"/>
      <c r="D785" s="16"/>
      <c r="J785" s="16"/>
      <c r="O785" s="16"/>
    </row>
    <row r="786" spans="3:15" x14ac:dyDescent="0.3">
      <c r="C786" s="16"/>
      <c r="D786" s="16"/>
      <c r="J786" s="16"/>
      <c r="O786" s="16"/>
    </row>
    <row r="787" spans="3:15" x14ac:dyDescent="0.3">
      <c r="C787" s="16"/>
      <c r="D787" s="16"/>
      <c r="J787" s="16"/>
      <c r="O787" s="16"/>
    </row>
    <row r="788" spans="3:15" x14ac:dyDescent="0.3">
      <c r="C788" s="16"/>
      <c r="D788" s="16"/>
      <c r="J788" s="16"/>
      <c r="O788" s="16"/>
    </row>
    <row r="789" spans="3:15" x14ac:dyDescent="0.3">
      <c r="C789" s="16"/>
      <c r="D789" s="16"/>
      <c r="J789" s="16"/>
      <c r="O789" s="16"/>
    </row>
    <row r="790" spans="3:15" x14ac:dyDescent="0.3">
      <c r="C790" s="16"/>
      <c r="D790" s="16"/>
      <c r="J790" s="16"/>
      <c r="O790" s="16"/>
    </row>
    <row r="791" spans="3:15" x14ac:dyDescent="0.3">
      <c r="C791" s="16"/>
      <c r="D791" s="16"/>
      <c r="J791" s="16"/>
      <c r="O791" s="16"/>
    </row>
    <row r="792" spans="3:15" x14ac:dyDescent="0.3">
      <c r="C792" s="16"/>
      <c r="D792" s="16"/>
      <c r="J792" s="16"/>
      <c r="O792" s="16"/>
    </row>
    <row r="793" spans="3:15" x14ac:dyDescent="0.3">
      <c r="C793" s="16"/>
      <c r="D793" s="16"/>
      <c r="J793" s="16"/>
      <c r="O793" s="16"/>
    </row>
    <row r="794" spans="3:15" x14ac:dyDescent="0.3">
      <c r="C794" s="16"/>
      <c r="D794" s="16"/>
      <c r="J794" s="16"/>
      <c r="O794" s="16"/>
    </row>
    <row r="795" spans="3:15" x14ac:dyDescent="0.3">
      <c r="C795" s="16"/>
      <c r="D795" s="16"/>
      <c r="J795" s="16"/>
      <c r="O795" s="16"/>
    </row>
    <row r="796" spans="3:15" x14ac:dyDescent="0.3">
      <c r="C796" s="16"/>
      <c r="D796" s="16"/>
      <c r="J796" s="16"/>
      <c r="O796" s="16"/>
    </row>
    <row r="797" spans="3:15" x14ac:dyDescent="0.3">
      <c r="C797" s="16"/>
      <c r="D797" s="16"/>
      <c r="J797" s="16"/>
      <c r="O797" s="16"/>
    </row>
    <row r="798" spans="3:15" x14ac:dyDescent="0.3">
      <c r="C798" s="16"/>
      <c r="D798" s="16"/>
      <c r="J798" s="16"/>
      <c r="O798" s="16"/>
    </row>
    <row r="799" spans="3:15" x14ac:dyDescent="0.3">
      <c r="C799" s="16"/>
      <c r="D799" s="16"/>
      <c r="J799" s="16"/>
      <c r="O799" s="16"/>
    </row>
    <row r="800" spans="3:15" x14ac:dyDescent="0.3">
      <c r="C800" s="16"/>
      <c r="D800" s="16"/>
      <c r="J800" s="16"/>
      <c r="O800" s="16"/>
    </row>
    <row r="801" spans="3:15" x14ac:dyDescent="0.3">
      <c r="C801" s="16"/>
      <c r="D801" s="16"/>
      <c r="J801" s="16"/>
      <c r="O801" s="16"/>
    </row>
    <row r="802" spans="3:15" x14ac:dyDescent="0.3">
      <c r="C802" s="16"/>
      <c r="D802" s="16"/>
      <c r="J802" s="16"/>
      <c r="O802" s="16"/>
    </row>
    <row r="803" spans="3:15" x14ac:dyDescent="0.3">
      <c r="C803" s="16"/>
      <c r="D803" s="16"/>
      <c r="J803" s="16"/>
      <c r="O803" s="16"/>
    </row>
    <row r="804" spans="3:15" x14ac:dyDescent="0.3">
      <c r="C804" s="16"/>
      <c r="D804" s="16"/>
      <c r="J804" s="16"/>
      <c r="O804" s="16"/>
    </row>
    <row r="805" spans="3:15" x14ac:dyDescent="0.3">
      <c r="C805" s="16"/>
      <c r="D805" s="16"/>
      <c r="J805" s="16"/>
      <c r="O805" s="16"/>
    </row>
    <row r="806" spans="3:15" x14ac:dyDescent="0.3">
      <c r="C806" s="16"/>
      <c r="D806" s="16"/>
      <c r="J806" s="16"/>
      <c r="O806" s="16"/>
    </row>
    <row r="807" spans="3:15" x14ac:dyDescent="0.3">
      <c r="C807" s="16"/>
      <c r="D807" s="16"/>
      <c r="J807" s="16"/>
      <c r="O807" s="16"/>
    </row>
    <row r="808" spans="3:15" x14ac:dyDescent="0.3">
      <c r="C808" s="16"/>
      <c r="D808" s="16"/>
      <c r="J808" s="16"/>
      <c r="O808" s="16"/>
    </row>
    <row r="809" spans="3:15" x14ac:dyDescent="0.3">
      <c r="C809" s="16"/>
      <c r="D809" s="16"/>
      <c r="J809" s="16"/>
      <c r="O809" s="16"/>
    </row>
    <row r="810" spans="3:15" x14ac:dyDescent="0.3">
      <c r="C810" s="16"/>
      <c r="D810" s="16"/>
      <c r="J810" s="16"/>
      <c r="O810" s="16"/>
    </row>
    <row r="811" spans="3:15" x14ac:dyDescent="0.3">
      <c r="C811" s="16"/>
      <c r="D811" s="16"/>
      <c r="J811" s="16"/>
      <c r="O811" s="16"/>
    </row>
    <row r="812" spans="3:15" x14ac:dyDescent="0.3">
      <c r="C812" s="16"/>
      <c r="D812" s="16"/>
      <c r="J812" s="16"/>
      <c r="O812" s="16"/>
    </row>
    <row r="813" spans="3:15" x14ac:dyDescent="0.3">
      <c r="C813" s="16"/>
      <c r="D813" s="16"/>
      <c r="J813" s="16"/>
      <c r="O813" s="16"/>
    </row>
    <row r="814" spans="3:15" x14ac:dyDescent="0.3">
      <c r="C814" s="16"/>
      <c r="D814" s="16"/>
      <c r="J814" s="16"/>
      <c r="O814" s="16"/>
    </row>
    <row r="815" spans="3:15" x14ac:dyDescent="0.3">
      <c r="C815" s="16"/>
      <c r="D815" s="16"/>
      <c r="J815" s="16"/>
      <c r="O815" s="16"/>
    </row>
    <row r="816" spans="3:15" x14ac:dyDescent="0.3">
      <c r="C816" s="16"/>
      <c r="D816" s="16"/>
      <c r="J816" s="16"/>
      <c r="O816" s="16"/>
    </row>
    <row r="817" spans="3:15" x14ac:dyDescent="0.3">
      <c r="C817" s="16"/>
      <c r="D817" s="16"/>
      <c r="J817" s="16"/>
      <c r="O817" s="16"/>
    </row>
    <row r="818" spans="3:15" x14ac:dyDescent="0.3">
      <c r="C818" s="16"/>
      <c r="D818" s="16"/>
      <c r="J818" s="16"/>
      <c r="O818" s="16"/>
    </row>
    <row r="819" spans="3:15" x14ac:dyDescent="0.3">
      <c r="C819" s="16"/>
      <c r="D819" s="16"/>
      <c r="J819" s="16"/>
      <c r="O819" s="16"/>
    </row>
    <row r="820" spans="3:15" x14ac:dyDescent="0.3">
      <c r="C820" s="16"/>
      <c r="D820" s="16"/>
      <c r="J820" s="16"/>
      <c r="O820" s="16"/>
    </row>
    <row r="821" spans="3:15" x14ac:dyDescent="0.3">
      <c r="C821" s="16"/>
      <c r="D821" s="16"/>
      <c r="J821" s="16"/>
      <c r="O821" s="16"/>
    </row>
    <row r="822" spans="3:15" x14ac:dyDescent="0.3">
      <c r="C822" s="16"/>
      <c r="D822" s="16"/>
      <c r="J822" s="16"/>
      <c r="O822" s="16"/>
    </row>
    <row r="823" spans="3:15" x14ac:dyDescent="0.3">
      <c r="C823" s="16"/>
      <c r="D823" s="16"/>
      <c r="J823" s="16"/>
      <c r="O823" s="16"/>
    </row>
    <row r="824" spans="3:15" x14ac:dyDescent="0.3">
      <c r="C824" s="16"/>
      <c r="D824" s="16"/>
      <c r="J824" s="16"/>
      <c r="O824" s="16"/>
    </row>
    <row r="825" spans="3:15" x14ac:dyDescent="0.3">
      <c r="C825" s="16"/>
      <c r="D825" s="16"/>
      <c r="J825" s="16"/>
      <c r="O825" s="16"/>
    </row>
    <row r="826" spans="3:15" x14ac:dyDescent="0.3">
      <c r="C826" s="16"/>
      <c r="D826" s="16"/>
      <c r="J826" s="16"/>
      <c r="O826" s="16"/>
    </row>
    <row r="827" spans="3:15" x14ac:dyDescent="0.3">
      <c r="C827" s="16"/>
      <c r="D827" s="16"/>
      <c r="J827" s="16"/>
      <c r="O827" s="16"/>
    </row>
    <row r="828" spans="3:15" x14ac:dyDescent="0.3">
      <c r="C828" s="16"/>
      <c r="D828" s="16"/>
      <c r="J828" s="16"/>
      <c r="O828" s="16"/>
    </row>
    <row r="829" spans="3:15" x14ac:dyDescent="0.3">
      <c r="C829" s="16"/>
      <c r="D829" s="16"/>
      <c r="J829" s="16"/>
      <c r="O829" s="16"/>
    </row>
    <row r="830" spans="3:15" x14ac:dyDescent="0.3">
      <c r="C830" s="16"/>
      <c r="D830" s="16"/>
      <c r="J830" s="16"/>
      <c r="O830" s="16"/>
    </row>
    <row r="831" spans="3:15" x14ac:dyDescent="0.3">
      <c r="C831" s="16"/>
      <c r="D831" s="16"/>
      <c r="J831" s="16"/>
      <c r="O831" s="16"/>
    </row>
    <row r="832" spans="3:15" x14ac:dyDescent="0.3">
      <c r="C832" s="16"/>
      <c r="D832" s="16"/>
      <c r="J832" s="16"/>
      <c r="O832" s="16"/>
    </row>
    <row r="833" spans="3:15" x14ac:dyDescent="0.3">
      <c r="C833" s="16"/>
      <c r="D833" s="16"/>
      <c r="J833" s="16"/>
      <c r="O833" s="16"/>
    </row>
    <row r="834" spans="3:15" x14ac:dyDescent="0.3">
      <c r="C834" s="16"/>
      <c r="D834" s="16"/>
      <c r="J834" s="16"/>
      <c r="O834" s="16"/>
    </row>
    <row r="835" spans="3:15" x14ac:dyDescent="0.3">
      <c r="C835" s="16"/>
      <c r="D835" s="16"/>
      <c r="J835" s="16"/>
      <c r="O835" s="16"/>
    </row>
    <row r="836" spans="3:15" x14ac:dyDescent="0.3">
      <c r="C836" s="16"/>
      <c r="D836" s="16"/>
      <c r="J836" s="16"/>
      <c r="O836" s="16"/>
    </row>
    <row r="837" spans="3:15" x14ac:dyDescent="0.3">
      <c r="C837" s="16"/>
      <c r="D837" s="16"/>
      <c r="J837" s="16"/>
      <c r="O837" s="16"/>
    </row>
    <row r="838" spans="3:15" x14ac:dyDescent="0.3">
      <c r="C838" s="16"/>
      <c r="D838" s="16"/>
      <c r="J838" s="16"/>
      <c r="O838" s="16"/>
    </row>
    <row r="839" spans="3:15" x14ac:dyDescent="0.3">
      <c r="C839" s="16"/>
      <c r="D839" s="16"/>
      <c r="J839" s="16"/>
      <c r="O839" s="16"/>
    </row>
    <row r="840" spans="3:15" x14ac:dyDescent="0.3">
      <c r="C840" s="16"/>
      <c r="D840" s="16"/>
      <c r="J840" s="16"/>
      <c r="O840" s="16"/>
    </row>
    <row r="841" spans="3:15" x14ac:dyDescent="0.3">
      <c r="C841" s="16"/>
      <c r="D841" s="16"/>
      <c r="J841" s="16"/>
      <c r="O841" s="16"/>
    </row>
    <row r="842" spans="3:15" x14ac:dyDescent="0.3">
      <c r="C842" s="16"/>
      <c r="D842" s="16"/>
      <c r="J842" s="16"/>
      <c r="O842" s="16"/>
    </row>
    <row r="843" spans="3:15" x14ac:dyDescent="0.3">
      <c r="C843" s="16"/>
      <c r="D843" s="16"/>
      <c r="J843" s="16"/>
      <c r="O843" s="16"/>
    </row>
    <row r="844" spans="3:15" x14ac:dyDescent="0.3">
      <c r="C844" s="16"/>
      <c r="D844" s="16"/>
      <c r="J844" s="16"/>
      <c r="O844" s="16"/>
    </row>
    <row r="845" spans="3:15" x14ac:dyDescent="0.3">
      <c r="C845" s="16"/>
      <c r="D845" s="16"/>
      <c r="J845" s="16"/>
      <c r="O845" s="16"/>
    </row>
    <row r="846" spans="3:15" x14ac:dyDescent="0.3">
      <c r="C846" s="16"/>
      <c r="D846" s="16"/>
      <c r="J846" s="16"/>
      <c r="O846" s="16"/>
    </row>
    <row r="847" spans="3:15" x14ac:dyDescent="0.3">
      <c r="C847" s="16"/>
      <c r="D847" s="16"/>
      <c r="J847" s="16"/>
      <c r="O847" s="16"/>
    </row>
    <row r="848" spans="3:15" x14ac:dyDescent="0.3">
      <c r="C848" s="16"/>
      <c r="D848" s="16"/>
      <c r="J848" s="16"/>
      <c r="O848" s="16"/>
    </row>
    <row r="849" spans="3:15" x14ac:dyDescent="0.3">
      <c r="C849" s="16"/>
      <c r="D849" s="16"/>
      <c r="J849" s="16"/>
      <c r="O849" s="16"/>
    </row>
    <row r="850" spans="3:15" x14ac:dyDescent="0.3">
      <c r="C850" s="16"/>
      <c r="D850" s="16"/>
      <c r="J850" s="16"/>
      <c r="O850" s="16"/>
    </row>
    <row r="851" spans="3:15" x14ac:dyDescent="0.3">
      <c r="C851" s="16"/>
      <c r="D851" s="16"/>
      <c r="J851" s="16"/>
      <c r="O851" s="16"/>
    </row>
    <row r="852" spans="3:15" x14ac:dyDescent="0.3">
      <c r="C852" s="16"/>
      <c r="D852" s="16"/>
      <c r="J852" s="16"/>
      <c r="O852" s="16"/>
    </row>
    <row r="853" spans="3:15" x14ac:dyDescent="0.3">
      <c r="C853" s="16"/>
      <c r="D853" s="16"/>
      <c r="J853" s="16"/>
      <c r="O853" s="16"/>
    </row>
    <row r="854" spans="3:15" x14ac:dyDescent="0.3">
      <c r="C854" s="16"/>
      <c r="D854" s="16"/>
      <c r="J854" s="16"/>
      <c r="O854" s="16"/>
    </row>
    <row r="855" spans="3:15" x14ac:dyDescent="0.3">
      <c r="C855" s="16"/>
      <c r="D855" s="16"/>
      <c r="J855" s="16"/>
      <c r="O855" s="16"/>
    </row>
    <row r="856" spans="3:15" x14ac:dyDescent="0.3">
      <c r="C856" s="16"/>
      <c r="D856" s="16"/>
      <c r="J856" s="16"/>
      <c r="O856" s="16"/>
    </row>
    <row r="857" spans="3:15" x14ac:dyDescent="0.3">
      <c r="C857" s="16"/>
      <c r="D857" s="16"/>
      <c r="J857" s="16"/>
      <c r="O857" s="16"/>
    </row>
    <row r="858" spans="3:15" x14ac:dyDescent="0.3">
      <c r="C858" s="16"/>
      <c r="D858" s="16"/>
      <c r="J858" s="16"/>
      <c r="O858" s="16"/>
    </row>
    <row r="859" spans="3:15" x14ac:dyDescent="0.3">
      <c r="C859" s="16"/>
      <c r="D859" s="16"/>
      <c r="J859" s="16"/>
      <c r="O859" s="16"/>
    </row>
    <row r="860" spans="3:15" x14ac:dyDescent="0.3">
      <c r="C860" s="16"/>
      <c r="D860" s="16"/>
      <c r="J860" s="16"/>
      <c r="O860" s="16"/>
    </row>
    <row r="861" spans="3:15" x14ac:dyDescent="0.3">
      <c r="C861" s="16"/>
      <c r="D861" s="16"/>
      <c r="J861" s="16"/>
      <c r="O861" s="16"/>
    </row>
    <row r="862" spans="3:15" x14ac:dyDescent="0.3">
      <c r="C862" s="16"/>
      <c r="D862" s="16"/>
      <c r="J862" s="16"/>
      <c r="O862" s="16"/>
    </row>
    <row r="863" spans="3:15" x14ac:dyDescent="0.3">
      <c r="C863" s="16"/>
      <c r="D863" s="16"/>
      <c r="J863" s="16"/>
      <c r="O863" s="16"/>
    </row>
    <row r="864" spans="3:15" x14ac:dyDescent="0.3">
      <c r="C864" s="16"/>
      <c r="D864" s="16"/>
      <c r="J864" s="16"/>
      <c r="O864" s="16"/>
    </row>
    <row r="865" spans="3:15" x14ac:dyDescent="0.3">
      <c r="C865" s="16"/>
      <c r="D865" s="16"/>
      <c r="J865" s="16"/>
      <c r="O865" s="16"/>
    </row>
    <row r="866" spans="3:15" x14ac:dyDescent="0.3">
      <c r="C866" s="16"/>
      <c r="D866" s="16"/>
      <c r="J866" s="16"/>
      <c r="O866" s="16"/>
    </row>
    <row r="867" spans="3:15" x14ac:dyDescent="0.3">
      <c r="C867" s="16"/>
      <c r="D867" s="16"/>
      <c r="J867" s="16"/>
      <c r="O867" s="16"/>
    </row>
    <row r="868" spans="3:15" x14ac:dyDescent="0.3">
      <c r="C868" s="16"/>
      <c r="D868" s="16"/>
      <c r="J868" s="16"/>
      <c r="O868" s="16"/>
    </row>
    <row r="869" spans="3:15" x14ac:dyDescent="0.3">
      <c r="C869" s="16"/>
      <c r="D869" s="16"/>
      <c r="J869" s="16"/>
      <c r="O869" s="16"/>
    </row>
    <row r="870" spans="3:15" x14ac:dyDescent="0.3">
      <c r="C870" s="16"/>
      <c r="D870" s="16"/>
      <c r="J870" s="16"/>
      <c r="O870" s="16"/>
    </row>
    <row r="871" spans="3:15" x14ac:dyDescent="0.3">
      <c r="C871" s="16"/>
      <c r="D871" s="16"/>
      <c r="J871" s="16"/>
      <c r="O871" s="16"/>
    </row>
    <row r="872" spans="3:15" x14ac:dyDescent="0.3">
      <c r="C872" s="16"/>
      <c r="D872" s="16"/>
      <c r="J872" s="16"/>
      <c r="O872" s="16"/>
    </row>
    <row r="873" spans="3:15" x14ac:dyDescent="0.3">
      <c r="C873" s="16"/>
      <c r="D873" s="16"/>
      <c r="J873" s="16"/>
      <c r="O873" s="16"/>
    </row>
    <row r="874" spans="3:15" x14ac:dyDescent="0.3">
      <c r="C874" s="16"/>
      <c r="D874" s="16"/>
      <c r="J874" s="16"/>
      <c r="O874" s="16"/>
    </row>
    <row r="875" spans="3:15" x14ac:dyDescent="0.3">
      <c r="C875" s="16"/>
      <c r="D875" s="16"/>
      <c r="J875" s="16"/>
      <c r="O875" s="16"/>
    </row>
    <row r="876" spans="3:15" x14ac:dyDescent="0.3">
      <c r="C876" s="16"/>
      <c r="D876" s="16"/>
      <c r="J876" s="16"/>
      <c r="O876" s="16"/>
    </row>
    <row r="877" spans="3:15" x14ac:dyDescent="0.3">
      <c r="C877" s="16"/>
      <c r="D877" s="16"/>
      <c r="J877" s="16"/>
      <c r="O877" s="16"/>
    </row>
    <row r="878" spans="3:15" x14ac:dyDescent="0.3">
      <c r="C878" s="16"/>
      <c r="D878" s="16"/>
      <c r="J878" s="16"/>
      <c r="O878" s="16"/>
    </row>
    <row r="879" spans="3:15" x14ac:dyDescent="0.3">
      <c r="C879" s="16"/>
      <c r="D879" s="16"/>
      <c r="J879" s="16"/>
      <c r="O879" s="16"/>
    </row>
    <row r="880" spans="3:15" x14ac:dyDescent="0.3">
      <c r="C880" s="16"/>
      <c r="D880" s="16"/>
      <c r="J880" s="16"/>
      <c r="O880" s="16"/>
    </row>
    <row r="881" spans="3:15" x14ac:dyDescent="0.3">
      <c r="C881" s="16"/>
      <c r="D881" s="16"/>
      <c r="J881" s="16"/>
      <c r="O881" s="16"/>
    </row>
    <row r="882" spans="3:15" x14ac:dyDescent="0.3">
      <c r="C882" s="16"/>
      <c r="D882" s="16"/>
      <c r="J882" s="16"/>
      <c r="O882" s="16"/>
    </row>
    <row r="883" spans="3:15" x14ac:dyDescent="0.3">
      <c r="C883" s="16"/>
      <c r="D883" s="16"/>
      <c r="J883" s="16"/>
      <c r="O883" s="16"/>
    </row>
    <row r="884" spans="3:15" x14ac:dyDescent="0.3">
      <c r="C884" s="16"/>
      <c r="D884" s="16"/>
      <c r="J884" s="16"/>
      <c r="O884" s="16"/>
    </row>
    <row r="885" spans="3:15" x14ac:dyDescent="0.3">
      <c r="C885" s="16"/>
      <c r="D885" s="16"/>
      <c r="J885" s="16"/>
      <c r="O885" s="16"/>
    </row>
    <row r="886" spans="3:15" x14ac:dyDescent="0.3">
      <c r="C886" s="16"/>
      <c r="D886" s="16"/>
      <c r="J886" s="16"/>
      <c r="O886" s="16"/>
    </row>
    <row r="887" spans="3:15" x14ac:dyDescent="0.3">
      <c r="C887" s="16"/>
      <c r="D887" s="16"/>
      <c r="J887" s="16"/>
      <c r="O887" s="16"/>
    </row>
    <row r="888" spans="3:15" x14ac:dyDescent="0.3">
      <c r="C888" s="16"/>
      <c r="D888" s="16"/>
      <c r="J888" s="16"/>
      <c r="O888" s="16"/>
    </row>
    <row r="889" spans="3:15" x14ac:dyDescent="0.3">
      <c r="C889" s="16"/>
      <c r="D889" s="16"/>
      <c r="J889" s="16"/>
      <c r="O889" s="16"/>
    </row>
    <row r="890" spans="3:15" x14ac:dyDescent="0.3">
      <c r="C890" s="16"/>
      <c r="D890" s="16"/>
      <c r="J890" s="16"/>
      <c r="O890" s="16"/>
    </row>
    <row r="891" spans="3:15" x14ac:dyDescent="0.3">
      <c r="C891" s="16"/>
      <c r="D891" s="16"/>
      <c r="J891" s="16"/>
      <c r="O891" s="16"/>
    </row>
    <row r="892" spans="3:15" x14ac:dyDescent="0.3">
      <c r="C892" s="16"/>
      <c r="D892" s="16"/>
      <c r="J892" s="16"/>
      <c r="O892" s="16"/>
    </row>
    <row r="893" spans="3:15" x14ac:dyDescent="0.3">
      <c r="C893" s="16"/>
      <c r="D893" s="16"/>
      <c r="J893" s="16"/>
      <c r="O893" s="16"/>
    </row>
    <row r="894" spans="3:15" x14ac:dyDescent="0.3">
      <c r="C894" s="16"/>
      <c r="D894" s="16"/>
      <c r="J894" s="16"/>
      <c r="O894" s="16"/>
    </row>
    <row r="895" spans="3:15" x14ac:dyDescent="0.3">
      <c r="C895" s="16"/>
      <c r="D895" s="16"/>
      <c r="J895" s="16"/>
      <c r="O895" s="16"/>
    </row>
    <row r="896" spans="3:15" x14ac:dyDescent="0.3">
      <c r="C896" s="16"/>
      <c r="D896" s="16"/>
      <c r="J896" s="16"/>
      <c r="O896" s="16"/>
    </row>
    <row r="897" spans="3:15" x14ac:dyDescent="0.3">
      <c r="C897" s="16"/>
      <c r="D897" s="16"/>
      <c r="J897" s="16"/>
      <c r="O897" s="16"/>
    </row>
    <row r="898" spans="3:15" x14ac:dyDescent="0.3">
      <c r="C898" s="16"/>
      <c r="D898" s="16"/>
      <c r="J898" s="16"/>
      <c r="O898" s="16"/>
    </row>
    <row r="899" spans="3:15" x14ac:dyDescent="0.3">
      <c r="C899" s="16"/>
      <c r="D899" s="16"/>
      <c r="J899" s="16"/>
      <c r="O899" s="16"/>
    </row>
    <row r="900" spans="3:15" x14ac:dyDescent="0.3">
      <c r="C900" s="16"/>
      <c r="D900" s="16"/>
      <c r="J900" s="16"/>
      <c r="O900" s="16"/>
    </row>
    <row r="901" spans="3:15" x14ac:dyDescent="0.3">
      <c r="C901" s="16"/>
      <c r="D901" s="16"/>
      <c r="J901" s="16"/>
      <c r="O901" s="16"/>
    </row>
    <row r="902" spans="3:15" x14ac:dyDescent="0.3">
      <c r="C902" s="16"/>
      <c r="D902" s="16"/>
      <c r="J902" s="16"/>
      <c r="O902" s="16"/>
    </row>
    <row r="903" spans="3:15" x14ac:dyDescent="0.3">
      <c r="C903" s="16"/>
      <c r="D903" s="16"/>
      <c r="J903" s="16"/>
      <c r="O903" s="16"/>
    </row>
    <row r="904" spans="3:15" x14ac:dyDescent="0.3">
      <c r="C904" s="16"/>
      <c r="D904" s="16"/>
      <c r="J904" s="16"/>
      <c r="O904" s="16"/>
    </row>
    <row r="905" spans="3:15" x14ac:dyDescent="0.3">
      <c r="C905" s="16"/>
      <c r="D905" s="16"/>
      <c r="J905" s="16"/>
      <c r="O905" s="16"/>
    </row>
    <row r="906" spans="3:15" x14ac:dyDescent="0.3">
      <c r="C906" s="16"/>
      <c r="D906" s="16"/>
      <c r="J906" s="16"/>
      <c r="O906" s="16"/>
    </row>
    <row r="907" spans="3:15" x14ac:dyDescent="0.3">
      <c r="C907" s="16"/>
      <c r="D907" s="16"/>
      <c r="J907" s="16"/>
      <c r="O907" s="16"/>
    </row>
    <row r="908" spans="3:15" x14ac:dyDescent="0.3">
      <c r="C908" s="16"/>
      <c r="D908" s="16"/>
      <c r="J908" s="16"/>
      <c r="O908" s="16"/>
    </row>
    <row r="909" spans="3:15" x14ac:dyDescent="0.3">
      <c r="C909" s="16"/>
      <c r="D909" s="16"/>
      <c r="J909" s="16"/>
      <c r="O909" s="16"/>
    </row>
    <row r="910" spans="3:15" x14ac:dyDescent="0.3">
      <c r="C910" s="16"/>
      <c r="D910" s="16"/>
      <c r="J910" s="16"/>
      <c r="O910" s="16"/>
    </row>
    <row r="911" spans="3:15" x14ac:dyDescent="0.3">
      <c r="C911" s="16"/>
      <c r="D911" s="16"/>
      <c r="J911" s="16"/>
      <c r="O911" s="16"/>
    </row>
    <row r="912" spans="3:15" x14ac:dyDescent="0.3">
      <c r="C912" s="16"/>
      <c r="D912" s="16"/>
      <c r="J912" s="16"/>
      <c r="O912" s="16"/>
    </row>
    <row r="913" spans="3:15" x14ac:dyDescent="0.3">
      <c r="C913" s="16"/>
      <c r="D913" s="16"/>
      <c r="J913" s="16"/>
      <c r="O913" s="16"/>
    </row>
    <row r="914" spans="3:15" x14ac:dyDescent="0.3">
      <c r="C914" s="16"/>
      <c r="D914" s="16"/>
      <c r="J914" s="16"/>
      <c r="O914" s="16"/>
    </row>
    <row r="915" spans="3:15" x14ac:dyDescent="0.3">
      <c r="C915" s="16"/>
      <c r="D915" s="16"/>
      <c r="J915" s="16"/>
      <c r="O915" s="16"/>
    </row>
    <row r="916" spans="3:15" x14ac:dyDescent="0.3">
      <c r="C916" s="16"/>
      <c r="D916" s="16"/>
      <c r="J916" s="16"/>
      <c r="O916" s="16"/>
    </row>
    <row r="917" spans="3:15" x14ac:dyDescent="0.3">
      <c r="C917" s="16"/>
      <c r="D917" s="16"/>
      <c r="J917" s="16"/>
      <c r="O917" s="16"/>
    </row>
    <row r="918" spans="3:15" x14ac:dyDescent="0.3">
      <c r="C918" s="16"/>
      <c r="D918" s="16"/>
      <c r="J918" s="16"/>
      <c r="O918" s="16"/>
    </row>
    <row r="919" spans="3:15" x14ac:dyDescent="0.3">
      <c r="C919" s="16"/>
      <c r="D919" s="16"/>
      <c r="J919" s="16"/>
      <c r="O919" s="16"/>
    </row>
    <row r="920" spans="3:15" x14ac:dyDescent="0.3">
      <c r="C920" s="16"/>
      <c r="D920" s="16"/>
      <c r="J920" s="16"/>
      <c r="O920" s="16"/>
    </row>
    <row r="921" spans="3:15" x14ac:dyDescent="0.3">
      <c r="C921" s="16"/>
      <c r="D921" s="16"/>
      <c r="J921" s="16"/>
      <c r="O921" s="16"/>
    </row>
    <row r="922" spans="3:15" x14ac:dyDescent="0.3">
      <c r="C922" s="16"/>
      <c r="D922" s="16"/>
      <c r="J922" s="16"/>
      <c r="O922" s="16"/>
    </row>
    <row r="923" spans="3:15" x14ac:dyDescent="0.3">
      <c r="C923" s="16"/>
      <c r="D923" s="16"/>
      <c r="J923" s="16"/>
      <c r="O923" s="16"/>
    </row>
    <row r="924" spans="3:15" x14ac:dyDescent="0.3">
      <c r="C924" s="16"/>
      <c r="D924" s="16"/>
      <c r="J924" s="16"/>
      <c r="O924" s="16"/>
    </row>
    <row r="925" spans="3:15" x14ac:dyDescent="0.3">
      <c r="C925" s="16"/>
      <c r="D925" s="16"/>
      <c r="J925" s="16"/>
      <c r="O925" s="16"/>
    </row>
    <row r="926" spans="3:15" x14ac:dyDescent="0.3">
      <c r="C926" s="16"/>
      <c r="D926" s="16"/>
      <c r="J926" s="16"/>
      <c r="O926" s="16"/>
    </row>
    <row r="927" spans="3:15" x14ac:dyDescent="0.3">
      <c r="C927" s="16"/>
      <c r="D927" s="16"/>
      <c r="J927" s="16"/>
      <c r="O927" s="16"/>
    </row>
    <row r="928" spans="3:15" x14ac:dyDescent="0.3">
      <c r="C928" s="16"/>
      <c r="D928" s="16"/>
      <c r="J928" s="16"/>
      <c r="O928" s="16"/>
    </row>
    <row r="929" spans="3:15" x14ac:dyDescent="0.3">
      <c r="C929" s="16"/>
      <c r="D929" s="16"/>
      <c r="J929" s="16"/>
      <c r="O929" s="16"/>
    </row>
    <row r="930" spans="3:15" x14ac:dyDescent="0.3">
      <c r="C930" s="16"/>
      <c r="D930" s="16"/>
      <c r="J930" s="16"/>
      <c r="O930" s="16"/>
    </row>
    <row r="931" spans="3:15" x14ac:dyDescent="0.3">
      <c r="C931" s="16"/>
      <c r="D931" s="16"/>
      <c r="J931" s="16"/>
      <c r="O931" s="16"/>
    </row>
    <row r="932" spans="3:15" x14ac:dyDescent="0.3">
      <c r="C932" s="16"/>
      <c r="D932" s="16"/>
      <c r="J932" s="16"/>
      <c r="O932" s="16"/>
    </row>
    <row r="933" spans="3:15" x14ac:dyDescent="0.3">
      <c r="C933" s="16"/>
      <c r="D933" s="16"/>
      <c r="J933" s="16"/>
      <c r="O933" s="16"/>
    </row>
    <row r="934" spans="3:15" x14ac:dyDescent="0.3">
      <c r="C934" s="16"/>
      <c r="D934" s="16"/>
      <c r="J934" s="16"/>
      <c r="O934" s="16"/>
    </row>
    <row r="935" spans="3:15" x14ac:dyDescent="0.3">
      <c r="C935" s="16"/>
      <c r="D935" s="16"/>
      <c r="J935" s="16"/>
      <c r="O935" s="16"/>
    </row>
    <row r="936" spans="3:15" x14ac:dyDescent="0.3">
      <c r="C936" s="16"/>
      <c r="D936" s="16"/>
      <c r="J936" s="16"/>
      <c r="O936" s="16"/>
    </row>
    <row r="937" spans="3:15" x14ac:dyDescent="0.3">
      <c r="C937" s="16"/>
      <c r="D937" s="16"/>
      <c r="J937" s="16"/>
      <c r="O937" s="16"/>
    </row>
    <row r="938" spans="3:15" x14ac:dyDescent="0.3">
      <c r="C938" s="16"/>
      <c r="D938" s="16"/>
      <c r="J938" s="16"/>
      <c r="O938" s="16"/>
    </row>
    <row r="939" spans="3:15" x14ac:dyDescent="0.3">
      <c r="C939" s="16"/>
      <c r="D939" s="16"/>
      <c r="J939" s="16"/>
      <c r="O939" s="16"/>
    </row>
    <row r="940" spans="3:15" x14ac:dyDescent="0.3">
      <c r="C940" s="16"/>
      <c r="D940" s="16"/>
      <c r="J940" s="16"/>
      <c r="O940" s="16"/>
    </row>
    <row r="941" spans="3:15" x14ac:dyDescent="0.3">
      <c r="C941" s="16"/>
      <c r="D941" s="16"/>
      <c r="J941" s="16"/>
      <c r="O941" s="16"/>
    </row>
    <row r="942" spans="3:15" x14ac:dyDescent="0.3">
      <c r="C942" s="16"/>
      <c r="D942" s="16"/>
      <c r="J942" s="16"/>
      <c r="O942" s="16"/>
    </row>
    <row r="943" spans="3:15" x14ac:dyDescent="0.3">
      <c r="C943" s="16"/>
      <c r="D943" s="16"/>
      <c r="J943" s="16"/>
      <c r="O943" s="16"/>
    </row>
    <row r="944" spans="3:15" x14ac:dyDescent="0.3">
      <c r="C944" s="16"/>
      <c r="D944" s="16"/>
      <c r="J944" s="16"/>
      <c r="O944" s="16"/>
    </row>
    <row r="945" spans="3:15" x14ac:dyDescent="0.3">
      <c r="C945" s="16"/>
      <c r="D945" s="16"/>
      <c r="J945" s="16"/>
      <c r="O945" s="16"/>
    </row>
    <row r="946" spans="3:15" x14ac:dyDescent="0.3">
      <c r="C946" s="16"/>
      <c r="D946" s="16"/>
      <c r="J946" s="16"/>
      <c r="O946" s="16"/>
    </row>
    <row r="947" spans="3:15" x14ac:dyDescent="0.3">
      <c r="C947" s="16"/>
      <c r="D947" s="16"/>
      <c r="J947" s="16"/>
      <c r="O947" s="16"/>
    </row>
    <row r="948" spans="3:15" x14ac:dyDescent="0.3">
      <c r="C948" s="16"/>
      <c r="D948" s="16"/>
      <c r="J948" s="16"/>
      <c r="O948" s="16"/>
    </row>
    <row r="949" spans="3:15" x14ac:dyDescent="0.3">
      <c r="C949" s="16"/>
      <c r="D949" s="16"/>
      <c r="J949" s="16"/>
      <c r="O949" s="16"/>
    </row>
    <row r="950" spans="3:15" x14ac:dyDescent="0.3">
      <c r="C950" s="16"/>
      <c r="D950" s="16"/>
      <c r="J950" s="16"/>
      <c r="O950" s="16"/>
    </row>
    <row r="951" spans="3:15" x14ac:dyDescent="0.3">
      <c r="C951" s="16"/>
      <c r="D951" s="16"/>
      <c r="J951" s="16"/>
      <c r="O951" s="16"/>
    </row>
    <row r="952" spans="3:15" x14ac:dyDescent="0.3">
      <c r="C952" s="16"/>
      <c r="D952" s="16"/>
      <c r="J952" s="16"/>
      <c r="O952" s="16"/>
    </row>
    <row r="953" spans="3:15" x14ac:dyDescent="0.3">
      <c r="C953" s="16"/>
      <c r="D953" s="16"/>
      <c r="J953" s="16"/>
      <c r="O953" s="16"/>
    </row>
    <row r="954" spans="3:15" x14ac:dyDescent="0.3">
      <c r="C954" s="16"/>
      <c r="D954" s="16"/>
      <c r="J954" s="16"/>
      <c r="O954" s="16"/>
    </row>
    <row r="955" spans="3:15" x14ac:dyDescent="0.3">
      <c r="C955" s="16"/>
      <c r="D955" s="16"/>
      <c r="J955" s="16"/>
      <c r="O955" s="16"/>
    </row>
    <row r="956" spans="3:15" x14ac:dyDescent="0.3">
      <c r="C956" s="16"/>
      <c r="D956" s="16"/>
      <c r="J956" s="16"/>
      <c r="O956" s="16"/>
    </row>
    <row r="957" spans="3:15" x14ac:dyDescent="0.3">
      <c r="C957" s="16"/>
      <c r="D957" s="16"/>
      <c r="J957" s="16"/>
      <c r="O957" s="16"/>
    </row>
    <row r="958" spans="3:15" x14ac:dyDescent="0.3">
      <c r="C958" s="16"/>
      <c r="D958" s="16"/>
      <c r="J958" s="16"/>
      <c r="O958" s="16"/>
    </row>
    <row r="959" spans="3:15" x14ac:dyDescent="0.3">
      <c r="C959" s="16"/>
      <c r="D959" s="16"/>
      <c r="J959" s="16"/>
      <c r="O959" s="16"/>
    </row>
    <row r="960" spans="3:15" x14ac:dyDescent="0.3">
      <c r="C960" s="16"/>
      <c r="D960" s="16"/>
      <c r="J960" s="16"/>
      <c r="O960" s="16"/>
    </row>
    <row r="961" spans="3:15" x14ac:dyDescent="0.3">
      <c r="C961" s="16"/>
      <c r="D961" s="16"/>
      <c r="J961" s="16"/>
      <c r="O961" s="16"/>
    </row>
    <row r="962" spans="3:15" x14ac:dyDescent="0.3">
      <c r="C962" s="16"/>
      <c r="D962" s="16"/>
      <c r="J962" s="16"/>
      <c r="O962" s="16"/>
    </row>
    <row r="963" spans="3:15" x14ac:dyDescent="0.3">
      <c r="C963" s="16"/>
      <c r="D963" s="16"/>
      <c r="J963" s="16"/>
      <c r="O963" s="16"/>
    </row>
    <row r="964" spans="3:15" x14ac:dyDescent="0.3">
      <c r="C964" s="16"/>
      <c r="D964" s="16"/>
      <c r="J964" s="16"/>
      <c r="O964" s="16"/>
    </row>
    <row r="965" spans="3:15" x14ac:dyDescent="0.3">
      <c r="C965" s="16"/>
      <c r="D965" s="16"/>
      <c r="J965" s="16"/>
      <c r="O965" s="16"/>
    </row>
    <row r="966" spans="3:15" x14ac:dyDescent="0.3">
      <c r="C966" s="16"/>
      <c r="D966" s="16"/>
      <c r="J966" s="16"/>
      <c r="O966" s="16"/>
    </row>
    <row r="967" spans="3:15" x14ac:dyDescent="0.3">
      <c r="C967" s="16"/>
      <c r="D967" s="16"/>
      <c r="J967" s="16"/>
      <c r="O967" s="16"/>
    </row>
    <row r="968" spans="3:15" x14ac:dyDescent="0.3">
      <c r="C968" s="16"/>
      <c r="D968" s="16"/>
      <c r="J968" s="16"/>
      <c r="O968" s="16"/>
    </row>
    <row r="969" spans="3:15" x14ac:dyDescent="0.3">
      <c r="C969" s="16"/>
      <c r="D969" s="16"/>
      <c r="J969" s="16"/>
      <c r="O969" s="16"/>
    </row>
    <row r="970" spans="3:15" x14ac:dyDescent="0.3">
      <c r="C970" s="16"/>
      <c r="D970" s="16"/>
      <c r="J970" s="16"/>
      <c r="O970" s="16"/>
    </row>
    <row r="971" spans="3:15" x14ac:dyDescent="0.3">
      <c r="C971" s="16"/>
      <c r="D971" s="16"/>
      <c r="J971" s="16"/>
      <c r="O971" s="16"/>
    </row>
    <row r="972" spans="3:15" x14ac:dyDescent="0.3">
      <c r="C972" s="16"/>
      <c r="D972" s="16"/>
      <c r="J972" s="16"/>
      <c r="O972" s="16"/>
    </row>
    <row r="973" spans="3:15" x14ac:dyDescent="0.3">
      <c r="C973" s="16"/>
      <c r="D973" s="16"/>
      <c r="J973" s="16"/>
      <c r="O973" s="16"/>
    </row>
    <row r="974" spans="3:15" x14ac:dyDescent="0.3">
      <c r="C974" s="16"/>
      <c r="D974" s="16"/>
      <c r="J974" s="16"/>
      <c r="O974" s="16"/>
    </row>
    <row r="975" spans="3:15" x14ac:dyDescent="0.3">
      <c r="C975" s="16"/>
      <c r="D975" s="16"/>
      <c r="J975" s="16"/>
      <c r="O975" s="16"/>
    </row>
    <row r="976" spans="3:15" x14ac:dyDescent="0.3">
      <c r="C976" s="16"/>
      <c r="D976" s="16"/>
      <c r="J976" s="16"/>
      <c r="O976" s="16"/>
    </row>
    <row r="977" spans="3:15" x14ac:dyDescent="0.3">
      <c r="C977" s="16"/>
      <c r="D977" s="16"/>
      <c r="J977" s="16"/>
      <c r="O977" s="16"/>
    </row>
    <row r="978" spans="3:15" x14ac:dyDescent="0.3">
      <c r="C978" s="16"/>
      <c r="D978" s="16"/>
      <c r="J978" s="16"/>
      <c r="O978" s="16"/>
    </row>
    <row r="979" spans="3:15" x14ac:dyDescent="0.3">
      <c r="C979" s="16"/>
      <c r="D979" s="16"/>
      <c r="J979" s="16"/>
      <c r="O979" s="16"/>
    </row>
    <row r="980" spans="3:15" x14ac:dyDescent="0.3">
      <c r="C980" s="16"/>
      <c r="D980" s="16"/>
      <c r="J980" s="16"/>
      <c r="O980" s="16"/>
    </row>
    <row r="981" spans="3:15" x14ac:dyDescent="0.3">
      <c r="C981" s="16"/>
      <c r="D981" s="16"/>
      <c r="J981" s="16"/>
      <c r="O981" s="16"/>
    </row>
    <row r="982" spans="3:15" x14ac:dyDescent="0.3">
      <c r="C982" s="16"/>
      <c r="D982" s="16"/>
      <c r="J982" s="16"/>
      <c r="O982" s="16"/>
    </row>
    <row r="983" spans="3:15" x14ac:dyDescent="0.3">
      <c r="C983" s="16"/>
      <c r="D983" s="16"/>
      <c r="J983" s="16"/>
      <c r="O983" s="16"/>
    </row>
    <row r="984" spans="3:15" x14ac:dyDescent="0.3">
      <c r="C984" s="16"/>
      <c r="D984" s="16"/>
      <c r="J984" s="16"/>
      <c r="O984" s="16"/>
    </row>
    <row r="985" spans="3:15" x14ac:dyDescent="0.3">
      <c r="C985" s="16"/>
      <c r="D985" s="16"/>
      <c r="J985" s="16"/>
      <c r="O985" s="16"/>
    </row>
    <row r="986" spans="3:15" x14ac:dyDescent="0.3">
      <c r="C986" s="16"/>
      <c r="D986" s="16"/>
      <c r="J986" s="16"/>
      <c r="O986" s="16"/>
    </row>
    <row r="987" spans="3:15" x14ac:dyDescent="0.3">
      <c r="C987" s="16"/>
      <c r="D987" s="16"/>
      <c r="J987" s="16"/>
      <c r="O987" s="16"/>
    </row>
    <row r="988" spans="3:15" x14ac:dyDescent="0.3">
      <c r="C988" s="16"/>
      <c r="D988" s="16"/>
      <c r="J988" s="16"/>
      <c r="O988" s="16"/>
    </row>
    <row r="989" spans="3:15" x14ac:dyDescent="0.3">
      <c r="C989" s="16"/>
      <c r="D989" s="16"/>
      <c r="J989" s="16"/>
      <c r="O989" s="16"/>
    </row>
    <row r="990" spans="3:15" x14ac:dyDescent="0.3">
      <c r="C990" s="16"/>
      <c r="D990" s="16"/>
      <c r="J990" s="16"/>
      <c r="O990" s="16"/>
    </row>
    <row r="991" spans="3:15" x14ac:dyDescent="0.3">
      <c r="C991" s="16"/>
      <c r="D991" s="16"/>
      <c r="J991" s="16"/>
      <c r="O991" s="16"/>
    </row>
    <row r="992" spans="3:15" x14ac:dyDescent="0.3">
      <c r="C992" s="16"/>
      <c r="D992" s="16"/>
      <c r="J992" s="16"/>
      <c r="O992" s="16"/>
    </row>
    <row r="993" spans="3:15" x14ac:dyDescent="0.3">
      <c r="C993" s="16"/>
      <c r="D993" s="16"/>
      <c r="J993" s="16"/>
      <c r="O993" s="16"/>
    </row>
    <row r="994" spans="3:15" x14ac:dyDescent="0.3">
      <c r="C994" s="16"/>
      <c r="D994" s="16"/>
      <c r="J994" s="16"/>
      <c r="O994" s="16"/>
    </row>
    <row r="995" spans="3:15" x14ac:dyDescent="0.3">
      <c r="C995" s="16"/>
      <c r="D995" s="16"/>
      <c r="J995" s="16"/>
      <c r="O995" s="16"/>
    </row>
    <row r="996" spans="3:15" x14ac:dyDescent="0.3">
      <c r="C996" s="16"/>
      <c r="D996" s="16"/>
      <c r="J996" s="16"/>
      <c r="O996" s="16"/>
    </row>
    <row r="997" spans="3:15" x14ac:dyDescent="0.3">
      <c r="C997" s="16"/>
      <c r="D997" s="16"/>
      <c r="J997" s="16"/>
      <c r="O997" s="16"/>
    </row>
    <row r="998" spans="3:15" x14ac:dyDescent="0.3">
      <c r="C998" s="16"/>
      <c r="D998" s="16"/>
      <c r="J998" s="16"/>
      <c r="O998" s="16"/>
    </row>
    <row r="999" spans="3:15" x14ac:dyDescent="0.3">
      <c r="C999" s="16"/>
      <c r="D999" s="16"/>
      <c r="J999" s="16"/>
      <c r="O999" s="16"/>
    </row>
    <row r="1000" spans="3:15" x14ac:dyDescent="0.3">
      <c r="C1000" s="16"/>
      <c r="D1000" s="16"/>
      <c r="J1000" s="16"/>
      <c r="O1000" s="16"/>
    </row>
    <row r="1001" spans="3:15" x14ac:dyDescent="0.3">
      <c r="C1001" s="16"/>
      <c r="D1001" s="16"/>
      <c r="J1001" s="16"/>
      <c r="O1001" s="16"/>
    </row>
    <row r="1002" spans="3:15" x14ac:dyDescent="0.3">
      <c r="C1002" s="16"/>
      <c r="D1002" s="16"/>
      <c r="J1002" s="16"/>
      <c r="O1002" s="16"/>
    </row>
    <row r="1003" spans="3:15" x14ac:dyDescent="0.3">
      <c r="C1003" s="16"/>
      <c r="D1003" s="16"/>
      <c r="J1003" s="16"/>
      <c r="O1003" s="16"/>
    </row>
    <row r="1004" spans="3:15" x14ac:dyDescent="0.3">
      <c r="C1004" s="16"/>
      <c r="D1004" s="16"/>
      <c r="J1004" s="16"/>
      <c r="O1004" s="16"/>
    </row>
    <row r="1005" spans="3:15" x14ac:dyDescent="0.3">
      <c r="C1005" s="16"/>
      <c r="D1005" s="16"/>
      <c r="J1005" s="16"/>
      <c r="O1005" s="16"/>
    </row>
    <row r="1006" spans="3:15" x14ac:dyDescent="0.3">
      <c r="C1006" s="16"/>
      <c r="D1006" s="16"/>
      <c r="J1006" s="16"/>
      <c r="O1006" s="16"/>
    </row>
    <row r="1007" spans="3:15" x14ac:dyDescent="0.3">
      <c r="C1007" s="16"/>
      <c r="D1007" s="16"/>
      <c r="J1007" s="16"/>
      <c r="O1007" s="16"/>
    </row>
    <row r="1008" spans="3:15" x14ac:dyDescent="0.3">
      <c r="C1008" s="16"/>
      <c r="D1008" s="16"/>
      <c r="J1008" s="16"/>
      <c r="O1008" s="16"/>
    </row>
    <row r="1009" spans="3:15" x14ac:dyDescent="0.3">
      <c r="C1009" s="16"/>
      <c r="D1009" s="16"/>
      <c r="J1009" s="16"/>
      <c r="O1009" s="16"/>
    </row>
    <row r="1010" spans="3:15" x14ac:dyDescent="0.3">
      <c r="C1010" s="16"/>
      <c r="D1010" s="16"/>
      <c r="J1010" s="16"/>
      <c r="O1010" s="16"/>
    </row>
    <row r="1011" spans="3:15" x14ac:dyDescent="0.3">
      <c r="C1011" s="16"/>
      <c r="D1011" s="16"/>
      <c r="J1011" s="16"/>
      <c r="O1011" s="16"/>
    </row>
    <row r="1012" spans="3:15" x14ac:dyDescent="0.3">
      <c r="C1012" s="16"/>
      <c r="D1012" s="16"/>
      <c r="J1012" s="16"/>
      <c r="O1012" s="16"/>
    </row>
    <row r="1013" spans="3:15" x14ac:dyDescent="0.3">
      <c r="C1013" s="16"/>
      <c r="D1013" s="16"/>
      <c r="J1013" s="16"/>
      <c r="O1013" s="16"/>
    </row>
    <row r="1014" spans="3:15" x14ac:dyDescent="0.3">
      <c r="C1014" s="16"/>
      <c r="D1014" s="16"/>
      <c r="J1014" s="16"/>
      <c r="O1014" s="16"/>
    </row>
    <row r="1015" spans="3:15" x14ac:dyDescent="0.3">
      <c r="C1015" s="16"/>
      <c r="D1015" s="16"/>
      <c r="J1015" s="16"/>
      <c r="O1015" s="16"/>
    </row>
    <row r="1016" spans="3:15" x14ac:dyDescent="0.3">
      <c r="C1016" s="16"/>
      <c r="D1016" s="16"/>
      <c r="J1016" s="16"/>
      <c r="O1016" s="16"/>
    </row>
    <row r="1017" spans="3:15" x14ac:dyDescent="0.3">
      <c r="C1017" s="16"/>
      <c r="D1017" s="16"/>
      <c r="J1017" s="16"/>
      <c r="O1017" s="16"/>
    </row>
    <row r="1018" spans="3:15" x14ac:dyDescent="0.3">
      <c r="C1018" s="16"/>
      <c r="D1018" s="16"/>
      <c r="J1018" s="16"/>
      <c r="O1018" s="16"/>
    </row>
    <row r="1019" spans="3:15" x14ac:dyDescent="0.3">
      <c r="C1019" s="16"/>
      <c r="D1019" s="16"/>
      <c r="J1019" s="16"/>
      <c r="O1019" s="16"/>
    </row>
    <row r="1020" spans="3:15" x14ac:dyDescent="0.3">
      <c r="C1020" s="16"/>
      <c r="D1020" s="16"/>
      <c r="J1020" s="16"/>
      <c r="O1020" s="16"/>
    </row>
    <row r="1021" spans="3:15" x14ac:dyDescent="0.3">
      <c r="C1021" s="16"/>
      <c r="D1021" s="16"/>
      <c r="J1021" s="16"/>
      <c r="O1021" s="16"/>
    </row>
    <row r="1022" spans="3:15" x14ac:dyDescent="0.3">
      <c r="C1022" s="16"/>
      <c r="D1022" s="16"/>
      <c r="J1022" s="16"/>
      <c r="O1022" s="16"/>
    </row>
    <row r="1023" spans="3:15" x14ac:dyDescent="0.3">
      <c r="C1023" s="16"/>
      <c r="D1023" s="16"/>
      <c r="J1023" s="16"/>
      <c r="O1023" s="16"/>
    </row>
    <row r="1024" spans="3:15" x14ac:dyDescent="0.3">
      <c r="C1024" s="16"/>
      <c r="D1024" s="16"/>
      <c r="J1024" s="16"/>
      <c r="O1024" s="16"/>
    </row>
    <row r="1025" spans="3:15" x14ac:dyDescent="0.3">
      <c r="C1025" s="16"/>
      <c r="D1025" s="16"/>
      <c r="J1025" s="16"/>
      <c r="O1025" s="16"/>
    </row>
    <row r="1026" spans="3:15" x14ac:dyDescent="0.3">
      <c r="C1026" s="16"/>
      <c r="D1026" s="16"/>
      <c r="J1026" s="16"/>
      <c r="O1026" s="16"/>
    </row>
    <row r="1027" spans="3:15" x14ac:dyDescent="0.3">
      <c r="C1027" s="16"/>
      <c r="D1027" s="16"/>
      <c r="J1027" s="16"/>
      <c r="O1027" s="16"/>
    </row>
    <row r="1028" spans="3:15" x14ac:dyDescent="0.3">
      <c r="C1028" s="16"/>
      <c r="D1028" s="16"/>
      <c r="J1028" s="16"/>
      <c r="O1028" s="16"/>
    </row>
    <row r="1029" spans="3:15" x14ac:dyDescent="0.3">
      <c r="C1029" s="16"/>
      <c r="D1029" s="16"/>
      <c r="J1029" s="16"/>
      <c r="O1029" s="16"/>
    </row>
    <row r="1030" spans="3:15" x14ac:dyDescent="0.3">
      <c r="C1030" s="16"/>
      <c r="D1030" s="16"/>
      <c r="J1030" s="16"/>
      <c r="O1030" s="16"/>
    </row>
    <row r="1031" spans="3:15" x14ac:dyDescent="0.3">
      <c r="C1031" s="16"/>
      <c r="D1031" s="16"/>
      <c r="J1031" s="16"/>
      <c r="O1031" s="16"/>
    </row>
    <row r="1032" spans="3:15" x14ac:dyDescent="0.3">
      <c r="C1032" s="16"/>
      <c r="D1032" s="16"/>
      <c r="J1032" s="16"/>
      <c r="O1032" s="16"/>
    </row>
    <row r="1033" spans="3:15" x14ac:dyDescent="0.3">
      <c r="C1033" s="16"/>
      <c r="D1033" s="16"/>
      <c r="J1033" s="16"/>
      <c r="O1033" s="16"/>
    </row>
    <row r="1034" spans="3:15" x14ac:dyDescent="0.3">
      <c r="C1034" s="16"/>
      <c r="D1034" s="16"/>
      <c r="J1034" s="16"/>
      <c r="O1034" s="16"/>
    </row>
    <row r="1035" spans="3:15" x14ac:dyDescent="0.3">
      <c r="C1035" s="16"/>
      <c r="D1035" s="16"/>
      <c r="J1035" s="16"/>
      <c r="O1035" s="16"/>
    </row>
    <row r="1036" spans="3:15" x14ac:dyDescent="0.3">
      <c r="C1036" s="16"/>
      <c r="D1036" s="16"/>
      <c r="J1036" s="16"/>
      <c r="O1036" s="16"/>
    </row>
    <row r="1037" spans="3:15" x14ac:dyDescent="0.3">
      <c r="C1037" s="16"/>
      <c r="D1037" s="16"/>
      <c r="J1037" s="16"/>
      <c r="O1037" s="16"/>
    </row>
    <row r="1038" spans="3:15" x14ac:dyDescent="0.3">
      <c r="C1038" s="16"/>
      <c r="D1038" s="16"/>
      <c r="J1038" s="16"/>
      <c r="O1038" s="16"/>
    </row>
    <row r="1039" spans="3:15" x14ac:dyDescent="0.3">
      <c r="C1039" s="16"/>
      <c r="D1039" s="16"/>
      <c r="J1039" s="16"/>
      <c r="O1039" s="16"/>
    </row>
    <row r="1040" spans="3:15" x14ac:dyDescent="0.3">
      <c r="C1040" s="16"/>
      <c r="D1040" s="16"/>
      <c r="J1040" s="16"/>
      <c r="O1040" s="16"/>
    </row>
    <row r="1041" spans="3:15" x14ac:dyDescent="0.3">
      <c r="C1041" s="16"/>
      <c r="D1041" s="16"/>
      <c r="J1041" s="16"/>
      <c r="O1041" s="16"/>
    </row>
    <row r="1042" spans="3:15" x14ac:dyDescent="0.3">
      <c r="C1042" s="16"/>
      <c r="D1042" s="16"/>
      <c r="J1042" s="16"/>
      <c r="O1042" s="16"/>
    </row>
    <row r="1043" spans="3:15" x14ac:dyDescent="0.3">
      <c r="C1043" s="16"/>
      <c r="D1043" s="16"/>
      <c r="J1043" s="16"/>
      <c r="O1043" s="16"/>
    </row>
    <row r="1044" spans="3:15" x14ac:dyDescent="0.3">
      <c r="C1044" s="16"/>
      <c r="D1044" s="16"/>
      <c r="J1044" s="16"/>
      <c r="O1044" s="16"/>
    </row>
    <row r="1045" spans="3:15" x14ac:dyDescent="0.3">
      <c r="C1045" s="16"/>
      <c r="D1045" s="16"/>
      <c r="J1045" s="16"/>
      <c r="O1045" s="16"/>
    </row>
    <row r="1046" spans="3:15" x14ac:dyDescent="0.3">
      <c r="C1046" s="16"/>
      <c r="D1046" s="16"/>
      <c r="J1046" s="16"/>
      <c r="O1046" s="16"/>
    </row>
    <row r="1047" spans="3:15" x14ac:dyDescent="0.3">
      <c r="C1047" s="16"/>
      <c r="D1047" s="16"/>
      <c r="J1047" s="16"/>
      <c r="O1047" s="16"/>
    </row>
    <row r="1048" spans="3:15" x14ac:dyDescent="0.3">
      <c r="C1048" s="16"/>
      <c r="D1048" s="16"/>
      <c r="J1048" s="16"/>
      <c r="O1048" s="16"/>
    </row>
    <row r="1049" spans="3:15" x14ac:dyDescent="0.3">
      <c r="C1049" s="16"/>
      <c r="D1049" s="16"/>
      <c r="J1049" s="16"/>
      <c r="O1049" s="16"/>
    </row>
    <row r="1050" spans="3:15" x14ac:dyDescent="0.3">
      <c r="C1050" s="16"/>
      <c r="D1050" s="16"/>
      <c r="J1050" s="16"/>
      <c r="O1050" s="16"/>
    </row>
    <row r="1051" spans="3:15" x14ac:dyDescent="0.3">
      <c r="C1051" s="16"/>
      <c r="D1051" s="16"/>
      <c r="J1051" s="16"/>
      <c r="O1051" s="16"/>
    </row>
    <row r="1052" spans="3:15" x14ac:dyDescent="0.3">
      <c r="C1052" s="16"/>
      <c r="D1052" s="16"/>
      <c r="J1052" s="16"/>
      <c r="O1052" s="16"/>
    </row>
    <row r="1053" spans="3:15" x14ac:dyDescent="0.3">
      <c r="C1053" s="16"/>
      <c r="D1053" s="16"/>
      <c r="J1053" s="16"/>
      <c r="O1053" s="16"/>
    </row>
    <row r="1054" spans="3:15" x14ac:dyDescent="0.3">
      <c r="C1054" s="16"/>
      <c r="D1054" s="16"/>
      <c r="J1054" s="16"/>
      <c r="O1054" s="16"/>
    </row>
    <row r="1055" spans="3:15" x14ac:dyDescent="0.3">
      <c r="C1055" s="16"/>
      <c r="D1055" s="16"/>
      <c r="J1055" s="16"/>
      <c r="O1055" s="16"/>
    </row>
    <row r="1056" spans="3:15" x14ac:dyDescent="0.3">
      <c r="C1056" s="16"/>
      <c r="D1056" s="16"/>
      <c r="J1056" s="16"/>
      <c r="O1056" s="16"/>
    </row>
    <row r="1057" spans="3:15" x14ac:dyDescent="0.3">
      <c r="C1057" s="16"/>
      <c r="D1057" s="16"/>
      <c r="J1057" s="16"/>
      <c r="O1057" s="16"/>
    </row>
    <row r="1058" spans="3:15" x14ac:dyDescent="0.3">
      <c r="C1058" s="16"/>
      <c r="D1058" s="16"/>
      <c r="J1058" s="16"/>
      <c r="O1058" s="16"/>
    </row>
    <row r="1059" spans="3:15" x14ac:dyDescent="0.3">
      <c r="C1059" s="16"/>
      <c r="D1059" s="16"/>
      <c r="J1059" s="16"/>
      <c r="O1059" s="16"/>
    </row>
    <row r="1060" spans="3:15" x14ac:dyDescent="0.3">
      <c r="C1060" s="16"/>
      <c r="D1060" s="16"/>
      <c r="J1060" s="16"/>
      <c r="O1060" s="16"/>
    </row>
    <row r="1061" spans="3:15" x14ac:dyDescent="0.3">
      <c r="C1061" s="16"/>
      <c r="D1061" s="16"/>
      <c r="J1061" s="16"/>
      <c r="O1061" s="16"/>
    </row>
    <row r="1062" spans="3:15" x14ac:dyDescent="0.3">
      <c r="C1062" s="16"/>
      <c r="D1062" s="16"/>
      <c r="J1062" s="16"/>
      <c r="O1062" s="16"/>
    </row>
    <row r="1063" spans="3:15" x14ac:dyDescent="0.3">
      <c r="C1063" s="16"/>
      <c r="D1063" s="16"/>
      <c r="J1063" s="16"/>
      <c r="O1063" s="16"/>
    </row>
    <row r="1064" spans="3:15" x14ac:dyDescent="0.3">
      <c r="C1064" s="16"/>
      <c r="D1064" s="16"/>
      <c r="J1064" s="16"/>
      <c r="O1064" s="16"/>
    </row>
    <row r="1065" spans="3:15" x14ac:dyDescent="0.3">
      <c r="C1065" s="16"/>
      <c r="D1065" s="16"/>
      <c r="J1065" s="16"/>
      <c r="O1065" s="16"/>
    </row>
    <row r="1066" spans="3:15" x14ac:dyDescent="0.3">
      <c r="C1066" s="16"/>
      <c r="D1066" s="16"/>
      <c r="J1066" s="16"/>
      <c r="O1066" s="16"/>
    </row>
    <row r="1067" spans="3:15" x14ac:dyDescent="0.3">
      <c r="C1067" s="16"/>
      <c r="D1067" s="16"/>
      <c r="J1067" s="16"/>
      <c r="O1067" s="16"/>
    </row>
    <row r="1068" spans="3:15" x14ac:dyDescent="0.3">
      <c r="C1068" s="16"/>
      <c r="D1068" s="16"/>
      <c r="J1068" s="16"/>
      <c r="O1068" s="16"/>
    </row>
    <row r="1069" spans="3:15" x14ac:dyDescent="0.3">
      <c r="C1069" s="16"/>
      <c r="D1069" s="16"/>
      <c r="J1069" s="16"/>
      <c r="O1069" s="16"/>
    </row>
    <row r="1070" spans="3:15" x14ac:dyDescent="0.3">
      <c r="C1070" s="16"/>
      <c r="D1070" s="16"/>
      <c r="J1070" s="16"/>
      <c r="O1070" s="16"/>
    </row>
    <row r="1071" spans="3:15" x14ac:dyDescent="0.3">
      <c r="C1071" s="16"/>
      <c r="D1071" s="16"/>
      <c r="J1071" s="16"/>
      <c r="O1071" s="16"/>
    </row>
    <row r="1072" spans="3:15" x14ac:dyDescent="0.3">
      <c r="C1072" s="16"/>
      <c r="D1072" s="16"/>
      <c r="J1072" s="16"/>
      <c r="O1072" s="16"/>
    </row>
    <row r="1073" spans="3:15" x14ac:dyDescent="0.3">
      <c r="C1073" s="16"/>
      <c r="D1073" s="16"/>
      <c r="J1073" s="16"/>
      <c r="O1073" s="16"/>
    </row>
    <row r="1074" spans="3:15" x14ac:dyDescent="0.3">
      <c r="C1074" s="16"/>
      <c r="D1074" s="16"/>
      <c r="J1074" s="16"/>
      <c r="O1074" s="16"/>
    </row>
    <row r="1075" spans="3:15" x14ac:dyDescent="0.3">
      <c r="C1075" s="16"/>
      <c r="D1075" s="16"/>
      <c r="J1075" s="16"/>
      <c r="O1075" s="16"/>
    </row>
    <row r="1076" spans="3:15" x14ac:dyDescent="0.3">
      <c r="C1076" s="16"/>
      <c r="D1076" s="16"/>
      <c r="J1076" s="16"/>
      <c r="O1076" s="16"/>
    </row>
    <row r="1077" spans="3:15" x14ac:dyDescent="0.3">
      <c r="C1077" s="16"/>
      <c r="D1077" s="16"/>
      <c r="J1077" s="16"/>
      <c r="O1077" s="16"/>
    </row>
    <row r="1078" spans="3:15" x14ac:dyDescent="0.3">
      <c r="C1078" s="16"/>
      <c r="D1078" s="16"/>
      <c r="J1078" s="16"/>
      <c r="O1078" s="16"/>
    </row>
    <row r="1079" spans="3:15" x14ac:dyDescent="0.3">
      <c r="C1079" s="16"/>
      <c r="D1079" s="16"/>
      <c r="J1079" s="16"/>
      <c r="O1079" s="16"/>
    </row>
    <row r="1080" spans="3:15" x14ac:dyDescent="0.3">
      <c r="C1080" s="16"/>
      <c r="D1080" s="16"/>
      <c r="J1080" s="16"/>
      <c r="O1080" s="16"/>
    </row>
    <row r="1081" spans="3:15" x14ac:dyDescent="0.3">
      <c r="C1081" s="16"/>
      <c r="D1081" s="16"/>
      <c r="J1081" s="16"/>
      <c r="O1081" s="16"/>
    </row>
    <row r="1082" spans="3:15" x14ac:dyDescent="0.3">
      <c r="C1082" s="16"/>
      <c r="D1082" s="16"/>
      <c r="J1082" s="16"/>
      <c r="O1082" s="16"/>
    </row>
    <row r="1083" spans="3:15" x14ac:dyDescent="0.3">
      <c r="C1083" s="16"/>
      <c r="D1083" s="16"/>
      <c r="J1083" s="16"/>
      <c r="O1083" s="16"/>
    </row>
    <row r="1084" spans="3:15" x14ac:dyDescent="0.3">
      <c r="C1084" s="16"/>
      <c r="D1084" s="16"/>
      <c r="J1084" s="16"/>
      <c r="O1084" s="16"/>
    </row>
    <row r="1085" spans="3:15" x14ac:dyDescent="0.3">
      <c r="C1085" s="16"/>
      <c r="D1085" s="16"/>
      <c r="J1085" s="16"/>
      <c r="O1085" s="16"/>
    </row>
    <row r="1086" spans="3:15" x14ac:dyDescent="0.3">
      <c r="C1086" s="16"/>
      <c r="D1086" s="16"/>
      <c r="J1086" s="16"/>
      <c r="O1086" s="16"/>
    </row>
    <row r="1087" spans="3:15" x14ac:dyDescent="0.3">
      <c r="C1087" s="16"/>
      <c r="D1087" s="16"/>
      <c r="J1087" s="16"/>
      <c r="O1087" s="16"/>
    </row>
    <row r="1088" spans="3:15" x14ac:dyDescent="0.3">
      <c r="C1088" s="16"/>
      <c r="D1088" s="16"/>
      <c r="J1088" s="16"/>
      <c r="O1088" s="16"/>
    </row>
    <row r="1089" spans="3:15" x14ac:dyDescent="0.3">
      <c r="C1089" s="16"/>
      <c r="D1089" s="16"/>
      <c r="J1089" s="16"/>
      <c r="O1089" s="16"/>
    </row>
    <row r="1090" spans="3:15" x14ac:dyDescent="0.3">
      <c r="C1090" s="16"/>
      <c r="D1090" s="16"/>
      <c r="J1090" s="16"/>
      <c r="O1090" s="16"/>
    </row>
    <row r="1091" spans="3:15" x14ac:dyDescent="0.3">
      <c r="C1091" s="16"/>
      <c r="D1091" s="16"/>
      <c r="J1091" s="16"/>
      <c r="O1091" s="16"/>
    </row>
    <row r="1092" spans="3:15" x14ac:dyDescent="0.3">
      <c r="C1092" s="16"/>
      <c r="D1092" s="16"/>
      <c r="J1092" s="16"/>
      <c r="O1092" s="16"/>
    </row>
    <row r="1093" spans="3:15" x14ac:dyDescent="0.3">
      <c r="C1093" s="16"/>
      <c r="D1093" s="16"/>
      <c r="J1093" s="16"/>
      <c r="O1093" s="16"/>
    </row>
    <row r="1094" spans="3:15" x14ac:dyDescent="0.3">
      <c r="C1094" s="16"/>
      <c r="D1094" s="16"/>
      <c r="J1094" s="16"/>
      <c r="O1094" s="16"/>
    </row>
    <row r="1095" spans="3:15" x14ac:dyDescent="0.3">
      <c r="C1095" s="16"/>
      <c r="D1095" s="16"/>
      <c r="J1095" s="16"/>
      <c r="O1095" s="16"/>
    </row>
    <row r="1096" spans="3:15" x14ac:dyDescent="0.3">
      <c r="C1096" s="16"/>
      <c r="D1096" s="16"/>
      <c r="J1096" s="16"/>
      <c r="O1096" s="16"/>
    </row>
    <row r="1097" spans="3:15" x14ac:dyDescent="0.3">
      <c r="C1097" s="16"/>
      <c r="D1097" s="16"/>
      <c r="J1097" s="16"/>
      <c r="O1097" s="16"/>
    </row>
    <row r="1098" spans="3:15" x14ac:dyDescent="0.3">
      <c r="C1098" s="16"/>
      <c r="D1098" s="16"/>
      <c r="J1098" s="16"/>
      <c r="O1098" s="16"/>
    </row>
    <row r="1099" spans="3:15" x14ac:dyDescent="0.3">
      <c r="C1099" s="16"/>
      <c r="D1099" s="16"/>
      <c r="J1099" s="16"/>
      <c r="O1099" s="16"/>
    </row>
    <row r="1100" spans="3:15" x14ac:dyDescent="0.3">
      <c r="C1100" s="16"/>
      <c r="D1100" s="16"/>
      <c r="J1100" s="16"/>
      <c r="O1100" s="16"/>
    </row>
    <row r="1101" spans="3:15" x14ac:dyDescent="0.3">
      <c r="C1101" s="16"/>
      <c r="D1101" s="16"/>
      <c r="J1101" s="16"/>
      <c r="O1101" s="16"/>
    </row>
    <row r="1102" spans="3:15" x14ac:dyDescent="0.3">
      <c r="C1102" s="16"/>
      <c r="D1102" s="16"/>
      <c r="J1102" s="16"/>
      <c r="O1102" s="16"/>
    </row>
    <row r="1103" spans="3:15" x14ac:dyDescent="0.3">
      <c r="C1103" s="16"/>
      <c r="D1103" s="16"/>
      <c r="J1103" s="16"/>
      <c r="O1103" s="16"/>
    </row>
    <row r="1104" spans="3:15" x14ac:dyDescent="0.3">
      <c r="C1104" s="16"/>
      <c r="D1104" s="16"/>
      <c r="J1104" s="16"/>
      <c r="O1104" s="16"/>
    </row>
    <row r="1105" spans="3:15" x14ac:dyDescent="0.3">
      <c r="C1105" s="16"/>
      <c r="D1105" s="16"/>
      <c r="J1105" s="16"/>
      <c r="O1105" s="16"/>
    </row>
    <row r="1106" spans="3:15" x14ac:dyDescent="0.3">
      <c r="C1106" s="16"/>
      <c r="D1106" s="16"/>
      <c r="J1106" s="16"/>
      <c r="O1106" s="16"/>
    </row>
    <row r="1107" spans="3:15" x14ac:dyDescent="0.3">
      <c r="C1107" s="16"/>
      <c r="D1107" s="16"/>
      <c r="J1107" s="16"/>
      <c r="O1107" s="16"/>
    </row>
    <row r="1108" spans="3:15" x14ac:dyDescent="0.3">
      <c r="C1108" s="16"/>
      <c r="D1108" s="16"/>
      <c r="J1108" s="16"/>
      <c r="O1108" s="16"/>
    </row>
    <row r="1109" spans="3:15" x14ac:dyDescent="0.3">
      <c r="C1109" s="16"/>
      <c r="D1109" s="16"/>
      <c r="J1109" s="16"/>
      <c r="O1109" s="16"/>
    </row>
    <row r="1110" spans="3:15" x14ac:dyDescent="0.3">
      <c r="C1110" s="16"/>
      <c r="D1110" s="16"/>
      <c r="J1110" s="16"/>
      <c r="O1110" s="16"/>
    </row>
    <row r="1111" spans="3:15" x14ac:dyDescent="0.3">
      <c r="C1111" s="16"/>
      <c r="D1111" s="16"/>
      <c r="J1111" s="16"/>
      <c r="O1111" s="16"/>
    </row>
    <row r="1112" spans="3:15" x14ac:dyDescent="0.3">
      <c r="C1112" s="16"/>
      <c r="D1112" s="16"/>
      <c r="J1112" s="16"/>
      <c r="O1112" s="16"/>
    </row>
    <row r="1113" spans="3:15" x14ac:dyDescent="0.3">
      <c r="C1113" s="16"/>
      <c r="D1113" s="16"/>
      <c r="J1113" s="16"/>
      <c r="O1113" s="16"/>
    </row>
    <row r="1114" spans="3:15" x14ac:dyDescent="0.3">
      <c r="C1114" s="16"/>
      <c r="D1114" s="16"/>
      <c r="J1114" s="16"/>
      <c r="O1114" s="16"/>
    </row>
    <row r="1115" spans="3:15" x14ac:dyDescent="0.3">
      <c r="C1115" s="16"/>
      <c r="D1115" s="16"/>
      <c r="J1115" s="16"/>
      <c r="O1115" s="16"/>
    </row>
    <row r="1116" spans="3:15" x14ac:dyDescent="0.3">
      <c r="C1116" s="16"/>
      <c r="D1116" s="16"/>
      <c r="J1116" s="16"/>
      <c r="O1116" s="16"/>
    </row>
    <row r="1117" spans="3:15" x14ac:dyDescent="0.3">
      <c r="C1117" s="16"/>
      <c r="D1117" s="16"/>
      <c r="J1117" s="16"/>
      <c r="O1117" s="16"/>
    </row>
    <row r="1118" spans="3:15" x14ac:dyDescent="0.3">
      <c r="C1118" s="16"/>
      <c r="D1118" s="16"/>
      <c r="J1118" s="16"/>
      <c r="O1118" s="16"/>
    </row>
    <row r="1119" spans="3:15" x14ac:dyDescent="0.3">
      <c r="C1119" s="16"/>
      <c r="D1119" s="16"/>
      <c r="J1119" s="16"/>
      <c r="O1119" s="16"/>
    </row>
    <row r="1120" spans="3:15" x14ac:dyDescent="0.3">
      <c r="C1120" s="16"/>
      <c r="D1120" s="16"/>
      <c r="J1120" s="16"/>
      <c r="O1120" s="16"/>
    </row>
    <row r="1121" spans="3:15" x14ac:dyDescent="0.3">
      <c r="C1121" s="16"/>
      <c r="D1121" s="16"/>
      <c r="J1121" s="16"/>
      <c r="O1121" s="16"/>
    </row>
    <row r="1122" spans="3:15" x14ac:dyDescent="0.3">
      <c r="C1122" s="16"/>
      <c r="D1122" s="16"/>
      <c r="J1122" s="16"/>
      <c r="O1122" s="16"/>
    </row>
    <row r="1123" spans="3:15" x14ac:dyDescent="0.3">
      <c r="C1123" s="16"/>
      <c r="D1123" s="16"/>
      <c r="J1123" s="16"/>
      <c r="O1123" s="16"/>
    </row>
    <row r="1124" spans="3:15" x14ac:dyDescent="0.3">
      <c r="C1124" s="16"/>
      <c r="D1124" s="16"/>
      <c r="J1124" s="16"/>
      <c r="O1124" s="16"/>
    </row>
    <row r="1125" spans="3:15" x14ac:dyDescent="0.3">
      <c r="C1125" s="16"/>
      <c r="D1125" s="16"/>
      <c r="J1125" s="16"/>
      <c r="O1125" s="16"/>
    </row>
    <row r="1126" spans="3:15" x14ac:dyDescent="0.3">
      <c r="C1126" s="16"/>
      <c r="D1126" s="16"/>
      <c r="J1126" s="16"/>
      <c r="O1126" s="16"/>
    </row>
    <row r="1127" spans="3:15" x14ac:dyDescent="0.3">
      <c r="C1127" s="16"/>
      <c r="D1127" s="16"/>
      <c r="J1127" s="16"/>
      <c r="O1127" s="16"/>
    </row>
    <row r="1128" spans="3:15" x14ac:dyDescent="0.3">
      <c r="C1128" s="16"/>
      <c r="D1128" s="16"/>
      <c r="J1128" s="16"/>
      <c r="O1128" s="16"/>
    </row>
    <row r="1129" spans="3:15" x14ac:dyDescent="0.3">
      <c r="C1129" s="16"/>
      <c r="D1129" s="16"/>
      <c r="J1129" s="16"/>
      <c r="O1129" s="16"/>
    </row>
    <row r="1130" spans="3:15" x14ac:dyDescent="0.3">
      <c r="C1130" s="16"/>
      <c r="D1130" s="16"/>
      <c r="J1130" s="16"/>
      <c r="O1130" s="16"/>
    </row>
    <row r="1131" spans="3:15" x14ac:dyDescent="0.3">
      <c r="C1131" s="16"/>
      <c r="D1131" s="16"/>
      <c r="J1131" s="16"/>
      <c r="O1131" s="16"/>
    </row>
    <row r="1132" spans="3:15" x14ac:dyDescent="0.3">
      <c r="C1132" s="16"/>
      <c r="D1132" s="16"/>
      <c r="J1132" s="16"/>
      <c r="O1132" s="16"/>
    </row>
    <row r="1133" spans="3:15" x14ac:dyDescent="0.3">
      <c r="C1133" s="16"/>
      <c r="D1133" s="16"/>
      <c r="J1133" s="16"/>
      <c r="O1133" s="16"/>
    </row>
    <row r="1134" spans="3:15" x14ac:dyDescent="0.3">
      <c r="C1134" s="16"/>
      <c r="D1134" s="16"/>
      <c r="J1134" s="16"/>
      <c r="O1134" s="16"/>
    </row>
    <row r="1135" spans="3:15" x14ac:dyDescent="0.3">
      <c r="C1135" s="16"/>
      <c r="D1135" s="16"/>
      <c r="J1135" s="16"/>
      <c r="O1135" s="16"/>
    </row>
    <row r="1136" spans="3:15" x14ac:dyDescent="0.3">
      <c r="C1136" s="16"/>
      <c r="D1136" s="16"/>
      <c r="J1136" s="16"/>
      <c r="O1136" s="16"/>
    </row>
    <row r="1137" spans="3:15" x14ac:dyDescent="0.3">
      <c r="C1137" s="16"/>
      <c r="D1137" s="16"/>
      <c r="J1137" s="16"/>
      <c r="O1137" s="16"/>
    </row>
    <row r="1138" spans="3:15" x14ac:dyDescent="0.3">
      <c r="C1138" s="16"/>
      <c r="D1138" s="16"/>
      <c r="J1138" s="16"/>
      <c r="O1138" s="16"/>
    </row>
    <row r="1139" spans="3:15" x14ac:dyDescent="0.3">
      <c r="C1139" s="16"/>
      <c r="D1139" s="16"/>
      <c r="J1139" s="16"/>
      <c r="O1139" s="16"/>
    </row>
    <row r="1140" spans="3:15" x14ac:dyDescent="0.3">
      <c r="C1140" s="16"/>
      <c r="D1140" s="16"/>
      <c r="J1140" s="16"/>
      <c r="O1140" s="16"/>
    </row>
    <row r="1141" spans="3:15" x14ac:dyDescent="0.3">
      <c r="C1141" s="16"/>
      <c r="D1141" s="16"/>
      <c r="J1141" s="16"/>
      <c r="O1141" s="16"/>
    </row>
    <row r="1142" spans="3:15" x14ac:dyDescent="0.3">
      <c r="C1142" s="16"/>
      <c r="D1142" s="16"/>
      <c r="J1142" s="16"/>
      <c r="O1142" s="16"/>
    </row>
    <row r="1143" spans="3:15" x14ac:dyDescent="0.3">
      <c r="C1143" s="16"/>
      <c r="D1143" s="16"/>
      <c r="J1143" s="16"/>
      <c r="O1143" s="16"/>
    </row>
    <row r="1144" spans="3:15" x14ac:dyDescent="0.3">
      <c r="C1144" s="16"/>
      <c r="D1144" s="16"/>
      <c r="J1144" s="16"/>
      <c r="O1144" s="16"/>
    </row>
    <row r="1145" spans="3:15" x14ac:dyDescent="0.3">
      <c r="C1145" s="16"/>
      <c r="D1145" s="16"/>
      <c r="J1145" s="16"/>
      <c r="O1145" s="16"/>
    </row>
    <row r="1146" spans="3:15" x14ac:dyDescent="0.3">
      <c r="C1146" s="16"/>
      <c r="D1146" s="16"/>
      <c r="J1146" s="16"/>
      <c r="O1146" s="16"/>
    </row>
    <row r="1147" spans="3:15" x14ac:dyDescent="0.3">
      <c r="C1147" s="16"/>
      <c r="D1147" s="16"/>
      <c r="J1147" s="16"/>
      <c r="O1147" s="16"/>
    </row>
    <row r="1148" spans="3:15" x14ac:dyDescent="0.3">
      <c r="C1148" s="16"/>
      <c r="D1148" s="16"/>
      <c r="J1148" s="16"/>
      <c r="O1148" s="16"/>
    </row>
    <row r="1149" spans="3:15" x14ac:dyDescent="0.3">
      <c r="C1149" s="16"/>
      <c r="D1149" s="16"/>
      <c r="J1149" s="16"/>
      <c r="O1149" s="16"/>
    </row>
    <row r="1150" spans="3:15" x14ac:dyDescent="0.3">
      <c r="C1150" s="16"/>
      <c r="D1150" s="16"/>
      <c r="J1150" s="16"/>
      <c r="O1150" s="16"/>
    </row>
    <row r="1151" spans="3:15" x14ac:dyDescent="0.3">
      <c r="C1151" s="16"/>
      <c r="D1151" s="16"/>
      <c r="J1151" s="16"/>
      <c r="O1151" s="16"/>
    </row>
    <row r="1152" spans="3:15" x14ac:dyDescent="0.3">
      <c r="C1152" s="16"/>
      <c r="D1152" s="16"/>
      <c r="J1152" s="16"/>
      <c r="O1152" s="16"/>
    </row>
    <row r="1153" spans="3:15" x14ac:dyDescent="0.3">
      <c r="C1153" s="16"/>
      <c r="D1153" s="16"/>
      <c r="J1153" s="16"/>
      <c r="O1153" s="16"/>
    </row>
    <row r="1154" spans="3:15" x14ac:dyDescent="0.3">
      <c r="C1154" s="16"/>
      <c r="D1154" s="16"/>
      <c r="J1154" s="16"/>
      <c r="O1154" s="16"/>
    </row>
    <row r="1155" spans="3:15" x14ac:dyDescent="0.3">
      <c r="C1155" s="16"/>
      <c r="D1155" s="16"/>
      <c r="J1155" s="16"/>
      <c r="O1155" s="16"/>
    </row>
    <row r="1156" spans="3:15" x14ac:dyDescent="0.3">
      <c r="C1156" s="16"/>
      <c r="D1156" s="16"/>
      <c r="J1156" s="16"/>
      <c r="O1156" s="16"/>
    </row>
    <row r="1157" spans="3:15" x14ac:dyDescent="0.3">
      <c r="C1157" s="16"/>
      <c r="D1157" s="16"/>
      <c r="J1157" s="16"/>
      <c r="O1157" s="16"/>
    </row>
    <row r="1158" spans="3:15" x14ac:dyDescent="0.3">
      <c r="C1158" s="16"/>
      <c r="D1158" s="16"/>
      <c r="J1158" s="16"/>
      <c r="O1158" s="16"/>
    </row>
    <row r="1159" spans="3:15" x14ac:dyDescent="0.3">
      <c r="C1159" s="16"/>
      <c r="D1159" s="16"/>
      <c r="J1159" s="16"/>
      <c r="O1159" s="16"/>
    </row>
    <row r="1160" spans="3:15" x14ac:dyDescent="0.3">
      <c r="C1160" s="16"/>
      <c r="D1160" s="16"/>
      <c r="J1160" s="16"/>
      <c r="O1160" s="16"/>
    </row>
    <row r="1161" spans="3:15" x14ac:dyDescent="0.3">
      <c r="C1161" s="16"/>
      <c r="D1161" s="16"/>
      <c r="J1161" s="16"/>
      <c r="O1161" s="16"/>
    </row>
    <row r="1162" spans="3:15" x14ac:dyDescent="0.3">
      <c r="C1162" s="16"/>
      <c r="D1162" s="16"/>
      <c r="J1162" s="16"/>
      <c r="O1162" s="16"/>
    </row>
    <row r="1163" spans="3:15" x14ac:dyDescent="0.3">
      <c r="C1163" s="16"/>
      <c r="D1163" s="16"/>
      <c r="J1163" s="16"/>
      <c r="O1163" s="16"/>
    </row>
    <row r="1164" spans="3:15" x14ac:dyDescent="0.3">
      <c r="C1164" s="16"/>
      <c r="D1164" s="16"/>
      <c r="J1164" s="16"/>
      <c r="O1164" s="16"/>
    </row>
    <row r="1165" spans="3:15" x14ac:dyDescent="0.3">
      <c r="C1165" s="16"/>
      <c r="D1165" s="16"/>
      <c r="J1165" s="16"/>
      <c r="O1165" s="16"/>
    </row>
    <row r="1166" spans="3:15" x14ac:dyDescent="0.3">
      <c r="C1166" s="16"/>
      <c r="D1166" s="16"/>
      <c r="J1166" s="16"/>
      <c r="O1166" s="16"/>
    </row>
    <row r="1167" spans="3:15" x14ac:dyDescent="0.3">
      <c r="C1167" s="16"/>
      <c r="D1167" s="16"/>
      <c r="J1167" s="16"/>
      <c r="O1167" s="16"/>
    </row>
    <row r="1168" spans="3:15" x14ac:dyDescent="0.3">
      <c r="C1168" s="16"/>
      <c r="D1168" s="16"/>
      <c r="J1168" s="16"/>
      <c r="O1168" s="16"/>
    </row>
    <row r="1169" spans="3:15" x14ac:dyDescent="0.3">
      <c r="C1169" s="16"/>
      <c r="D1169" s="16"/>
      <c r="J1169" s="16"/>
      <c r="O1169" s="16"/>
    </row>
    <row r="1170" spans="3:15" x14ac:dyDescent="0.3">
      <c r="C1170" s="16"/>
      <c r="D1170" s="16"/>
      <c r="J1170" s="16"/>
      <c r="O1170" s="16"/>
    </row>
    <row r="1171" spans="3:15" x14ac:dyDescent="0.3">
      <c r="C1171" s="16"/>
      <c r="D1171" s="16"/>
      <c r="J1171" s="16"/>
      <c r="O1171" s="16"/>
    </row>
    <row r="1172" spans="3:15" x14ac:dyDescent="0.3">
      <c r="C1172" s="16"/>
      <c r="D1172" s="16"/>
      <c r="J1172" s="16"/>
      <c r="O1172" s="16"/>
    </row>
    <row r="1173" spans="3:15" x14ac:dyDescent="0.3">
      <c r="C1173" s="16"/>
      <c r="D1173" s="16"/>
      <c r="J1173" s="16"/>
      <c r="O1173" s="16"/>
    </row>
    <row r="1174" spans="3:15" x14ac:dyDescent="0.3">
      <c r="C1174" s="16"/>
      <c r="D1174" s="16"/>
      <c r="J1174" s="16"/>
      <c r="O1174" s="16"/>
    </row>
    <row r="1175" spans="3:15" x14ac:dyDescent="0.3">
      <c r="C1175" s="16"/>
      <c r="D1175" s="16"/>
      <c r="J1175" s="16"/>
      <c r="O1175" s="16"/>
    </row>
    <row r="1176" spans="3:15" x14ac:dyDescent="0.3">
      <c r="C1176" s="16"/>
      <c r="D1176" s="16"/>
      <c r="J1176" s="16"/>
      <c r="O1176" s="16"/>
    </row>
    <row r="1177" spans="3:15" x14ac:dyDescent="0.3">
      <c r="C1177" s="16"/>
      <c r="D1177" s="16"/>
      <c r="J1177" s="16"/>
      <c r="O1177" s="16"/>
    </row>
    <row r="1178" spans="3:15" x14ac:dyDescent="0.3">
      <c r="C1178" s="16"/>
      <c r="D1178" s="16"/>
      <c r="J1178" s="16"/>
      <c r="O1178" s="16"/>
    </row>
    <row r="1179" spans="3:15" x14ac:dyDescent="0.3">
      <c r="C1179" s="16"/>
      <c r="D1179" s="16"/>
      <c r="J1179" s="16"/>
      <c r="O1179" s="16"/>
    </row>
    <row r="1180" spans="3:15" x14ac:dyDescent="0.3">
      <c r="C1180" s="16"/>
      <c r="D1180" s="16"/>
      <c r="J1180" s="16"/>
      <c r="O1180" s="16"/>
    </row>
    <row r="1181" spans="3:15" x14ac:dyDescent="0.3">
      <c r="C1181" s="16"/>
      <c r="D1181" s="16"/>
      <c r="J1181" s="16"/>
      <c r="O1181" s="16"/>
    </row>
    <row r="1182" spans="3:15" x14ac:dyDescent="0.3">
      <c r="C1182" s="16"/>
      <c r="D1182" s="16"/>
      <c r="J1182" s="16"/>
      <c r="O1182" s="16"/>
    </row>
    <row r="1183" spans="3:15" x14ac:dyDescent="0.3">
      <c r="C1183" s="16"/>
      <c r="D1183" s="16"/>
      <c r="J1183" s="16"/>
      <c r="O1183" s="16"/>
    </row>
    <row r="1184" spans="3:15" x14ac:dyDescent="0.3">
      <c r="C1184" s="16"/>
      <c r="D1184" s="16"/>
      <c r="J1184" s="16"/>
      <c r="O1184" s="16"/>
    </row>
    <row r="1185" spans="3:15" x14ac:dyDescent="0.3">
      <c r="C1185" s="16"/>
      <c r="D1185" s="16"/>
      <c r="J1185" s="16"/>
      <c r="O1185" s="16"/>
    </row>
    <row r="1186" spans="3:15" x14ac:dyDescent="0.3">
      <c r="C1186" s="16"/>
      <c r="D1186" s="16"/>
      <c r="J1186" s="16"/>
      <c r="O1186" s="16"/>
    </row>
    <row r="1187" spans="3:15" x14ac:dyDescent="0.3">
      <c r="C1187" s="16"/>
      <c r="D1187" s="16"/>
      <c r="J1187" s="16"/>
      <c r="O1187" s="16"/>
    </row>
    <row r="1188" spans="3:15" x14ac:dyDescent="0.3">
      <c r="C1188" s="16"/>
      <c r="D1188" s="16"/>
      <c r="J1188" s="16"/>
      <c r="O1188" s="16"/>
    </row>
    <row r="1189" spans="3:15" x14ac:dyDescent="0.3">
      <c r="C1189" s="16"/>
      <c r="D1189" s="16"/>
      <c r="J1189" s="16"/>
      <c r="O1189" s="16"/>
    </row>
    <row r="1190" spans="3:15" x14ac:dyDescent="0.3">
      <c r="C1190" s="16"/>
      <c r="D1190" s="16"/>
      <c r="J1190" s="16"/>
      <c r="O1190" s="16"/>
    </row>
    <row r="1191" spans="3:15" x14ac:dyDescent="0.3">
      <c r="C1191" s="16"/>
      <c r="D1191" s="16"/>
      <c r="J1191" s="16"/>
      <c r="O1191" s="16"/>
    </row>
    <row r="1192" spans="3:15" x14ac:dyDescent="0.3">
      <c r="C1192" s="16"/>
      <c r="D1192" s="16"/>
      <c r="J1192" s="16"/>
      <c r="O1192" s="16"/>
    </row>
    <row r="1193" spans="3:15" x14ac:dyDescent="0.3">
      <c r="C1193" s="16"/>
      <c r="D1193" s="16"/>
      <c r="J1193" s="16"/>
      <c r="O1193" s="16"/>
    </row>
    <row r="1194" spans="3:15" x14ac:dyDescent="0.3">
      <c r="C1194" s="16"/>
      <c r="D1194" s="16"/>
      <c r="J1194" s="16"/>
      <c r="O1194" s="16"/>
    </row>
    <row r="1195" spans="3:15" x14ac:dyDescent="0.3">
      <c r="C1195" s="16"/>
      <c r="D1195" s="16"/>
      <c r="J1195" s="16"/>
      <c r="O1195" s="16"/>
    </row>
    <row r="1196" spans="3:15" x14ac:dyDescent="0.3">
      <c r="C1196" s="16"/>
      <c r="D1196" s="16"/>
      <c r="J1196" s="16"/>
      <c r="O1196" s="16"/>
    </row>
    <row r="1197" spans="3:15" x14ac:dyDescent="0.3">
      <c r="C1197" s="16"/>
      <c r="D1197" s="16"/>
      <c r="J1197" s="16"/>
      <c r="O1197" s="16"/>
    </row>
    <row r="1198" spans="3:15" x14ac:dyDescent="0.3">
      <c r="C1198" s="16"/>
      <c r="D1198" s="16"/>
      <c r="J1198" s="16"/>
      <c r="O1198" s="16"/>
    </row>
    <row r="1199" spans="3:15" x14ac:dyDescent="0.3">
      <c r="C1199" s="16"/>
      <c r="D1199" s="16"/>
      <c r="J1199" s="16"/>
      <c r="O1199" s="16"/>
    </row>
    <row r="1200" spans="3:15" x14ac:dyDescent="0.3">
      <c r="C1200" s="16"/>
      <c r="D1200" s="16"/>
      <c r="J1200" s="16"/>
      <c r="O1200" s="16"/>
    </row>
    <row r="1201" spans="3:15" x14ac:dyDescent="0.3">
      <c r="C1201" s="16"/>
      <c r="D1201" s="16"/>
      <c r="J1201" s="16"/>
      <c r="O1201" s="16"/>
    </row>
    <row r="1202" spans="3:15" x14ac:dyDescent="0.3">
      <c r="C1202" s="16"/>
      <c r="D1202" s="16"/>
      <c r="J1202" s="16"/>
      <c r="O1202" s="16"/>
    </row>
    <row r="1203" spans="3:15" x14ac:dyDescent="0.3">
      <c r="C1203" s="16"/>
      <c r="D1203" s="16"/>
      <c r="J1203" s="16"/>
      <c r="O1203" s="16"/>
    </row>
    <row r="1204" spans="3:15" x14ac:dyDescent="0.3">
      <c r="C1204" s="16"/>
      <c r="D1204" s="16"/>
      <c r="J1204" s="16"/>
      <c r="O1204" s="16"/>
    </row>
    <row r="1205" spans="3:15" x14ac:dyDescent="0.3">
      <c r="C1205" s="16"/>
      <c r="D1205" s="16"/>
      <c r="J1205" s="16"/>
      <c r="O1205" s="16"/>
    </row>
    <row r="1206" spans="3:15" x14ac:dyDescent="0.3">
      <c r="C1206" s="16"/>
      <c r="D1206" s="16"/>
      <c r="J1206" s="16"/>
      <c r="O1206" s="16"/>
    </row>
    <row r="1207" spans="3:15" x14ac:dyDescent="0.3">
      <c r="C1207" s="16"/>
      <c r="D1207" s="16"/>
      <c r="J1207" s="16"/>
      <c r="O1207" s="16"/>
    </row>
    <row r="1208" spans="3:15" x14ac:dyDescent="0.3">
      <c r="C1208" s="16"/>
      <c r="D1208" s="16"/>
      <c r="J1208" s="16"/>
      <c r="O1208" s="16"/>
    </row>
    <row r="1209" spans="3:15" x14ac:dyDescent="0.3">
      <c r="C1209" s="16"/>
      <c r="D1209" s="16"/>
      <c r="J1209" s="16"/>
      <c r="O1209" s="16"/>
    </row>
    <row r="1210" spans="3:15" x14ac:dyDescent="0.3">
      <c r="C1210" s="16"/>
      <c r="D1210" s="16"/>
      <c r="J1210" s="16"/>
      <c r="O1210" s="16"/>
    </row>
    <row r="1211" spans="3:15" x14ac:dyDescent="0.3">
      <c r="C1211" s="16"/>
      <c r="D1211" s="16"/>
      <c r="J1211" s="16"/>
      <c r="O1211" s="16"/>
    </row>
    <row r="1212" spans="3:15" x14ac:dyDescent="0.3">
      <c r="C1212" s="16"/>
      <c r="D1212" s="16"/>
      <c r="J1212" s="16"/>
      <c r="O1212" s="16"/>
    </row>
    <row r="1213" spans="3:15" x14ac:dyDescent="0.3">
      <c r="C1213" s="16"/>
      <c r="D1213" s="16"/>
      <c r="J1213" s="16"/>
      <c r="O1213" s="16"/>
    </row>
    <row r="1214" spans="3:15" x14ac:dyDescent="0.3">
      <c r="C1214" s="16"/>
      <c r="D1214" s="16"/>
      <c r="J1214" s="16"/>
      <c r="O1214" s="16"/>
    </row>
    <row r="1215" spans="3:15" x14ac:dyDescent="0.3">
      <c r="C1215" s="16"/>
      <c r="D1215" s="16"/>
      <c r="J1215" s="16"/>
      <c r="O1215" s="16"/>
    </row>
    <row r="1216" spans="3:15" x14ac:dyDescent="0.3">
      <c r="C1216" s="16"/>
      <c r="D1216" s="16"/>
      <c r="J1216" s="16"/>
      <c r="O1216" s="16"/>
    </row>
    <row r="1217" spans="3:15" x14ac:dyDescent="0.3">
      <c r="C1217" s="16"/>
      <c r="D1217" s="16"/>
      <c r="J1217" s="16"/>
      <c r="O1217" s="16"/>
    </row>
    <row r="1218" spans="3:15" x14ac:dyDescent="0.3">
      <c r="C1218" s="16"/>
      <c r="D1218" s="16"/>
      <c r="J1218" s="16"/>
      <c r="O1218" s="16"/>
    </row>
    <row r="1219" spans="3:15" x14ac:dyDescent="0.3">
      <c r="C1219" s="16"/>
      <c r="D1219" s="16"/>
      <c r="J1219" s="16"/>
      <c r="O1219" s="16"/>
    </row>
    <row r="1220" spans="3:15" x14ac:dyDescent="0.3">
      <c r="C1220" s="16"/>
      <c r="D1220" s="16"/>
      <c r="J1220" s="16"/>
      <c r="O1220" s="16"/>
    </row>
    <row r="1221" spans="3:15" x14ac:dyDescent="0.3">
      <c r="C1221" s="16"/>
      <c r="D1221" s="16"/>
      <c r="J1221" s="16"/>
      <c r="O1221" s="16"/>
    </row>
    <row r="1222" spans="3:15" x14ac:dyDescent="0.3">
      <c r="C1222" s="16"/>
      <c r="D1222" s="16"/>
      <c r="J1222" s="16"/>
      <c r="O1222" s="16"/>
    </row>
    <row r="1223" spans="3:15" x14ac:dyDescent="0.3">
      <c r="C1223" s="16"/>
      <c r="D1223" s="16"/>
      <c r="J1223" s="16"/>
      <c r="O1223" s="16"/>
    </row>
    <row r="1224" spans="3:15" x14ac:dyDescent="0.3">
      <c r="C1224" s="16"/>
      <c r="D1224" s="16"/>
      <c r="J1224" s="16"/>
      <c r="O1224" s="16"/>
    </row>
    <row r="1225" spans="3:15" x14ac:dyDescent="0.3">
      <c r="C1225" s="16"/>
      <c r="D1225" s="16"/>
      <c r="J1225" s="16"/>
      <c r="O1225" s="16"/>
    </row>
    <row r="1226" spans="3:15" x14ac:dyDescent="0.3">
      <c r="C1226" s="16"/>
      <c r="D1226" s="16"/>
      <c r="J1226" s="16"/>
      <c r="O1226" s="16"/>
    </row>
    <row r="1227" spans="3:15" x14ac:dyDescent="0.3">
      <c r="C1227" s="16"/>
      <c r="D1227" s="16"/>
      <c r="J1227" s="16"/>
      <c r="O1227" s="16"/>
    </row>
    <row r="1228" spans="3:15" x14ac:dyDescent="0.3">
      <c r="C1228" s="16"/>
      <c r="D1228" s="16"/>
      <c r="J1228" s="16"/>
      <c r="O1228" s="16"/>
    </row>
    <row r="1229" spans="3:15" x14ac:dyDescent="0.3">
      <c r="C1229" s="16"/>
      <c r="D1229" s="16"/>
      <c r="J1229" s="16"/>
      <c r="O1229" s="16"/>
    </row>
    <row r="1230" spans="3:15" x14ac:dyDescent="0.3">
      <c r="C1230" s="16"/>
      <c r="D1230" s="16"/>
      <c r="J1230" s="16"/>
      <c r="O1230" s="16"/>
    </row>
    <row r="1231" spans="3:15" x14ac:dyDescent="0.3">
      <c r="C1231" s="16"/>
      <c r="D1231" s="16"/>
      <c r="J1231" s="16"/>
      <c r="O1231" s="16"/>
    </row>
    <row r="1232" spans="3:15" x14ac:dyDescent="0.3">
      <c r="C1232" s="16"/>
      <c r="D1232" s="16"/>
      <c r="J1232" s="16"/>
      <c r="O1232" s="16"/>
    </row>
    <row r="1233" spans="3:15" x14ac:dyDescent="0.3">
      <c r="C1233" s="16"/>
      <c r="D1233" s="16"/>
      <c r="J1233" s="16"/>
      <c r="O1233" s="16"/>
    </row>
    <row r="1234" spans="3:15" x14ac:dyDescent="0.3">
      <c r="C1234" s="16"/>
      <c r="D1234" s="16"/>
      <c r="J1234" s="16"/>
      <c r="O1234" s="16"/>
    </row>
    <row r="1235" spans="3:15" x14ac:dyDescent="0.3">
      <c r="C1235" s="16"/>
      <c r="D1235" s="16"/>
      <c r="J1235" s="16"/>
      <c r="O1235" s="16"/>
    </row>
    <row r="1236" spans="3:15" x14ac:dyDescent="0.3">
      <c r="C1236" s="16"/>
      <c r="D1236" s="16"/>
      <c r="J1236" s="16"/>
      <c r="O1236" s="16"/>
    </row>
    <row r="1237" spans="3:15" x14ac:dyDescent="0.3">
      <c r="C1237" s="16"/>
      <c r="D1237" s="16"/>
      <c r="J1237" s="16"/>
      <c r="O1237" s="16"/>
    </row>
    <row r="1238" spans="3:15" x14ac:dyDescent="0.3">
      <c r="C1238" s="16"/>
      <c r="D1238" s="16"/>
      <c r="J1238" s="16"/>
      <c r="O1238" s="16"/>
    </row>
    <row r="1239" spans="3:15" x14ac:dyDescent="0.3">
      <c r="C1239" s="16"/>
      <c r="D1239" s="16"/>
      <c r="J1239" s="16"/>
      <c r="O1239" s="16"/>
    </row>
    <row r="1240" spans="3:15" x14ac:dyDescent="0.3">
      <c r="C1240" s="16"/>
      <c r="D1240" s="16"/>
      <c r="J1240" s="16"/>
      <c r="O1240" s="16"/>
    </row>
    <row r="1241" spans="3:15" x14ac:dyDescent="0.3">
      <c r="C1241" s="16"/>
      <c r="D1241" s="16"/>
      <c r="J1241" s="16"/>
      <c r="O1241" s="16"/>
    </row>
    <row r="1242" spans="3:15" x14ac:dyDescent="0.3">
      <c r="C1242" s="16"/>
      <c r="D1242" s="16"/>
      <c r="J1242" s="16"/>
      <c r="O1242" s="16"/>
    </row>
    <row r="1243" spans="3:15" x14ac:dyDescent="0.3">
      <c r="C1243" s="16"/>
      <c r="D1243" s="16"/>
      <c r="J1243" s="16"/>
      <c r="O1243" s="16"/>
    </row>
    <row r="1244" spans="3:15" x14ac:dyDescent="0.3">
      <c r="C1244" s="16"/>
      <c r="D1244" s="16"/>
      <c r="J1244" s="16"/>
      <c r="O1244" s="16"/>
    </row>
    <row r="1245" spans="3:15" x14ac:dyDescent="0.3">
      <c r="C1245" s="16"/>
      <c r="D1245" s="16"/>
      <c r="J1245" s="16"/>
      <c r="O1245" s="16"/>
    </row>
    <row r="1246" spans="3:15" x14ac:dyDescent="0.3">
      <c r="C1246" s="16"/>
      <c r="D1246" s="16"/>
      <c r="J1246" s="16"/>
      <c r="O1246" s="16"/>
    </row>
    <row r="1247" spans="3:15" x14ac:dyDescent="0.3">
      <c r="C1247" s="16"/>
      <c r="D1247" s="16"/>
      <c r="J1247" s="16"/>
      <c r="O1247" s="16"/>
    </row>
    <row r="1248" spans="3:15" x14ac:dyDescent="0.3">
      <c r="C1248" s="16"/>
      <c r="D1248" s="16"/>
      <c r="J1248" s="16"/>
      <c r="O1248" s="16"/>
    </row>
    <row r="1249" spans="3:15" x14ac:dyDescent="0.3">
      <c r="C1249" s="16"/>
      <c r="D1249" s="16"/>
      <c r="J1249" s="16"/>
      <c r="O1249" s="16"/>
    </row>
    <row r="1250" spans="3:15" x14ac:dyDescent="0.3">
      <c r="C1250" s="16"/>
      <c r="D1250" s="16"/>
      <c r="J1250" s="16"/>
      <c r="O1250" s="16"/>
    </row>
    <row r="1251" spans="3:15" x14ac:dyDescent="0.3">
      <c r="C1251" s="16"/>
      <c r="D1251" s="16"/>
      <c r="J1251" s="16"/>
      <c r="O1251" s="16"/>
    </row>
    <row r="1252" spans="3:15" x14ac:dyDescent="0.3">
      <c r="C1252" s="16"/>
      <c r="D1252" s="16"/>
      <c r="J1252" s="16"/>
      <c r="O1252" s="16"/>
    </row>
    <row r="1253" spans="3:15" x14ac:dyDescent="0.3">
      <c r="C1253" s="16"/>
      <c r="D1253" s="16"/>
      <c r="J1253" s="16"/>
      <c r="O1253" s="16"/>
    </row>
    <row r="1254" spans="3:15" x14ac:dyDescent="0.3">
      <c r="C1254" s="16"/>
      <c r="D1254" s="16"/>
      <c r="J1254" s="16"/>
      <c r="O1254" s="16"/>
    </row>
    <row r="1255" spans="3:15" x14ac:dyDescent="0.3">
      <c r="C1255" s="16"/>
      <c r="D1255" s="16"/>
      <c r="J1255" s="16"/>
      <c r="O1255" s="16"/>
    </row>
    <row r="1256" spans="3:15" x14ac:dyDescent="0.3">
      <c r="C1256" s="16"/>
      <c r="D1256" s="16"/>
      <c r="J1256" s="16"/>
      <c r="O1256" s="16"/>
    </row>
    <row r="1257" spans="3:15" x14ac:dyDescent="0.3">
      <c r="C1257" s="16"/>
      <c r="D1257" s="16"/>
      <c r="J1257" s="16"/>
      <c r="O1257" s="16"/>
    </row>
    <row r="1258" spans="3:15" x14ac:dyDescent="0.3">
      <c r="C1258" s="16"/>
      <c r="D1258" s="16"/>
      <c r="J1258" s="16"/>
      <c r="O1258" s="16"/>
    </row>
    <row r="1259" spans="3:15" x14ac:dyDescent="0.3">
      <c r="C1259" s="16"/>
      <c r="D1259" s="16"/>
      <c r="J1259" s="16"/>
      <c r="O1259" s="16"/>
    </row>
    <row r="1260" spans="3:15" x14ac:dyDescent="0.3">
      <c r="C1260" s="16"/>
      <c r="D1260" s="16"/>
      <c r="J1260" s="16"/>
      <c r="O1260" s="16"/>
    </row>
    <row r="1261" spans="3:15" x14ac:dyDescent="0.3">
      <c r="C1261" s="16"/>
      <c r="D1261" s="16"/>
      <c r="J1261" s="16"/>
      <c r="O1261" s="16"/>
    </row>
    <row r="1262" spans="3:15" x14ac:dyDescent="0.3">
      <c r="C1262" s="16"/>
      <c r="D1262" s="16"/>
      <c r="J1262" s="16"/>
      <c r="O1262" s="16"/>
    </row>
    <row r="1263" spans="3:15" x14ac:dyDescent="0.3">
      <c r="C1263" s="16"/>
      <c r="D1263" s="16"/>
      <c r="J1263" s="16"/>
      <c r="O1263" s="16"/>
    </row>
    <row r="1264" spans="3:15" x14ac:dyDescent="0.3">
      <c r="C1264" s="16"/>
      <c r="D1264" s="16"/>
      <c r="J1264" s="16"/>
      <c r="O1264" s="16"/>
    </row>
    <row r="1265" spans="3:15" x14ac:dyDescent="0.3">
      <c r="C1265" s="16"/>
      <c r="D1265" s="16"/>
      <c r="J1265" s="16"/>
      <c r="O1265" s="16"/>
    </row>
    <row r="1266" spans="3:15" x14ac:dyDescent="0.3">
      <c r="C1266" s="16"/>
      <c r="D1266" s="16"/>
      <c r="J1266" s="16"/>
      <c r="O1266" s="16"/>
    </row>
    <row r="1267" spans="3:15" x14ac:dyDescent="0.3">
      <c r="C1267" s="16"/>
      <c r="D1267" s="16"/>
      <c r="J1267" s="16"/>
      <c r="O1267" s="16"/>
    </row>
    <row r="1268" spans="3:15" x14ac:dyDescent="0.3">
      <c r="C1268" s="16"/>
      <c r="D1268" s="16"/>
      <c r="J1268" s="16"/>
      <c r="O1268" s="16"/>
    </row>
    <row r="1269" spans="3:15" x14ac:dyDescent="0.3">
      <c r="C1269" s="16"/>
      <c r="D1269" s="16"/>
      <c r="J1269" s="16"/>
      <c r="O1269" s="16"/>
    </row>
    <row r="1270" spans="3:15" x14ac:dyDescent="0.3">
      <c r="C1270" s="16"/>
      <c r="D1270" s="16"/>
      <c r="J1270" s="16"/>
      <c r="O1270" s="16"/>
    </row>
    <row r="1271" spans="3:15" x14ac:dyDescent="0.3">
      <c r="C1271" s="16"/>
      <c r="D1271" s="16"/>
      <c r="J1271" s="16"/>
      <c r="O1271" s="16"/>
    </row>
    <row r="1272" spans="3:15" x14ac:dyDescent="0.3">
      <c r="C1272" s="16"/>
      <c r="D1272" s="16"/>
      <c r="J1272" s="16"/>
      <c r="O1272" s="16"/>
    </row>
    <row r="1273" spans="3:15" x14ac:dyDescent="0.3">
      <c r="C1273" s="16"/>
      <c r="D1273" s="16"/>
      <c r="J1273" s="16"/>
      <c r="O1273" s="16"/>
    </row>
    <row r="1274" spans="3:15" x14ac:dyDescent="0.3">
      <c r="C1274" s="16"/>
      <c r="D1274" s="16"/>
      <c r="J1274" s="16"/>
      <c r="O1274" s="16"/>
    </row>
    <row r="1275" spans="3:15" x14ac:dyDescent="0.3">
      <c r="C1275" s="16"/>
      <c r="D1275" s="16"/>
      <c r="J1275" s="16"/>
      <c r="O1275" s="16"/>
    </row>
    <row r="1276" spans="3:15" x14ac:dyDescent="0.3">
      <c r="C1276" s="16"/>
      <c r="D1276" s="16"/>
      <c r="J1276" s="16"/>
      <c r="O1276" s="16"/>
    </row>
    <row r="1277" spans="3:15" x14ac:dyDescent="0.3">
      <c r="C1277" s="16"/>
      <c r="D1277" s="16"/>
      <c r="J1277" s="16"/>
      <c r="O1277" s="16"/>
    </row>
    <row r="1278" spans="3:15" x14ac:dyDescent="0.3">
      <c r="C1278" s="16"/>
      <c r="D1278" s="16"/>
      <c r="J1278" s="16"/>
      <c r="O1278" s="16"/>
    </row>
    <row r="1279" spans="3:15" x14ac:dyDescent="0.3">
      <c r="C1279" s="16"/>
      <c r="D1279" s="16"/>
      <c r="J1279" s="16"/>
      <c r="O1279" s="16"/>
    </row>
    <row r="1280" spans="3:15" x14ac:dyDescent="0.3">
      <c r="C1280" s="16"/>
      <c r="D1280" s="16"/>
      <c r="J1280" s="16"/>
      <c r="O1280" s="16"/>
    </row>
    <row r="1281" spans="3:15" x14ac:dyDescent="0.3">
      <c r="C1281" s="16"/>
      <c r="D1281" s="16"/>
      <c r="J1281" s="16"/>
      <c r="O1281" s="16"/>
    </row>
    <row r="1282" spans="3:15" x14ac:dyDescent="0.3">
      <c r="C1282" s="16"/>
      <c r="D1282" s="16"/>
      <c r="J1282" s="16"/>
      <c r="O1282" s="16"/>
    </row>
    <row r="1283" spans="3:15" x14ac:dyDescent="0.3">
      <c r="C1283" s="16"/>
      <c r="D1283" s="16"/>
      <c r="J1283" s="16"/>
      <c r="O1283" s="16"/>
    </row>
    <row r="1284" spans="3:15" x14ac:dyDescent="0.3">
      <c r="C1284" s="16"/>
      <c r="D1284" s="16"/>
      <c r="J1284" s="16"/>
      <c r="O1284" s="16"/>
    </row>
    <row r="1285" spans="3:15" x14ac:dyDescent="0.3">
      <c r="C1285" s="16"/>
      <c r="D1285" s="16"/>
      <c r="J1285" s="16"/>
      <c r="O1285" s="16"/>
    </row>
    <row r="1286" spans="3:15" x14ac:dyDescent="0.3">
      <c r="C1286" s="16"/>
      <c r="D1286" s="16"/>
      <c r="J1286" s="16"/>
      <c r="O1286" s="16"/>
    </row>
    <row r="1287" spans="3:15" x14ac:dyDescent="0.3">
      <c r="C1287" s="16"/>
      <c r="D1287" s="16"/>
      <c r="J1287" s="16"/>
      <c r="O1287" s="16"/>
    </row>
    <row r="1288" spans="3:15" x14ac:dyDescent="0.3">
      <c r="C1288" s="16"/>
      <c r="D1288" s="16"/>
      <c r="J1288" s="16"/>
      <c r="O1288" s="16"/>
    </row>
    <row r="1289" spans="3:15" x14ac:dyDescent="0.3">
      <c r="C1289" s="16"/>
      <c r="D1289" s="16"/>
      <c r="J1289" s="16"/>
      <c r="O1289" s="16"/>
    </row>
    <row r="1290" spans="3:15" x14ac:dyDescent="0.3">
      <c r="C1290" s="16"/>
      <c r="D1290" s="16"/>
      <c r="J1290" s="16"/>
      <c r="O1290" s="16"/>
    </row>
    <row r="1291" spans="3:15" x14ac:dyDescent="0.3">
      <c r="C1291" s="16"/>
      <c r="D1291" s="16"/>
      <c r="J1291" s="16"/>
      <c r="O1291" s="16"/>
    </row>
    <row r="1292" spans="3:15" x14ac:dyDescent="0.3">
      <c r="C1292" s="16"/>
      <c r="D1292" s="16"/>
      <c r="J1292" s="16"/>
      <c r="O1292" s="16"/>
    </row>
    <row r="1293" spans="3:15" x14ac:dyDescent="0.3">
      <c r="C1293" s="16"/>
      <c r="D1293" s="16"/>
      <c r="J1293" s="16"/>
      <c r="O1293" s="16"/>
    </row>
    <row r="1294" spans="3:15" x14ac:dyDescent="0.3">
      <c r="C1294" s="16"/>
      <c r="D1294" s="16"/>
      <c r="J1294" s="16"/>
      <c r="O1294" s="16"/>
    </row>
    <row r="1295" spans="3:15" x14ac:dyDescent="0.3">
      <c r="C1295" s="16"/>
      <c r="D1295" s="16"/>
      <c r="J1295" s="16"/>
      <c r="O1295" s="16"/>
    </row>
    <row r="1296" spans="3:15" x14ac:dyDescent="0.3">
      <c r="C1296" s="16"/>
      <c r="D1296" s="16"/>
      <c r="J1296" s="16"/>
      <c r="O1296" s="16"/>
    </row>
    <row r="1297" spans="3:15" x14ac:dyDescent="0.3">
      <c r="C1297" s="16"/>
      <c r="D1297" s="16"/>
      <c r="J1297" s="16"/>
      <c r="O1297" s="16"/>
    </row>
    <row r="1298" spans="3:15" x14ac:dyDescent="0.3">
      <c r="C1298" s="16"/>
      <c r="D1298" s="16"/>
      <c r="J1298" s="16"/>
      <c r="O1298" s="16"/>
    </row>
    <row r="1299" spans="3:15" x14ac:dyDescent="0.3">
      <c r="C1299" s="16"/>
      <c r="D1299" s="16"/>
      <c r="J1299" s="16"/>
      <c r="O1299" s="16"/>
    </row>
    <row r="1300" spans="3:15" x14ac:dyDescent="0.3">
      <c r="C1300" s="16"/>
      <c r="D1300" s="16"/>
      <c r="J1300" s="16"/>
      <c r="O1300" s="16"/>
    </row>
    <row r="1301" spans="3:15" x14ac:dyDescent="0.3">
      <c r="C1301" s="16"/>
      <c r="D1301" s="16"/>
      <c r="J1301" s="16"/>
      <c r="O1301" s="16"/>
    </row>
    <row r="1302" spans="3:15" x14ac:dyDescent="0.3">
      <c r="C1302" s="16"/>
      <c r="D1302" s="16"/>
      <c r="J1302" s="16"/>
      <c r="O1302" s="16"/>
    </row>
    <row r="1303" spans="3:15" x14ac:dyDescent="0.3">
      <c r="C1303" s="16"/>
      <c r="D1303" s="16"/>
      <c r="J1303" s="16"/>
      <c r="O1303" s="16"/>
    </row>
    <row r="1304" spans="3:15" x14ac:dyDescent="0.3">
      <c r="C1304" s="16"/>
      <c r="D1304" s="16"/>
      <c r="J1304" s="16"/>
      <c r="O1304" s="16"/>
    </row>
    <row r="1305" spans="3:15" x14ac:dyDescent="0.3">
      <c r="C1305" s="16"/>
      <c r="D1305" s="16"/>
      <c r="J1305" s="16"/>
      <c r="O1305" s="16"/>
    </row>
    <row r="1306" spans="3:15" x14ac:dyDescent="0.3">
      <c r="C1306" s="16"/>
      <c r="D1306" s="16"/>
      <c r="J1306" s="16"/>
      <c r="O1306" s="16"/>
    </row>
    <row r="1307" spans="3:15" x14ac:dyDescent="0.3">
      <c r="C1307" s="16"/>
      <c r="D1307" s="16"/>
      <c r="J1307" s="16"/>
      <c r="O1307" s="16"/>
    </row>
    <row r="1308" spans="3:15" x14ac:dyDescent="0.3">
      <c r="C1308" s="16"/>
      <c r="D1308" s="16"/>
      <c r="J1308" s="16"/>
      <c r="O1308" s="16"/>
    </row>
    <row r="1309" spans="3:15" x14ac:dyDescent="0.3">
      <c r="C1309" s="16"/>
      <c r="D1309" s="16"/>
      <c r="J1309" s="16"/>
      <c r="O1309" s="16"/>
    </row>
    <row r="1310" spans="3:15" x14ac:dyDescent="0.3">
      <c r="C1310" s="16"/>
      <c r="D1310" s="16"/>
      <c r="J1310" s="16"/>
      <c r="O1310" s="16"/>
    </row>
    <row r="1311" spans="3:15" x14ac:dyDescent="0.3">
      <c r="C1311" s="16"/>
      <c r="D1311" s="16"/>
      <c r="J1311" s="16"/>
      <c r="O1311" s="16"/>
    </row>
    <row r="1312" spans="3:15" x14ac:dyDescent="0.3">
      <c r="C1312" s="16"/>
      <c r="D1312" s="16"/>
      <c r="J1312" s="16"/>
      <c r="O1312" s="16"/>
    </row>
    <row r="1313" spans="3:15" x14ac:dyDescent="0.3">
      <c r="C1313" s="16"/>
      <c r="D1313" s="16"/>
      <c r="J1313" s="16"/>
      <c r="O1313" s="16"/>
    </row>
    <row r="1314" spans="3:15" x14ac:dyDescent="0.3">
      <c r="C1314" s="16"/>
      <c r="D1314" s="16"/>
      <c r="J1314" s="16"/>
      <c r="O1314" s="16"/>
    </row>
    <row r="1315" spans="3:15" x14ac:dyDescent="0.3">
      <c r="C1315" s="16"/>
      <c r="D1315" s="16"/>
      <c r="J1315" s="16"/>
      <c r="O1315" s="16"/>
    </row>
    <row r="1316" spans="3:15" x14ac:dyDescent="0.3">
      <c r="C1316" s="16"/>
      <c r="D1316" s="16"/>
      <c r="J1316" s="16"/>
      <c r="O1316" s="16"/>
    </row>
    <row r="1317" spans="3:15" x14ac:dyDescent="0.3">
      <c r="C1317" s="16"/>
      <c r="D1317" s="16"/>
      <c r="J1317" s="16"/>
      <c r="O1317" s="16"/>
    </row>
    <row r="1318" spans="3:15" x14ac:dyDescent="0.3">
      <c r="C1318" s="16"/>
      <c r="D1318" s="16"/>
      <c r="J1318" s="16"/>
      <c r="O1318" s="16"/>
    </row>
    <row r="1319" spans="3:15" x14ac:dyDescent="0.3">
      <c r="C1319" s="16"/>
      <c r="D1319" s="16"/>
      <c r="J1319" s="16"/>
      <c r="O1319" s="16"/>
    </row>
    <row r="1320" spans="3:15" x14ac:dyDescent="0.3">
      <c r="C1320" s="16"/>
      <c r="D1320" s="16"/>
      <c r="J1320" s="16"/>
      <c r="O1320" s="16"/>
    </row>
    <row r="1321" spans="3:15" x14ac:dyDescent="0.3">
      <c r="C1321" s="16"/>
      <c r="D1321" s="16"/>
      <c r="J1321" s="16"/>
      <c r="O1321" s="16"/>
    </row>
    <row r="1322" spans="3:15" x14ac:dyDescent="0.3">
      <c r="C1322" s="16"/>
      <c r="D1322" s="16"/>
      <c r="J1322" s="16"/>
      <c r="O1322" s="16"/>
    </row>
    <row r="1323" spans="3:15" x14ac:dyDescent="0.3">
      <c r="C1323" s="16"/>
      <c r="D1323" s="16"/>
      <c r="J1323" s="16"/>
      <c r="O1323" s="16"/>
    </row>
    <row r="1324" spans="3:15" x14ac:dyDescent="0.3">
      <c r="C1324" s="16"/>
      <c r="D1324" s="16"/>
      <c r="J1324" s="16"/>
      <c r="O1324" s="16"/>
    </row>
    <row r="1325" spans="3:15" x14ac:dyDescent="0.3">
      <c r="C1325" s="16"/>
      <c r="D1325" s="16"/>
      <c r="J1325" s="16"/>
      <c r="O1325" s="16"/>
    </row>
    <row r="1326" spans="3:15" x14ac:dyDescent="0.3">
      <c r="C1326" s="16"/>
      <c r="D1326" s="16"/>
      <c r="J1326" s="16"/>
      <c r="O1326" s="16"/>
    </row>
    <row r="1327" spans="3:15" x14ac:dyDescent="0.3">
      <c r="C1327" s="16"/>
      <c r="D1327" s="16"/>
      <c r="J1327" s="16"/>
      <c r="O1327" s="16"/>
    </row>
    <row r="1328" spans="3:15" x14ac:dyDescent="0.3">
      <c r="C1328" s="16"/>
      <c r="D1328" s="16"/>
      <c r="J1328" s="16"/>
      <c r="O1328" s="16"/>
    </row>
    <row r="1329" spans="3:15" x14ac:dyDescent="0.3">
      <c r="C1329" s="16"/>
      <c r="D1329" s="16"/>
      <c r="J1329" s="16"/>
      <c r="O1329" s="16"/>
    </row>
    <row r="1330" spans="3:15" x14ac:dyDescent="0.3">
      <c r="C1330" s="16"/>
      <c r="D1330" s="16"/>
      <c r="J1330" s="16"/>
      <c r="O1330" s="16"/>
    </row>
    <row r="1331" spans="3:15" x14ac:dyDescent="0.3">
      <c r="C1331" s="16"/>
      <c r="D1331" s="16"/>
      <c r="J1331" s="16"/>
      <c r="O1331" s="16"/>
    </row>
    <row r="1332" spans="3:15" x14ac:dyDescent="0.3">
      <c r="C1332" s="16"/>
      <c r="D1332" s="16"/>
      <c r="J1332" s="16"/>
      <c r="O1332" s="16"/>
    </row>
    <row r="1333" spans="3:15" x14ac:dyDescent="0.3">
      <c r="C1333" s="16"/>
      <c r="D1333" s="16"/>
      <c r="J1333" s="16"/>
      <c r="O1333" s="16"/>
    </row>
    <row r="1334" spans="3:15" x14ac:dyDescent="0.3">
      <c r="C1334" s="16"/>
      <c r="D1334" s="16"/>
      <c r="J1334" s="16"/>
      <c r="O1334" s="16"/>
    </row>
    <row r="1335" spans="3:15" x14ac:dyDescent="0.3">
      <c r="C1335" s="16"/>
      <c r="D1335" s="16"/>
      <c r="J1335" s="16"/>
      <c r="O1335" s="16"/>
    </row>
    <row r="1336" spans="3:15" x14ac:dyDescent="0.3">
      <c r="C1336" s="16"/>
      <c r="D1336" s="16"/>
      <c r="J1336" s="16"/>
      <c r="O1336" s="16"/>
    </row>
    <row r="1337" spans="3:15" x14ac:dyDescent="0.3">
      <c r="C1337" s="16"/>
      <c r="D1337" s="16"/>
      <c r="J1337" s="16"/>
      <c r="O1337" s="16"/>
    </row>
    <row r="1338" spans="3:15" x14ac:dyDescent="0.3">
      <c r="C1338" s="16"/>
      <c r="D1338" s="16"/>
      <c r="J1338" s="16"/>
      <c r="O1338" s="16"/>
    </row>
    <row r="1339" spans="3:15" x14ac:dyDescent="0.3">
      <c r="C1339" s="16"/>
      <c r="D1339" s="16"/>
      <c r="J1339" s="16"/>
      <c r="O1339" s="16"/>
    </row>
    <row r="1340" spans="3:15" x14ac:dyDescent="0.3">
      <c r="C1340" s="16"/>
      <c r="D1340" s="16"/>
      <c r="J1340" s="16"/>
      <c r="O1340" s="16"/>
    </row>
    <row r="1341" spans="3:15" x14ac:dyDescent="0.3">
      <c r="C1341" s="16"/>
      <c r="D1341" s="16"/>
      <c r="J1341" s="16"/>
      <c r="O1341" s="16"/>
    </row>
    <row r="1342" spans="3:15" x14ac:dyDescent="0.3">
      <c r="C1342" s="16"/>
      <c r="D1342" s="16"/>
      <c r="J1342" s="16"/>
      <c r="O1342" s="16"/>
    </row>
    <row r="1343" spans="3:15" x14ac:dyDescent="0.3">
      <c r="C1343" s="16"/>
      <c r="D1343" s="16"/>
      <c r="J1343" s="16"/>
      <c r="O1343" s="16"/>
    </row>
    <row r="1344" spans="3:15" x14ac:dyDescent="0.3">
      <c r="C1344" s="16"/>
      <c r="D1344" s="16"/>
      <c r="J1344" s="16"/>
      <c r="O1344" s="16"/>
    </row>
    <row r="1345" spans="3:15" x14ac:dyDescent="0.3">
      <c r="C1345" s="16"/>
      <c r="D1345" s="16"/>
      <c r="J1345" s="16"/>
      <c r="O1345" s="16"/>
    </row>
    <row r="1346" spans="3:15" x14ac:dyDescent="0.3">
      <c r="C1346" s="16"/>
      <c r="D1346" s="16"/>
      <c r="J1346" s="16"/>
      <c r="O1346" s="16"/>
    </row>
    <row r="1347" spans="3:15" x14ac:dyDescent="0.3">
      <c r="C1347" s="16"/>
      <c r="D1347" s="16"/>
      <c r="J1347" s="16"/>
      <c r="O1347" s="16"/>
    </row>
    <row r="1348" spans="3:15" x14ac:dyDescent="0.3">
      <c r="C1348" s="16"/>
      <c r="D1348" s="16"/>
      <c r="J1348" s="16"/>
      <c r="O1348" s="16"/>
    </row>
    <row r="1349" spans="3:15" x14ac:dyDescent="0.3">
      <c r="C1349" s="16"/>
      <c r="D1349" s="16"/>
      <c r="J1349" s="16"/>
      <c r="O1349" s="16"/>
    </row>
    <row r="1350" spans="3:15" x14ac:dyDescent="0.3">
      <c r="C1350" s="16"/>
      <c r="D1350" s="16"/>
      <c r="J1350" s="16"/>
      <c r="O1350" s="16"/>
    </row>
    <row r="1351" spans="3:15" x14ac:dyDescent="0.3">
      <c r="C1351" s="16"/>
      <c r="D1351" s="16"/>
      <c r="J1351" s="16"/>
      <c r="O1351" s="16"/>
    </row>
    <row r="1352" spans="3:15" x14ac:dyDescent="0.3">
      <c r="C1352" s="16"/>
      <c r="D1352" s="16"/>
      <c r="J1352" s="16"/>
      <c r="O1352" s="16"/>
    </row>
    <row r="1353" spans="3:15" x14ac:dyDescent="0.3">
      <c r="C1353" s="16"/>
      <c r="D1353" s="16"/>
      <c r="J1353" s="16"/>
      <c r="O1353" s="16"/>
    </row>
    <row r="1354" spans="3:15" x14ac:dyDescent="0.3">
      <c r="C1354" s="16"/>
      <c r="D1354" s="16"/>
      <c r="J1354" s="16"/>
      <c r="O1354" s="16"/>
    </row>
    <row r="1355" spans="3:15" x14ac:dyDescent="0.3">
      <c r="C1355" s="16"/>
      <c r="D1355" s="16"/>
      <c r="J1355" s="16"/>
      <c r="O1355" s="16"/>
    </row>
    <row r="1356" spans="3:15" x14ac:dyDescent="0.3">
      <c r="C1356" s="16"/>
      <c r="D1356" s="16"/>
      <c r="J1356" s="16"/>
      <c r="O1356" s="16"/>
    </row>
    <row r="1357" spans="3:15" x14ac:dyDescent="0.3">
      <c r="C1357" s="16"/>
      <c r="D1357" s="16"/>
      <c r="J1357" s="16"/>
      <c r="O1357" s="16"/>
    </row>
    <row r="1358" spans="3:15" x14ac:dyDescent="0.3">
      <c r="C1358" s="16"/>
      <c r="D1358" s="16"/>
      <c r="J1358" s="16"/>
      <c r="O1358" s="16"/>
    </row>
    <row r="1359" spans="3:15" x14ac:dyDescent="0.3">
      <c r="C1359" s="16"/>
      <c r="D1359" s="16"/>
      <c r="J1359" s="16"/>
      <c r="O1359" s="16"/>
    </row>
    <row r="1360" spans="3:15" x14ac:dyDescent="0.3">
      <c r="C1360" s="16"/>
      <c r="D1360" s="16"/>
      <c r="J1360" s="16"/>
      <c r="O1360" s="16"/>
    </row>
    <row r="1361" spans="3:15" x14ac:dyDescent="0.3">
      <c r="C1361" s="16"/>
      <c r="D1361" s="16"/>
      <c r="J1361" s="16"/>
      <c r="O1361" s="16"/>
    </row>
    <row r="1362" spans="3:15" x14ac:dyDescent="0.3">
      <c r="C1362" s="16"/>
      <c r="D1362" s="16"/>
      <c r="J1362" s="16"/>
      <c r="O1362" s="16"/>
    </row>
    <row r="1363" spans="3:15" x14ac:dyDescent="0.3">
      <c r="C1363" s="16"/>
      <c r="D1363" s="16"/>
      <c r="J1363" s="16"/>
      <c r="O1363" s="16"/>
    </row>
    <row r="1364" spans="3:15" x14ac:dyDescent="0.3">
      <c r="C1364" s="16"/>
      <c r="D1364" s="16"/>
      <c r="J1364" s="16"/>
      <c r="O1364" s="16"/>
    </row>
    <row r="1365" spans="3:15" x14ac:dyDescent="0.3">
      <c r="C1365" s="16"/>
      <c r="D1365" s="16"/>
      <c r="J1365" s="16"/>
      <c r="O1365" s="16"/>
    </row>
    <row r="1366" spans="3:15" x14ac:dyDescent="0.3">
      <c r="C1366" s="16"/>
      <c r="D1366" s="16"/>
      <c r="J1366" s="16"/>
      <c r="O1366" s="16"/>
    </row>
    <row r="1367" spans="3:15" x14ac:dyDescent="0.3">
      <c r="C1367" s="16"/>
      <c r="D1367" s="16"/>
      <c r="J1367" s="16"/>
      <c r="O1367" s="16"/>
    </row>
    <row r="1368" spans="3:15" x14ac:dyDescent="0.3">
      <c r="C1368" s="16"/>
      <c r="D1368" s="16"/>
      <c r="J1368" s="16"/>
      <c r="O1368" s="16"/>
    </row>
    <row r="1369" spans="3:15" x14ac:dyDescent="0.3">
      <c r="C1369" s="16"/>
      <c r="D1369" s="16"/>
      <c r="J1369" s="16"/>
      <c r="O1369" s="16"/>
    </row>
    <row r="1370" spans="3:15" x14ac:dyDescent="0.3">
      <c r="C1370" s="16"/>
      <c r="D1370" s="16"/>
      <c r="J1370" s="16"/>
      <c r="O1370" s="16"/>
    </row>
    <row r="1371" spans="3:15" x14ac:dyDescent="0.3">
      <c r="C1371" s="16"/>
      <c r="D1371" s="16"/>
      <c r="J1371" s="16"/>
      <c r="O1371" s="16"/>
    </row>
    <row r="1372" spans="3:15" x14ac:dyDescent="0.3">
      <c r="C1372" s="16"/>
      <c r="D1372" s="16"/>
      <c r="J1372" s="16"/>
      <c r="O1372" s="16"/>
    </row>
    <row r="1373" spans="3:15" x14ac:dyDescent="0.3">
      <c r="C1373" s="16"/>
      <c r="D1373" s="16"/>
      <c r="J1373" s="16"/>
      <c r="O1373" s="16"/>
    </row>
    <row r="1374" spans="3:15" x14ac:dyDescent="0.3">
      <c r="C1374" s="16"/>
      <c r="D1374" s="16"/>
      <c r="J1374" s="16"/>
      <c r="O1374" s="16"/>
    </row>
    <row r="1375" spans="3:15" x14ac:dyDescent="0.3">
      <c r="C1375" s="16"/>
      <c r="D1375" s="16"/>
      <c r="J1375" s="16"/>
      <c r="O1375" s="16"/>
    </row>
    <row r="1376" spans="3:15" x14ac:dyDescent="0.3">
      <c r="C1376" s="16"/>
      <c r="D1376" s="16"/>
      <c r="J1376" s="16"/>
      <c r="O1376" s="16"/>
    </row>
    <row r="1377" spans="3:15" x14ac:dyDescent="0.3">
      <c r="C1377" s="16"/>
      <c r="D1377" s="16"/>
      <c r="J1377" s="16"/>
      <c r="O1377" s="16"/>
    </row>
    <row r="1378" spans="3:15" x14ac:dyDescent="0.3">
      <c r="C1378" s="16"/>
      <c r="D1378" s="16"/>
      <c r="J1378" s="16"/>
      <c r="O1378" s="16"/>
    </row>
    <row r="1379" spans="3:15" x14ac:dyDescent="0.3">
      <c r="C1379" s="16"/>
      <c r="D1379" s="16"/>
      <c r="J1379" s="16"/>
      <c r="O1379" s="16"/>
    </row>
    <row r="1380" spans="3:15" x14ac:dyDescent="0.3">
      <c r="C1380" s="16"/>
      <c r="D1380" s="16"/>
      <c r="J1380" s="16"/>
      <c r="O1380" s="16"/>
    </row>
    <row r="1381" spans="3:15" x14ac:dyDescent="0.3">
      <c r="C1381" s="16"/>
      <c r="D1381" s="16"/>
      <c r="J1381" s="16"/>
      <c r="O1381" s="16"/>
    </row>
    <row r="1382" spans="3:15" x14ac:dyDescent="0.3">
      <c r="C1382" s="16"/>
      <c r="D1382" s="16"/>
      <c r="J1382" s="16"/>
      <c r="O1382" s="16"/>
    </row>
    <row r="1383" spans="3:15" x14ac:dyDescent="0.3">
      <c r="C1383" s="16"/>
      <c r="D1383" s="16"/>
      <c r="J1383" s="16"/>
      <c r="O1383" s="16"/>
    </row>
    <row r="1384" spans="3:15" x14ac:dyDescent="0.3">
      <c r="C1384" s="16"/>
      <c r="D1384" s="16"/>
      <c r="J1384" s="16"/>
      <c r="O1384" s="16"/>
    </row>
    <row r="1385" spans="3:15" x14ac:dyDescent="0.3">
      <c r="C1385" s="16"/>
      <c r="D1385" s="16"/>
      <c r="J1385" s="16"/>
      <c r="O1385" s="16"/>
    </row>
    <row r="1386" spans="3:15" x14ac:dyDescent="0.3">
      <c r="C1386" s="16"/>
      <c r="D1386" s="16"/>
      <c r="J1386" s="16"/>
      <c r="O1386" s="16"/>
    </row>
    <row r="1387" spans="3:15" x14ac:dyDescent="0.3">
      <c r="C1387" s="16"/>
      <c r="D1387" s="16"/>
      <c r="J1387" s="16"/>
      <c r="O1387" s="16"/>
    </row>
    <row r="1388" spans="3:15" x14ac:dyDescent="0.3">
      <c r="C1388" s="16"/>
      <c r="D1388" s="16"/>
      <c r="J1388" s="16"/>
      <c r="O1388" s="16"/>
    </row>
    <row r="1389" spans="3:15" x14ac:dyDescent="0.3">
      <c r="C1389" s="16"/>
      <c r="D1389" s="16"/>
      <c r="J1389" s="16"/>
      <c r="O1389" s="16"/>
    </row>
    <row r="1390" spans="3:15" x14ac:dyDescent="0.3">
      <c r="C1390" s="16"/>
      <c r="D1390" s="16"/>
      <c r="J1390" s="16"/>
      <c r="O1390" s="16"/>
    </row>
    <row r="1391" spans="3:15" x14ac:dyDescent="0.3">
      <c r="C1391" s="16"/>
      <c r="D1391" s="16"/>
      <c r="J1391" s="16"/>
      <c r="O1391" s="16"/>
    </row>
    <row r="1392" spans="3:15" x14ac:dyDescent="0.3">
      <c r="C1392" s="16"/>
      <c r="D1392" s="16"/>
      <c r="J1392" s="16"/>
      <c r="O1392" s="16"/>
    </row>
    <row r="1393" spans="3:15" x14ac:dyDescent="0.3">
      <c r="C1393" s="16"/>
      <c r="D1393" s="16"/>
      <c r="J1393" s="16"/>
      <c r="O1393" s="16"/>
    </row>
    <row r="1394" spans="3:15" x14ac:dyDescent="0.3">
      <c r="C1394" s="16"/>
      <c r="D1394" s="16"/>
      <c r="J1394" s="16"/>
      <c r="O1394" s="16"/>
    </row>
    <row r="1395" spans="3:15" x14ac:dyDescent="0.3">
      <c r="C1395" s="16"/>
      <c r="D1395" s="16"/>
      <c r="J1395" s="16"/>
      <c r="O1395" s="16"/>
    </row>
    <row r="1396" spans="3:15" x14ac:dyDescent="0.3">
      <c r="C1396" s="16"/>
      <c r="D1396" s="16"/>
      <c r="J1396" s="16"/>
      <c r="O1396" s="16"/>
    </row>
    <row r="1397" spans="3:15" x14ac:dyDescent="0.3">
      <c r="C1397" s="16"/>
      <c r="D1397" s="16"/>
      <c r="J1397" s="16"/>
      <c r="O1397" s="16"/>
    </row>
    <row r="1398" spans="3:15" x14ac:dyDescent="0.3">
      <c r="C1398" s="16"/>
      <c r="D1398" s="16"/>
      <c r="J1398" s="16"/>
      <c r="O1398" s="16"/>
    </row>
    <row r="1399" spans="3:15" x14ac:dyDescent="0.3">
      <c r="C1399" s="16"/>
      <c r="D1399" s="16"/>
      <c r="J1399" s="16"/>
      <c r="O1399" s="16"/>
    </row>
    <row r="1400" spans="3:15" x14ac:dyDescent="0.3">
      <c r="C1400" s="16"/>
      <c r="D1400" s="16"/>
      <c r="J1400" s="16"/>
      <c r="O1400" s="16"/>
    </row>
    <row r="1401" spans="3:15" x14ac:dyDescent="0.3">
      <c r="C1401" s="16"/>
      <c r="D1401" s="16"/>
      <c r="J1401" s="16"/>
      <c r="O1401" s="16"/>
    </row>
    <row r="1402" spans="3:15" x14ac:dyDescent="0.3">
      <c r="C1402" s="16"/>
      <c r="D1402" s="16"/>
      <c r="J1402" s="16"/>
      <c r="O1402" s="16"/>
    </row>
    <row r="1403" spans="3:15" x14ac:dyDescent="0.3">
      <c r="C1403" s="16"/>
      <c r="D1403" s="16"/>
      <c r="J1403" s="16"/>
      <c r="O1403" s="16"/>
    </row>
    <row r="1404" spans="3:15" x14ac:dyDescent="0.3">
      <c r="C1404" s="16"/>
      <c r="D1404" s="16"/>
      <c r="J1404" s="16"/>
      <c r="O1404" s="16"/>
    </row>
    <row r="1405" spans="3:15" x14ac:dyDescent="0.3">
      <c r="C1405" s="16"/>
      <c r="D1405" s="16"/>
      <c r="J1405" s="16"/>
      <c r="O1405" s="16"/>
    </row>
    <row r="1406" spans="3:15" x14ac:dyDescent="0.3">
      <c r="C1406" s="16"/>
      <c r="D1406" s="16"/>
      <c r="J1406" s="16"/>
      <c r="O1406" s="16"/>
    </row>
    <row r="1407" spans="3:15" x14ac:dyDescent="0.3">
      <c r="C1407" s="16"/>
      <c r="D1407" s="16"/>
      <c r="J1407" s="16"/>
      <c r="O1407" s="16"/>
    </row>
    <row r="1408" spans="3:15" x14ac:dyDescent="0.3">
      <c r="C1408" s="16"/>
      <c r="D1408" s="16"/>
      <c r="J1408" s="16"/>
      <c r="O1408" s="16"/>
    </row>
    <row r="1409" spans="3:15" x14ac:dyDescent="0.3">
      <c r="C1409" s="16"/>
      <c r="D1409" s="16"/>
      <c r="J1409" s="16"/>
      <c r="O1409" s="16"/>
    </row>
    <row r="1410" spans="3:15" x14ac:dyDescent="0.3">
      <c r="C1410" s="16"/>
      <c r="D1410" s="16"/>
      <c r="J1410" s="16"/>
      <c r="O1410" s="16"/>
    </row>
    <row r="1411" spans="3:15" x14ac:dyDescent="0.3">
      <c r="C1411" s="16"/>
      <c r="D1411" s="16"/>
      <c r="J1411" s="16"/>
      <c r="O1411" s="16"/>
    </row>
    <row r="1412" spans="3:15" x14ac:dyDescent="0.3">
      <c r="C1412" s="16"/>
      <c r="D1412" s="16"/>
      <c r="J1412" s="16"/>
      <c r="O1412" s="16"/>
    </row>
    <row r="1413" spans="3:15" x14ac:dyDescent="0.3">
      <c r="C1413" s="16"/>
      <c r="D1413" s="16"/>
      <c r="J1413" s="16"/>
      <c r="O1413" s="16"/>
    </row>
    <row r="1414" spans="3:15" x14ac:dyDescent="0.3">
      <c r="C1414" s="16"/>
      <c r="D1414" s="16"/>
      <c r="J1414" s="16"/>
      <c r="O1414" s="16"/>
    </row>
    <row r="1415" spans="3:15" x14ac:dyDescent="0.3">
      <c r="C1415" s="16"/>
      <c r="D1415" s="16"/>
      <c r="J1415" s="16"/>
      <c r="O1415" s="16"/>
    </row>
    <row r="1416" spans="3:15" x14ac:dyDescent="0.3">
      <c r="C1416" s="16"/>
      <c r="D1416" s="16"/>
      <c r="J1416" s="16"/>
      <c r="O1416" s="16"/>
    </row>
    <row r="1417" spans="3:15" x14ac:dyDescent="0.3">
      <c r="C1417" s="16"/>
      <c r="D1417" s="16"/>
      <c r="J1417" s="16"/>
      <c r="O1417" s="16"/>
    </row>
    <row r="1418" spans="3:15" x14ac:dyDescent="0.3">
      <c r="C1418" s="16"/>
      <c r="D1418" s="16"/>
      <c r="J1418" s="16"/>
      <c r="O1418" s="16"/>
    </row>
    <row r="1419" spans="3:15" x14ac:dyDescent="0.3">
      <c r="C1419" s="16"/>
      <c r="D1419" s="16"/>
      <c r="J1419" s="16"/>
      <c r="O1419" s="16"/>
    </row>
    <row r="1420" spans="3:15" x14ac:dyDescent="0.3">
      <c r="C1420" s="16"/>
      <c r="D1420" s="16"/>
      <c r="J1420" s="16"/>
      <c r="O1420" s="16"/>
    </row>
    <row r="1421" spans="3:15" x14ac:dyDescent="0.3">
      <c r="C1421" s="16"/>
      <c r="D1421" s="16"/>
      <c r="J1421" s="16"/>
      <c r="O1421" s="16"/>
    </row>
    <row r="1422" spans="3:15" x14ac:dyDescent="0.3">
      <c r="C1422" s="16"/>
      <c r="D1422" s="16"/>
      <c r="J1422" s="16"/>
      <c r="O1422" s="16"/>
    </row>
    <row r="1423" spans="3:15" x14ac:dyDescent="0.3">
      <c r="C1423" s="16"/>
      <c r="D1423" s="16"/>
      <c r="J1423" s="16"/>
      <c r="O1423" s="16"/>
    </row>
    <row r="1424" spans="3:15" x14ac:dyDescent="0.3">
      <c r="C1424" s="16"/>
      <c r="D1424" s="16"/>
      <c r="J1424" s="16"/>
      <c r="O1424" s="16"/>
    </row>
    <row r="1425" spans="3:15" x14ac:dyDescent="0.3">
      <c r="C1425" s="16"/>
      <c r="D1425" s="16"/>
      <c r="J1425" s="16"/>
      <c r="O1425" s="16"/>
    </row>
    <row r="1426" spans="3:15" x14ac:dyDescent="0.3">
      <c r="C1426" s="16"/>
      <c r="D1426" s="16"/>
      <c r="J1426" s="16"/>
      <c r="O1426" s="16"/>
    </row>
    <row r="1427" spans="3:15" x14ac:dyDescent="0.3">
      <c r="C1427" s="16"/>
      <c r="D1427" s="16"/>
      <c r="J1427" s="16"/>
      <c r="O1427" s="16"/>
    </row>
    <row r="1428" spans="3:15" x14ac:dyDescent="0.3">
      <c r="C1428" s="16"/>
      <c r="D1428" s="16"/>
      <c r="J1428" s="16"/>
      <c r="O1428" s="16"/>
    </row>
    <row r="1429" spans="3:15" x14ac:dyDescent="0.3">
      <c r="C1429" s="16"/>
      <c r="D1429" s="16"/>
      <c r="J1429" s="16"/>
      <c r="O1429" s="16"/>
    </row>
    <row r="1430" spans="3:15" x14ac:dyDescent="0.3">
      <c r="C1430" s="16"/>
      <c r="D1430" s="16"/>
      <c r="J1430" s="16"/>
      <c r="O1430" s="16"/>
    </row>
    <row r="1431" spans="3:15" x14ac:dyDescent="0.3">
      <c r="C1431" s="16"/>
      <c r="D1431" s="16"/>
      <c r="J1431" s="16"/>
      <c r="O1431" s="16"/>
    </row>
    <row r="1432" spans="3:15" x14ac:dyDescent="0.3">
      <c r="C1432" s="16"/>
      <c r="D1432" s="16"/>
      <c r="J1432" s="16"/>
      <c r="O1432" s="16"/>
    </row>
    <row r="1433" spans="3:15" x14ac:dyDescent="0.3">
      <c r="C1433" s="16"/>
      <c r="D1433" s="16"/>
      <c r="J1433" s="16"/>
      <c r="O1433" s="16"/>
    </row>
    <row r="1434" spans="3:15" x14ac:dyDescent="0.3">
      <c r="C1434" s="16"/>
      <c r="D1434" s="16"/>
      <c r="J1434" s="16"/>
      <c r="O1434" s="16"/>
    </row>
    <row r="1435" spans="3:15" x14ac:dyDescent="0.3">
      <c r="C1435" s="16"/>
      <c r="D1435" s="16"/>
      <c r="J1435" s="16"/>
      <c r="O1435" s="16"/>
    </row>
    <row r="1436" spans="3:15" x14ac:dyDescent="0.3">
      <c r="C1436" s="16"/>
      <c r="D1436" s="16"/>
      <c r="J1436" s="16"/>
      <c r="O1436" s="16"/>
    </row>
    <row r="1437" spans="3:15" x14ac:dyDescent="0.3">
      <c r="C1437" s="16"/>
      <c r="D1437" s="16"/>
      <c r="J1437" s="16"/>
      <c r="O1437" s="16"/>
    </row>
    <row r="1438" spans="3:15" x14ac:dyDescent="0.3">
      <c r="C1438" s="16"/>
      <c r="D1438" s="16"/>
      <c r="J1438" s="16"/>
      <c r="O1438" s="16"/>
    </row>
    <row r="1439" spans="3:15" x14ac:dyDescent="0.3">
      <c r="C1439" s="16"/>
      <c r="D1439" s="16"/>
      <c r="J1439" s="16"/>
      <c r="O1439" s="16"/>
    </row>
    <row r="1440" spans="3:15" x14ac:dyDescent="0.3">
      <c r="C1440" s="16"/>
      <c r="D1440" s="16"/>
      <c r="J1440" s="16"/>
      <c r="O1440" s="16"/>
    </row>
    <row r="1441" spans="3:15" x14ac:dyDescent="0.3">
      <c r="C1441" s="16"/>
      <c r="D1441" s="16"/>
      <c r="J1441" s="16"/>
      <c r="O1441" s="16"/>
    </row>
    <row r="1442" spans="3:15" x14ac:dyDescent="0.3">
      <c r="C1442" s="16"/>
      <c r="D1442" s="16"/>
      <c r="J1442" s="16"/>
      <c r="O1442" s="16"/>
    </row>
    <row r="1443" spans="3:15" x14ac:dyDescent="0.3">
      <c r="C1443" s="16"/>
      <c r="D1443" s="16"/>
      <c r="J1443" s="16"/>
      <c r="O1443" s="16"/>
    </row>
    <row r="1444" spans="3:15" x14ac:dyDescent="0.3">
      <c r="C1444" s="16"/>
      <c r="D1444" s="16"/>
      <c r="J1444" s="16"/>
      <c r="O1444" s="16"/>
    </row>
    <row r="1445" spans="3:15" x14ac:dyDescent="0.3">
      <c r="C1445" s="16"/>
      <c r="D1445" s="16"/>
      <c r="J1445" s="16"/>
      <c r="O1445" s="16"/>
    </row>
    <row r="1446" spans="3:15" x14ac:dyDescent="0.3">
      <c r="C1446" s="16"/>
      <c r="D1446" s="16"/>
      <c r="J1446" s="16"/>
      <c r="O1446" s="16"/>
    </row>
    <row r="1447" spans="3:15" x14ac:dyDescent="0.3">
      <c r="C1447" s="16"/>
      <c r="D1447" s="16"/>
      <c r="J1447" s="16"/>
      <c r="O1447" s="16"/>
    </row>
    <row r="1448" spans="3:15" x14ac:dyDescent="0.3">
      <c r="C1448" s="16"/>
      <c r="D1448" s="16"/>
      <c r="J1448" s="16"/>
      <c r="O1448" s="16"/>
    </row>
    <row r="1449" spans="3:15" x14ac:dyDescent="0.3">
      <c r="C1449" s="16"/>
      <c r="D1449" s="16"/>
      <c r="J1449" s="16"/>
      <c r="O1449" s="16"/>
    </row>
    <row r="1450" spans="3:15" x14ac:dyDescent="0.3">
      <c r="C1450" s="16"/>
      <c r="D1450" s="16"/>
      <c r="J1450" s="16"/>
      <c r="O1450" s="16"/>
    </row>
    <row r="1451" spans="3:15" x14ac:dyDescent="0.3">
      <c r="C1451" s="16"/>
      <c r="D1451" s="16"/>
      <c r="J1451" s="16"/>
      <c r="O1451" s="16"/>
    </row>
    <row r="1452" spans="3:15" x14ac:dyDescent="0.3">
      <c r="C1452" s="16"/>
      <c r="D1452" s="16"/>
      <c r="J1452" s="16"/>
      <c r="O1452" s="16"/>
    </row>
    <row r="1453" spans="3:15" x14ac:dyDescent="0.3">
      <c r="C1453" s="16"/>
      <c r="D1453" s="16"/>
      <c r="J1453" s="16"/>
      <c r="O1453" s="16"/>
    </row>
    <row r="1454" spans="3:15" x14ac:dyDescent="0.3">
      <c r="C1454" s="16"/>
      <c r="D1454" s="16"/>
      <c r="J1454" s="16"/>
      <c r="O1454" s="16"/>
    </row>
    <row r="1455" spans="3:15" x14ac:dyDescent="0.3">
      <c r="C1455" s="16"/>
      <c r="D1455" s="16"/>
      <c r="J1455" s="16"/>
      <c r="O1455" s="16"/>
    </row>
    <row r="1456" spans="3:15" x14ac:dyDescent="0.3">
      <c r="C1456" s="16"/>
      <c r="D1456" s="16"/>
      <c r="J1456" s="16"/>
      <c r="O1456" s="16"/>
    </row>
    <row r="1457" spans="3:15" x14ac:dyDescent="0.3">
      <c r="C1457" s="16"/>
      <c r="D1457" s="16"/>
      <c r="J1457" s="16"/>
      <c r="O1457" s="16"/>
    </row>
    <row r="1458" spans="3:15" x14ac:dyDescent="0.3">
      <c r="C1458" s="16"/>
      <c r="D1458" s="16"/>
      <c r="J1458" s="16"/>
      <c r="O1458" s="16"/>
    </row>
    <row r="1459" spans="3:15" x14ac:dyDescent="0.3">
      <c r="C1459" s="16"/>
      <c r="D1459" s="16"/>
      <c r="J1459" s="16"/>
      <c r="O1459" s="16"/>
    </row>
    <row r="1460" spans="3:15" x14ac:dyDescent="0.3">
      <c r="C1460" s="16"/>
      <c r="D1460" s="16"/>
      <c r="J1460" s="16"/>
      <c r="O1460" s="16"/>
    </row>
    <row r="1461" spans="3:15" x14ac:dyDescent="0.3">
      <c r="C1461" s="16"/>
      <c r="D1461" s="16"/>
      <c r="J1461" s="16"/>
      <c r="O1461" s="16"/>
    </row>
    <row r="1462" spans="3:15" x14ac:dyDescent="0.3">
      <c r="C1462" s="16"/>
      <c r="D1462" s="16"/>
      <c r="J1462" s="16"/>
      <c r="O1462" s="16"/>
    </row>
    <row r="1463" spans="3:15" x14ac:dyDescent="0.3">
      <c r="C1463" s="16"/>
      <c r="D1463" s="16"/>
      <c r="J1463" s="16"/>
      <c r="O1463" s="16"/>
    </row>
    <row r="1464" spans="3:15" x14ac:dyDescent="0.3">
      <c r="C1464" s="16"/>
      <c r="D1464" s="16"/>
      <c r="J1464" s="16"/>
      <c r="O1464" s="16"/>
    </row>
    <row r="1465" spans="3:15" x14ac:dyDescent="0.3">
      <c r="C1465" s="16"/>
      <c r="D1465" s="16"/>
      <c r="J1465" s="16"/>
      <c r="O1465" s="16"/>
    </row>
    <row r="1466" spans="3:15" x14ac:dyDescent="0.3">
      <c r="C1466" s="16"/>
      <c r="D1466" s="16"/>
      <c r="J1466" s="16"/>
      <c r="O1466" s="16"/>
    </row>
    <row r="1467" spans="3:15" x14ac:dyDescent="0.3">
      <c r="C1467" s="16"/>
      <c r="D1467" s="16"/>
      <c r="J1467" s="16"/>
      <c r="O1467" s="16"/>
    </row>
    <row r="1468" spans="3:15" x14ac:dyDescent="0.3">
      <c r="C1468" s="16"/>
      <c r="D1468" s="16"/>
      <c r="J1468" s="16"/>
      <c r="O1468" s="16"/>
    </row>
    <row r="1469" spans="3:15" x14ac:dyDescent="0.3">
      <c r="C1469" s="16"/>
      <c r="D1469" s="16"/>
      <c r="J1469" s="16"/>
      <c r="O1469" s="16"/>
    </row>
    <row r="1470" spans="3:15" x14ac:dyDescent="0.3">
      <c r="C1470" s="16"/>
      <c r="D1470" s="16"/>
      <c r="J1470" s="16"/>
      <c r="O1470" s="16"/>
    </row>
    <row r="1471" spans="3:15" x14ac:dyDescent="0.3">
      <c r="C1471" s="16"/>
      <c r="D1471" s="16"/>
      <c r="J1471" s="16"/>
      <c r="O1471" s="16"/>
    </row>
    <row r="1472" spans="3:15" x14ac:dyDescent="0.3">
      <c r="C1472" s="16"/>
      <c r="D1472" s="16"/>
      <c r="J1472" s="16"/>
      <c r="O1472" s="16"/>
    </row>
    <row r="1473" spans="3:15" x14ac:dyDescent="0.3">
      <c r="C1473" s="16"/>
      <c r="D1473" s="16"/>
      <c r="J1473" s="16"/>
      <c r="O1473" s="16"/>
    </row>
    <row r="1474" spans="3:15" x14ac:dyDescent="0.3">
      <c r="C1474" s="16"/>
      <c r="D1474" s="16"/>
      <c r="J1474" s="16"/>
      <c r="O1474" s="16"/>
    </row>
    <row r="1475" spans="3:15" x14ac:dyDescent="0.3">
      <c r="C1475" s="16"/>
      <c r="D1475" s="16"/>
      <c r="J1475" s="16"/>
      <c r="O1475" s="16"/>
    </row>
    <row r="1476" spans="3:15" x14ac:dyDescent="0.3">
      <c r="C1476" s="16"/>
      <c r="D1476" s="16"/>
      <c r="J1476" s="16"/>
      <c r="O1476" s="16"/>
    </row>
    <row r="1477" spans="3:15" x14ac:dyDescent="0.3">
      <c r="C1477" s="16"/>
      <c r="D1477" s="16"/>
      <c r="J1477" s="16"/>
      <c r="O1477" s="16"/>
    </row>
    <row r="1478" spans="3:15" x14ac:dyDescent="0.3">
      <c r="C1478" s="16"/>
      <c r="D1478" s="16"/>
      <c r="J1478" s="16"/>
      <c r="O1478" s="16"/>
    </row>
    <row r="1479" spans="3:15" x14ac:dyDescent="0.3">
      <c r="C1479" s="16"/>
      <c r="D1479" s="16"/>
      <c r="J1479" s="16"/>
      <c r="O1479" s="16"/>
    </row>
    <row r="1480" spans="3:15" x14ac:dyDescent="0.3">
      <c r="C1480" s="16"/>
      <c r="D1480" s="16"/>
      <c r="J1480" s="16"/>
      <c r="O1480" s="16"/>
    </row>
    <row r="1481" spans="3:15" x14ac:dyDescent="0.3">
      <c r="C1481" s="16"/>
      <c r="D1481" s="16"/>
      <c r="J1481" s="16"/>
      <c r="O1481" s="16"/>
    </row>
    <row r="1482" spans="3:15" x14ac:dyDescent="0.3">
      <c r="C1482" s="16"/>
      <c r="D1482" s="16"/>
      <c r="J1482" s="16"/>
      <c r="O1482" s="16"/>
    </row>
    <row r="1483" spans="3:15" x14ac:dyDescent="0.3">
      <c r="C1483" s="16"/>
      <c r="D1483" s="16"/>
      <c r="J1483" s="16"/>
      <c r="O1483" s="16"/>
    </row>
    <row r="1484" spans="3:15" x14ac:dyDescent="0.3">
      <c r="C1484" s="16"/>
      <c r="D1484" s="16"/>
      <c r="J1484" s="16"/>
      <c r="O1484" s="16"/>
    </row>
    <row r="1485" spans="3:15" x14ac:dyDescent="0.3">
      <c r="C1485" s="16"/>
      <c r="D1485" s="16"/>
      <c r="J1485" s="16"/>
      <c r="O1485" s="16"/>
    </row>
    <row r="1486" spans="3:15" x14ac:dyDescent="0.3">
      <c r="C1486" s="16"/>
      <c r="D1486" s="16"/>
      <c r="J1486" s="16"/>
      <c r="O1486" s="16"/>
    </row>
    <row r="1487" spans="3:15" x14ac:dyDescent="0.3">
      <c r="C1487" s="16"/>
      <c r="D1487" s="16"/>
      <c r="J1487" s="16"/>
      <c r="O1487" s="16"/>
    </row>
    <row r="1488" spans="3:15" x14ac:dyDescent="0.3">
      <c r="C1488" s="16"/>
      <c r="D1488" s="16"/>
      <c r="J1488" s="16"/>
      <c r="O1488" s="16"/>
    </row>
    <row r="1489" spans="3:15" x14ac:dyDescent="0.3">
      <c r="C1489" s="16"/>
      <c r="D1489" s="16"/>
      <c r="J1489" s="16"/>
      <c r="O1489" s="16"/>
    </row>
    <row r="1490" spans="3:15" x14ac:dyDescent="0.3">
      <c r="C1490" s="16"/>
      <c r="D1490" s="16"/>
      <c r="J1490" s="16"/>
      <c r="O1490" s="16"/>
    </row>
    <row r="1491" spans="3:15" x14ac:dyDescent="0.3">
      <c r="C1491" s="16"/>
      <c r="D1491" s="16"/>
      <c r="J1491" s="16"/>
      <c r="O1491" s="16"/>
    </row>
    <row r="1492" spans="3:15" x14ac:dyDescent="0.3">
      <c r="C1492" s="16"/>
      <c r="D1492" s="16"/>
      <c r="J1492" s="16"/>
      <c r="O1492" s="16"/>
    </row>
    <row r="1493" spans="3:15" x14ac:dyDescent="0.3">
      <c r="C1493" s="16"/>
      <c r="D1493" s="16"/>
      <c r="J1493" s="16"/>
      <c r="O1493" s="16"/>
    </row>
    <row r="1494" spans="3:15" x14ac:dyDescent="0.3">
      <c r="C1494" s="16"/>
      <c r="D1494" s="16"/>
      <c r="J1494" s="16"/>
      <c r="O1494" s="16"/>
    </row>
    <row r="1495" spans="3:15" x14ac:dyDescent="0.3">
      <c r="C1495" s="16"/>
      <c r="D1495" s="16"/>
      <c r="J1495" s="16"/>
      <c r="O1495" s="16"/>
    </row>
    <row r="1496" spans="3:15" x14ac:dyDescent="0.3">
      <c r="C1496" s="16"/>
      <c r="D1496" s="16"/>
      <c r="J1496" s="16"/>
      <c r="O1496" s="16"/>
    </row>
    <row r="1497" spans="3:15" x14ac:dyDescent="0.3">
      <c r="C1497" s="16"/>
      <c r="D1497" s="16"/>
      <c r="J1497" s="16"/>
      <c r="O1497" s="16"/>
    </row>
    <row r="1498" spans="3:15" x14ac:dyDescent="0.3">
      <c r="C1498" s="16"/>
      <c r="D1498" s="16"/>
      <c r="J1498" s="16"/>
      <c r="O1498" s="16"/>
    </row>
    <row r="1499" spans="3:15" x14ac:dyDescent="0.3">
      <c r="C1499" s="16"/>
      <c r="D1499" s="16"/>
      <c r="J1499" s="16"/>
      <c r="O1499" s="16"/>
    </row>
    <row r="1500" spans="3:15" x14ac:dyDescent="0.3">
      <c r="C1500" s="16"/>
      <c r="D1500" s="16"/>
      <c r="J1500" s="16"/>
      <c r="O1500" s="16"/>
    </row>
    <row r="1501" spans="3:15" x14ac:dyDescent="0.3">
      <c r="C1501" s="16"/>
      <c r="D1501" s="16"/>
      <c r="J1501" s="16"/>
      <c r="O1501" s="16"/>
    </row>
    <row r="1502" spans="3:15" x14ac:dyDescent="0.3">
      <c r="C1502" s="16"/>
      <c r="D1502" s="16"/>
      <c r="J1502" s="16"/>
      <c r="O1502" s="16"/>
    </row>
    <row r="1503" spans="3:15" x14ac:dyDescent="0.3">
      <c r="C1503" s="16"/>
      <c r="D1503" s="16"/>
      <c r="J1503" s="16"/>
      <c r="O1503" s="16"/>
    </row>
    <row r="1504" spans="3:15" x14ac:dyDescent="0.3">
      <c r="C1504" s="16"/>
      <c r="D1504" s="16"/>
      <c r="J1504" s="16"/>
      <c r="O1504" s="16"/>
    </row>
    <row r="1505" spans="3:15" x14ac:dyDescent="0.3">
      <c r="C1505" s="16"/>
      <c r="D1505" s="16"/>
      <c r="J1505" s="16"/>
      <c r="O1505" s="16"/>
    </row>
    <row r="1506" spans="3:15" x14ac:dyDescent="0.3">
      <c r="C1506" s="16"/>
      <c r="D1506" s="16"/>
      <c r="J1506" s="16"/>
      <c r="O1506" s="16"/>
    </row>
    <row r="1507" spans="3:15" x14ac:dyDescent="0.3">
      <c r="C1507" s="16"/>
      <c r="D1507" s="16"/>
      <c r="J1507" s="16"/>
      <c r="O1507" s="16"/>
    </row>
    <row r="1508" spans="3:15" x14ac:dyDescent="0.3">
      <c r="C1508" s="16"/>
      <c r="D1508" s="16"/>
      <c r="J1508" s="16"/>
      <c r="O1508" s="16"/>
    </row>
    <row r="1509" spans="3:15" x14ac:dyDescent="0.3">
      <c r="C1509" s="16"/>
      <c r="D1509" s="16"/>
      <c r="J1509" s="16"/>
      <c r="O1509" s="16"/>
    </row>
    <row r="1510" spans="3:15" x14ac:dyDescent="0.3">
      <c r="C1510" s="16"/>
      <c r="D1510" s="16"/>
      <c r="J1510" s="16"/>
      <c r="O1510" s="16"/>
    </row>
    <row r="1511" spans="3:15" x14ac:dyDescent="0.3">
      <c r="C1511" s="16"/>
      <c r="D1511" s="16"/>
      <c r="J1511" s="16"/>
      <c r="O1511" s="16"/>
    </row>
    <row r="1512" spans="3:15" x14ac:dyDescent="0.3">
      <c r="C1512" s="16"/>
      <c r="D1512" s="16"/>
      <c r="J1512" s="16"/>
      <c r="O1512" s="16"/>
    </row>
    <row r="1513" spans="3:15" x14ac:dyDescent="0.3">
      <c r="C1513" s="16"/>
      <c r="D1513" s="16"/>
      <c r="J1513" s="16"/>
      <c r="O1513" s="16"/>
    </row>
    <row r="1514" spans="3:15" x14ac:dyDescent="0.3">
      <c r="C1514" s="16"/>
      <c r="D1514" s="16"/>
      <c r="J1514" s="16"/>
      <c r="O1514" s="16"/>
    </row>
    <row r="1515" spans="3:15" x14ac:dyDescent="0.3">
      <c r="C1515" s="16"/>
      <c r="D1515" s="16"/>
      <c r="J1515" s="16"/>
      <c r="O1515" s="16"/>
    </row>
    <row r="1516" spans="3:15" x14ac:dyDescent="0.3">
      <c r="C1516" s="16"/>
      <c r="D1516" s="16"/>
      <c r="J1516" s="16"/>
      <c r="O1516" s="16"/>
    </row>
    <row r="1517" spans="3:15" x14ac:dyDescent="0.3">
      <c r="C1517" s="16"/>
      <c r="D1517" s="16"/>
      <c r="J1517" s="16"/>
      <c r="O1517" s="16"/>
    </row>
    <row r="1518" spans="3:15" x14ac:dyDescent="0.3">
      <c r="C1518" s="16"/>
      <c r="D1518" s="16"/>
      <c r="J1518" s="16"/>
      <c r="O1518" s="16"/>
    </row>
    <row r="1519" spans="3:15" x14ac:dyDescent="0.3">
      <c r="C1519" s="16"/>
      <c r="D1519" s="16"/>
      <c r="J1519" s="16"/>
      <c r="O1519" s="16"/>
    </row>
    <row r="1520" spans="3:15" x14ac:dyDescent="0.3">
      <c r="C1520" s="16"/>
      <c r="D1520" s="16"/>
      <c r="J1520" s="16"/>
      <c r="O1520" s="16"/>
    </row>
    <row r="1521" spans="3:15" x14ac:dyDescent="0.3">
      <c r="C1521" s="16"/>
      <c r="D1521" s="16"/>
      <c r="J1521" s="16"/>
      <c r="O1521" s="16"/>
    </row>
    <row r="1522" spans="3:15" x14ac:dyDescent="0.3">
      <c r="C1522" s="16"/>
      <c r="D1522" s="16"/>
      <c r="J1522" s="16"/>
      <c r="O1522" s="16"/>
    </row>
    <row r="1523" spans="3:15" x14ac:dyDescent="0.3">
      <c r="C1523" s="16"/>
      <c r="D1523" s="16"/>
      <c r="J1523" s="16"/>
      <c r="O1523" s="16"/>
    </row>
    <row r="1524" spans="3:15" x14ac:dyDescent="0.3">
      <c r="C1524" s="16"/>
      <c r="D1524" s="16"/>
      <c r="J1524" s="16"/>
      <c r="O1524" s="16"/>
    </row>
    <row r="1525" spans="3:15" x14ac:dyDescent="0.3">
      <c r="C1525" s="16"/>
      <c r="D1525" s="16"/>
      <c r="J1525" s="16"/>
      <c r="O1525" s="16"/>
    </row>
    <row r="1526" spans="3:15" x14ac:dyDescent="0.3">
      <c r="C1526" s="16"/>
      <c r="D1526" s="16"/>
      <c r="J1526" s="16"/>
      <c r="O1526" s="16"/>
    </row>
    <row r="1527" spans="3:15" x14ac:dyDescent="0.3">
      <c r="C1527" s="16"/>
      <c r="D1527" s="16"/>
      <c r="J1527" s="16"/>
      <c r="O1527" s="16"/>
    </row>
    <row r="1528" spans="3:15" x14ac:dyDescent="0.3">
      <c r="C1528" s="16"/>
      <c r="D1528" s="16"/>
      <c r="J1528" s="16"/>
      <c r="O1528" s="16"/>
    </row>
    <row r="1529" spans="3:15" x14ac:dyDescent="0.3">
      <c r="C1529" s="16"/>
      <c r="D1529" s="16"/>
      <c r="J1529" s="16"/>
      <c r="O1529" s="16"/>
    </row>
    <row r="1530" spans="3:15" x14ac:dyDescent="0.3">
      <c r="C1530" s="16"/>
      <c r="D1530" s="16"/>
      <c r="J1530" s="16"/>
      <c r="O1530" s="16"/>
    </row>
    <row r="1531" spans="3:15" x14ac:dyDescent="0.3">
      <c r="C1531" s="16"/>
      <c r="D1531" s="16"/>
      <c r="J1531" s="16"/>
      <c r="O1531" s="16"/>
    </row>
    <row r="1532" spans="3:15" x14ac:dyDescent="0.3">
      <c r="C1532" s="16"/>
      <c r="D1532" s="16"/>
      <c r="J1532" s="16"/>
      <c r="O1532" s="16"/>
    </row>
    <row r="1533" spans="3:15" x14ac:dyDescent="0.3">
      <c r="C1533" s="16"/>
      <c r="D1533" s="16"/>
      <c r="J1533" s="16"/>
      <c r="O1533" s="16"/>
    </row>
    <row r="1534" spans="3:15" x14ac:dyDescent="0.3">
      <c r="C1534" s="16"/>
      <c r="D1534" s="16"/>
      <c r="J1534" s="16"/>
      <c r="O1534" s="16"/>
    </row>
    <row r="1535" spans="3:15" x14ac:dyDescent="0.3">
      <c r="C1535" s="16"/>
      <c r="D1535" s="16"/>
      <c r="J1535" s="16"/>
      <c r="O1535" s="16"/>
    </row>
    <row r="1536" spans="3:15" x14ac:dyDescent="0.3">
      <c r="C1536" s="16"/>
      <c r="D1536" s="16"/>
      <c r="J1536" s="16"/>
      <c r="O1536" s="16"/>
    </row>
    <row r="1537" spans="3:15" x14ac:dyDescent="0.3">
      <c r="C1537" s="16"/>
      <c r="D1537" s="16"/>
      <c r="J1537" s="16"/>
      <c r="O1537" s="16"/>
    </row>
    <row r="1538" spans="3:15" x14ac:dyDescent="0.3">
      <c r="C1538" s="16"/>
      <c r="D1538" s="16"/>
      <c r="J1538" s="16"/>
      <c r="O1538" s="16"/>
    </row>
    <row r="1539" spans="3:15" x14ac:dyDescent="0.3">
      <c r="C1539" s="16"/>
      <c r="D1539" s="16"/>
      <c r="J1539" s="16"/>
      <c r="O1539" s="16"/>
    </row>
    <row r="1540" spans="3:15" x14ac:dyDescent="0.3">
      <c r="C1540" s="16"/>
      <c r="D1540" s="16"/>
      <c r="J1540" s="16"/>
      <c r="O1540" s="16"/>
    </row>
    <row r="1541" spans="3:15" x14ac:dyDescent="0.3">
      <c r="C1541" s="16"/>
      <c r="D1541" s="16"/>
      <c r="J1541" s="16"/>
      <c r="O1541" s="16"/>
    </row>
    <row r="1542" spans="3:15" x14ac:dyDescent="0.3">
      <c r="C1542" s="16"/>
      <c r="D1542" s="16"/>
      <c r="J1542" s="16"/>
      <c r="O1542" s="16"/>
    </row>
    <row r="1543" spans="3:15" x14ac:dyDescent="0.3">
      <c r="C1543" s="16"/>
      <c r="D1543" s="16"/>
      <c r="J1543" s="16"/>
      <c r="O1543" s="16"/>
    </row>
    <row r="1544" spans="3:15" x14ac:dyDescent="0.3">
      <c r="C1544" s="16"/>
      <c r="D1544" s="16"/>
      <c r="J1544" s="16"/>
      <c r="O1544" s="16"/>
    </row>
    <row r="1545" spans="3:15" x14ac:dyDescent="0.3">
      <c r="C1545" s="16"/>
      <c r="D1545" s="16"/>
      <c r="J1545" s="16"/>
      <c r="O1545" s="16"/>
    </row>
    <row r="1546" spans="3:15" x14ac:dyDescent="0.3">
      <c r="C1546" s="16"/>
      <c r="D1546" s="16"/>
      <c r="J1546" s="16"/>
      <c r="O1546" s="16"/>
    </row>
    <row r="1547" spans="3:15" x14ac:dyDescent="0.3">
      <c r="C1547" s="16"/>
      <c r="D1547" s="16"/>
      <c r="J1547" s="16"/>
      <c r="O1547" s="16"/>
    </row>
    <row r="1548" spans="3:15" x14ac:dyDescent="0.3">
      <c r="C1548" s="16"/>
      <c r="D1548" s="16"/>
      <c r="J1548" s="16"/>
      <c r="O1548" s="16"/>
    </row>
    <row r="1549" spans="3:15" x14ac:dyDescent="0.3">
      <c r="C1549" s="16"/>
      <c r="D1549" s="16"/>
      <c r="J1549" s="16"/>
      <c r="O1549" s="16"/>
    </row>
    <row r="1550" spans="3:15" x14ac:dyDescent="0.3">
      <c r="C1550" s="16"/>
      <c r="D1550" s="16"/>
      <c r="J1550" s="16"/>
      <c r="O1550" s="16"/>
    </row>
    <row r="1551" spans="3:15" x14ac:dyDescent="0.3">
      <c r="C1551" s="16"/>
      <c r="D1551" s="16"/>
      <c r="J1551" s="16"/>
      <c r="O1551" s="16"/>
    </row>
    <row r="1552" spans="3:15" x14ac:dyDescent="0.3">
      <c r="C1552" s="16"/>
      <c r="D1552" s="16"/>
      <c r="J1552" s="16"/>
      <c r="O1552" s="16"/>
    </row>
    <row r="1553" spans="3:15" x14ac:dyDescent="0.3">
      <c r="C1553" s="16"/>
      <c r="D1553" s="16"/>
      <c r="J1553" s="16"/>
      <c r="O1553" s="16"/>
    </row>
    <row r="1554" spans="3:15" x14ac:dyDescent="0.3">
      <c r="C1554" s="16"/>
      <c r="D1554" s="16"/>
      <c r="J1554" s="16"/>
      <c r="O1554" s="16"/>
    </row>
    <row r="1555" spans="3:15" x14ac:dyDescent="0.3">
      <c r="C1555" s="16"/>
      <c r="D1555" s="16"/>
      <c r="J1555" s="16"/>
      <c r="O1555" s="16"/>
    </row>
    <row r="1556" spans="3:15" x14ac:dyDescent="0.3">
      <c r="C1556" s="16"/>
      <c r="D1556" s="16"/>
      <c r="J1556" s="16"/>
      <c r="O1556" s="16"/>
    </row>
    <row r="1557" spans="3:15" x14ac:dyDescent="0.3">
      <c r="C1557" s="16"/>
      <c r="D1557" s="16"/>
      <c r="J1557" s="16"/>
      <c r="O1557" s="16"/>
    </row>
    <row r="1558" spans="3:15" x14ac:dyDescent="0.3">
      <c r="C1558" s="16"/>
      <c r="D1558" s="16"/>
      <c r="J1558" s="16"/>
      <c r="O1558" s="16"/>
    </row>
    <row r="1559" spans="3:15" x14ac:dyDescent="0.3">
      <c r="C1559" s="16"/>
      <c r="D1559" s="16"/>
      <c r="J1559" s="16"/>
      <c r="O1559" s="16"/>
    </row>
    <row r="1560" spans="3:15" x14ac:dyDescent="0.3">
      <c r="C1560" s="16"/>
      <c r="D1560" s="16"/>
      <c r="J1560" s="16"/>
      <c r="O1560" s="16"/>
    </row>
    <row r="1561" spans="3:15" x14ac:dyDescent="0.3">
      <c r="C1561" s="16"/>
      <c r="D1561" s="16"/>
      <c r="J1561" s="16"/>
      <c r="O1561" s="16"/>
    </row>
    <row r="1562" spans="3:15" x14ac:dyDescent="0.3">
      <c r="C1562" s="16"/>
      <c r="D1562" s="16"/>
      <c r="J1562" s="16"/>
      <c r="O1562" s="16"/>
    </row>
    <row r="1563" spans="3:15" x14ac:dyDescent="0.3">
      <c r="C1563" s="16"/>
      <c r="D1563" s="16"/>
      <c r="J1563" s="16"/>
      <c r="O1563" s="16"/>
    </row>
    <row r="1564" spans="3:15" x14ac:dyDescent="0.3">
      <c r="C1564" s="16"/>
      <c r="D1564" s="16"/>
      <c r="J1564" s="16"/>
      <c r="O1564" s="16"/>
    </row>
    <row r="1565" spans="3:15" x14ac:dyDescent="0.3">
      <c r="C1565" s="16"/>
      <c r="D1565" s="16"/>
      <c r="J1565" s="16"/>
      <c r="O1565" s="16"/>
    </row>
    <row r="1566" spans="3:15" x14ac:dyDescent="0.3">
      <c r="C1566" s="16"/>
      <c r="D1566" s="16"/>
      <c r="J1566" s="16"/>
      <c r="O1566" s="16"/>
    </row>
    <row r="1567" spans="3:15" x14ac:dyDescent="0.3">
      <c r="C1567" s="16"/>
      <c r="D1567" s="16"/>
      <c r="J1567" s="16"/>
      <c r="O1567" s="16"/>
    </row>
    <row r="1568" spans="3:15" x14ac:dyDescent="0.3">
      <c r="C1568" s="16"/>
      <c r="D1568" s="16"/>
      <c r="J1568" s="16"/>
      <c r="O1568" s="16"/>
    </row>
    <row r="1569" spans="3:15" x14ac:dyDescent="0.3">
      <c r="C1569" s="16"/>
      <c r="D1569" s="16"/>
      <c r="J1569" s="16"/>
      <c r="O1569" s="16"/>
    </row>
    <row r="1570" spans="3:15" x14ac:dyDescent="0.3">
      <c r="C1570" s="16"/>
      <c r="D1570" s="16"/>
      <c r="J1570" s="16"/>
      <c r="O1570" s="16"/>
    </row>
    <row r="1571" spans="3:15" x14ac:dyDescent="0.3">
      <c r="C1571" s="16"/>
      <c r="D1571" s="16"/>
      <c r="J1571" s="16"/>
      <c r="O1571" s="16"/>
    </row>
    <row r="1572" spans="3:15" x14ac:dyDescent="0.3">
      <c r="C1572" s="16"/>
      <c r="D1572" s="16"/>
      <c r="J1572" s="16"/>
      <c r="O1572" s="16"/>
    </row>
    <row r="1573" spans="3:15" x14ac:dyDescent="0.3">
      <c r="C1573" s="16"/>
      <c r="D1573" s="16"/>
      <c r="J1573" s="16"/>
      <c r="O1573" s="16"/>
    </row>
    <row r="1574" spans="3:15" x14ac:dyDescent="0.3">
      <c r="C1574" s="16"/>
      <c r="D1574" s="16"/>
      <c r="J1574" s="16"/>
      <c r="O1574" s="16"/>
    </row>
    <row r="1575" spans="3:15" x14ac:dyDescent="0.3">
      <c r="C1575" s="16"/>
      <c r="D1575" s="16"/>
      <c r="J1575" s="16"/>
      <c r="O1575" s="16"/>
    </row>
    <row r="1576" spans="3:15" x14ac:dyDescent="0.3">
      <c r="C1576" s="16"/>
      <c r="D1576" s="16"/>
      <c r="J1576" s="16"/>
      <c r="O1576" s="16"/>
    </row>
    <row r="1577" spans="3:15" x14ac:dyDescent="0.3">
      <c r="C1577" s="16"/>
      <c r="D1577" s="16"/>
      <c r="J1577" s="16"/>
      <c r="O1577" s="16"/>
    </row>
    <row r="1578" spans="3:15" x14ac:dyDescent="0.3">
      <c r="C1578" s="16"/>
      <c r="D1578" s="16"/>
      <c r="J1578" s="16"/>
      <c r="O1578" s="16"/>
    </row>
    <row r="1579" spans="3:15" x14ac:dyDescent="0.3">
      <c r="C1579" s="16"/>
      <c r="D1579" s="16"/>
      <c r="J1579" s="16"/>
      <c r="O1579" s="16"/>
    </row>
    <row r="1580" spans="3:15" x14ac:dyDescent="0.3">
      <c r="C1580" s="16"/>
      <c r="D1580" s="16"/>
      <c r="J1580" s="16"/>
      <c r="O1580" s="16"/>
    </row>
    <row r="1581" spans="3:15" x14ac:dyDescent="0.3">
      <c r="C1581" s="16"/>
      <c r="D1581" s="16"/>
      <c r="J1581" s="16"/>
      <c r="O1581" s="16"/>
    </row>
    <row r="1582" spans="3:15" x14ac:dyDescent="0.3">
      <c r="C1582" s="16"/>
      <c r="D1582" s="16"/>
      <c r="J1582" s="16"/>
      <c r="O1582" s="16"/>
    </row>
    <row r="1583" spans="3:15" x14ac:dyDescent="0.3">
      <c r="C1583" s="16"/>
      <c r="D1583" s="16"/>
      <c r="J1583" s="16"/>
      <c r="O1583" s="16"/>
    </row>
    <row r="1584" spans="3:15" x14ac:dyDescent="0.3">
      <c r="C1584" s="16"/>
      <c r="D1584" s="16"/>
      <c r="J1584" s="16"/>
      <c r="O1584" s="16"/>
    </row>
    <row r="1585" spans="3:15" x14ac:dyDescent="0.3">
      <c r="C1585" s="16"/>
      <c r="D1585" s="16"/>
      <c r="J1585" s="16"/>
      <c r="O1585" s="16"/>
    </row>
    <row r="1586" spans="3:15" x14ac:dyDescent="0.3">
      <c r="C1586" s="16"/>
      <c r="D1586" s="16"/>
      <c r="J1586" s="16"/>
      <c r="O1586" s="16"/>
    </row>
    <row r="1587" spans="3:15" x14ac:dyDescent="0.3">
      <c r="C1587" s="16"/>
      <c r="D1587" s="16"/>
      <c r="J1587" s="16"/>
      <c r="O1587" s="16"/>
    </row>
    <row r="1588" spans="3:15" x14ac:dyDescent="0.3">
      <c r="C1588" s="16"/>
      <c r="D1588" s="16"/>
      <c r="J1588" s="16"/>
      <c r="O1588" s="16"/>
    </row>
    <row r="1589" spans="3:15" x14ac:dyDescent="0.3">
      <c r="C1589" s="16"/>
      <c r="D1589" s="16"/>
      <c r="J1589" s="16"/>
      <c r="O1589" s="16"/>
    </row>
    <row r="1590" spans="3:15" x14ac:dyDescent="0.3">
      <c r="C1590" s="16"/>
      <c r="D1590" s="16"/>
      <c r="J1590" s="16"/>
      <c r="O1590" s="16"/>
    </row>
    <row r="1591" spans="3:15" x14ac:dyDescent="0.3">
      <c r="C1591" s="16"/>
      <c r="D1591" s="16"/>
      <c r="J1591" s="16"/>
      <c r="O1591" s="16"/>
    </row>
    <row r="1592" spans="3:15" x14ac:dyDescent="0.3">
      <c r="C1592" s="16"/>
      <c r="D1592" s="16"/>
      <c r="J1592" s="16"/>
      <c r="O1592" s="16"/>
    </row>
    <row r="1593" spans="3:15" x14ac:dyDescent="0.3">
      <c r="C1593" s="16"/>
      <c r="D1593" s="16"/>
      <c r="J1593" s="16"/>
      <c r="O1593" s="16"/>
    </row>
    <row r="1594" spans="3:15" x14ac:dyDescent="0.3">
      <c r="C1594" s="16"/>
      <c r="D1594" s="16"/>
      <c r="J1594" s="16"/>
      <c r="O1594" s="16"/>
    </row>
    <row r="1595" spans="3:15" x14ac:dyDescent="0.3">
      <c r="C1595" s="16"/>
      <c r="D1595" s="16"/>
      <c r="J1595" s="16"/>
      <c r="O1595" s="16"/>
    </row>
    <row r="1596" spans="3:15" x14ac:dyDescent="0.3">
      <c r="C1596" s="16"/>
      <c r="D1596" s="16"/>
      <c r="J1596" s="16"/>
      <c r="O1596" s="16"/>
    </row>
    <row r="1597" spans="3:15" x14ac:dyDescent="0.3">
      <c r="C1597" s="16"/>
      <c r="D1597" s="16"/>
      <c r="J1597" s="16"/>
      <c r="O1597" s="16"/>
    </row>
    <row r="1598" spans="3:15" x14ac:dyDescent="0.3">
      <c r="C1598" s="16"/>
      <c r="D1598" s="16"/>
      <c r="J1598" s="16"/>
      <c r="O1598" s="16"/>
    </row>
    <row r="1599" spans="3:15" x14ac:dyDescent="0.3">
      <c r="C1599" s="16"/>
      <c r="D1599" s="16"/>
      <c r="J1599" s="16"/>
      <c r="O1599" s="16"/>
    </row>
    <row r="1600" spans="3:15" x14ac:dyDescent="0.3">
      <c r="C1600" s="16"/>
      <c r="D1600" s="16"/>
      <c r="J1600" s="16"/>
      <c r="O1600" s="16"/>
    </row>
    <row r="1601" spans="3:15" x14ac:dyDescent="0.3">
      <c r="C1601" s="16"/>
      <c r="D1601" s="16"/>
      <c r="J1601" s="16"/>
      <c r="O1601" s="16"/>
    </row>
    <row r="1602" spans="3:15" x14ac:dyDescent="0.3">
      <c r="C1602" s="16"/>
      <c r="D1602" s="16"/>
      <c r="J1602" s="16"/>
      <c r="O1602" s="16"/>
    </row>
    <row r="1603" spans="3:15" x14ac:dyDescent="0.3">
      <c r="C1603" s="16"/>
      <c r="D1603" s="16"/>
      <c r="J1603" s="16"/>
      <c r="O1603" s="16"/>
    </row>
    <row r="1604" spans="3:15" x14ac:dyDescent="0.3">
      <c r="C1604" s="16"/>
      <c r="D1604" s="16"/>
      <c r="J1604" s="16"/>
      <c r="O1604" s="16"/>
    </row>
    <row r="1605" spans="3:15" x14ac:dyDescent="0.3">
      <c r="C1605" s="16"/>
      <c r="D1605" s="16"/>
      <c r="J1605" s="16"/>
      <c r="O1605" s="16"/>
    </row>
    <row r="1606" spans="3:15" x14ac:dyDescent="0.3">
      <c r="C1606" s="16"/>
      <c r="D1606" s="16"/>
      <c r="J1606" s="16"/>
      <c r="O1606" s="16"/>
    </row>
    <row r="1607" spans="3:15" x14ac:dyDescent="0.3">
      <c r="C1607" s="16"/>
      <c r="D1607" s="16"/>
      <c r="J1607" s="16"/>
      <c r="O1607" s="16"/>
    </row>
    <row r="1608" spans="3:15" x14ac:dyDescent="0.3">
      <c r="C1608" s="16"/>
      <c r="D1608" s="16"/>
      <c r="J1608" s="16"/>
      <c r="O1608" s="16"/>
    </row>
    <row r="1609" spans="3:15" x14ac:dyDescent="0.3">
      <c r="C1609" s="16"/>
      <c r="D1609" s="16"/>
      <c r="J1609" s="16"/>
      <c r="O1609" s="16"/>
    </row>
    <row r="1610" spans="3:15" x14ac:dyDescent="0.3">
      <c r="C1610" s="16"/>
      <c r="D1610" s="16"/>
      <c r="J1610" s="16"/>
      <c r="O1610" s="16"/>
    </row>
    <row r="1611" spans="3:15" x14ac:dyDescent="0.3">
      <c r="C1611" s="16"/>
      <c r="D1611" s="16"/>
      <c r="J1611" s="16"/>
      <c r="O1611" s="16"/>
    </row>
    <row r="1612" spans="3:15" x14ac:dyDescent="0.3">
      <c r="C1612" s="16"/>
      <c r="D1612" s="16"/>
      <c r="J1612" s="16"/>
      <c r="O1612" s="16"/>
    </row>
    <row r="1613" spans="3:15" x14ac:dyDescent="0.3">
      <c r="C1613" s="16"/>
      <c r="D1613" s="16"/>
      <c r="J1613" s="16"/>
      <c r="O1613" s="16"/>
    </row>
    <row r="1614" spans="3:15" x14ac:dyDescent="0.3">
      <c r="C1614" s="16"/>
      <c r="D1614" s="16"/>
      <c r="J1614" s="16"/>
      <c r="O1614" s="16"/>
    </row>
    <row r="1615" spans="3:15" x14ac:dyDescent="0.3">
      <c r="C1615" s="16"/>
      <c r="D1615" s="16"/>
      <c r="J1615" s="16"/>
      <c r="O1615" s="16"/>
    </row>
    <row r="1616" spans="3:15" x14ac:dyDescent="0.3">
      <c r="C1616" s="16"/>
      <c r="D1616" s="16"/>
      <c r="J1616" s="16"/>
      <c r="O1616" s="16"/>
    </row>
    <row r="1617" spans="3:15" x14ac:dyDescent="0.3">
      <c r="C1617" s="16"/>
      <c r="D1617" s="16"/>
      <c r="J1617" s="16"/>
      <c r="O1617" s="16"/>
    </row>
    <row r="1618" spans="3:15" x14ac:dyDescent="0.3">
      <c r="C1618" s="16"/>
      <c r="D1618" s="16"/>
      <c r="J1618" s="16"/>
      <c r="O1618" s="16"/>
    </row>
    <row r="1619" spans="3:15" x14ac:dyDescent="0.3">
      <c r="C1619" s="16"/>
      <c r="D1619" s="16"/>
      <c r="J1619" s="16"/>
      <c r="O1619" s="16"/>
    </row>
    <row r="1620" spans="3:15" x14ac:dyDescent="0.3">
      <c r="C1620" s="16"/>
      <c r="D1620" s="16"/>
      <c r="J1620" s="16"/>
      <c r="O1620" s="16"/>
    </row>
    <row r="1621" spans="3:15" x14ac:dyDescent="0.3">
      <c r="C1621" s="16"/>
      <c r="D1621" s="16"/>
      <c r="J1621" s="16"/>
      <c r="O1621" s="16"/>
    </row>
    <row r="1622" spans="3:15" x14ac:dyDescent="0.3">
      <c r="C1622" s="16"/>
      <c r="D1622" s="16"/>
      <c r="J1622" s="16"/>
      <c r="O1622" s="16"/>
    </row>
    <row r="1623" spans="3:15" x14ac:dyDescent="0.3">
      <c r="C1623" s="16"/>
      <c r="D1623" s="16"/>
      <c r="J1623" s="16"/>
      <c r="O1623" s="16"/>
    </row>
    <row r="1624" spans="3:15" x14ac:dyDescent="0.3">
      <c r="C1624" s="16"/>
      <c r="D1624" s="16"/>
      <c r="J1624" s="16"/>
      <c r="O1624" s="16"/>
    </row>
    <row r="1625" spans="3:15" x14ac:dyDescent="0.3">
      <c r="C1625" s="16"/>
      <c r="D1625" s="16"/>
      <c r="J1625" s="16"/>
      <c r="O1625" s="16"/>
    </row>
    <row r="1626" spans="3:15" x14ac:dyDescent="0.3">
      <c r="C1626" s="16"/>
      <c r="D1626" s="16"/>
      <c r="J1626" s="16"/>
      <c r="O1626" s="16"/>
    </row>
    <row r="1627" spans="3:15" x14ac:dyDescent="0.3">
      <c r="C1627" s="16"/>
      <c r="D1627" s="16"/>
      <c r="J1627" s="16"/>
      <c r="O1627" s="16"/>
    </row>
    <row r="1628" spans="3:15" x14ac:dyDescent="0.3">
      <c r="C1628" s="16"/>
      <c r="D1628" s="16"/>
      <c r="J1628" s="16"/>
      <c r="O1628" s="16"/>
    </row>
    <row r="1629" spans="3:15" x14ac:dyDescent="0.3">
      <c r="C1629" s="16"/>
      <c r="D1629" s="16"/>
      <c r="J1629" s="16"/>
      <c r="O1629" s="16"/>
    </row>
    <row r="1630" spans="3:15" x14ac:dyDescent="0.3">
      <c r="C1630" s="16"/>
      <c r="D1630" s="16"/>
      <c r="J1630" s="16"/>
      <c r="O1630" s="16"/>
    </row>
    <row r="1631" spans="3:15" x14ac:dyDescent="0.3">
      <c r="C1631" s="16"/>
      <c r="D1631" s="16"/>
      <c r="J1631" s="16"/>
      <c r="O1631" s="16"/>
    </row>
    <row r="1632" spans="3:15" x14ac:dyDescent="0.3">
      <c r="C1632" s="16"/>
      <c r="D1632" s="16"/>
      <c r="J1632" s="16"/>
      <c r="O1632" s="16"/>
    </row>
    <row r="1633" spans="3:15" x14ac:dyDescent="0.3">
      <c r="C1633" s="16"/>
      <c r="D1633" s="16"/>
      <c r="J1633" s="16"/>
      <c r="O1633" s="16"/>
    </row>
    <row r="1634" spans="3:15" x14ac:dyDescent="0.3">
      <c r="C1634" s="16"/>
      <c r="D1634" s="16"/>
      <c r="J1634" s="16"/>
      <c r="O1634" s="16"/>
    </row>
    <row r="1635" spans="3:15" x14ac:dyDescent="0.3">
      <c r="C1635" s="16"/>
      <c r="D1635" s="16"/>
      <c r="J1635" s="16"/>
      <c r="O1635" s="16"/>
    </row>
    <row r="1636" spans="3:15" x14ac:dyDescent="0.3">
      <c r="C1636" s="16"/>
      <c r="D1636" s="16"/>
      <c r="J1636" s="16"/>
      <c r="O1636" s="16"/>
    </row>
    <row r="1637" spans="3:15" x14ac:dyDescent="0.3">
      <c r="C1637" s="16"/>
      <c r="D1637" s="16"/>
      <c r="J1637" s="16"/>
      <c r="O1637" s="16"/>
    </row>
    <row r="1638" spans="3:15" x14ac:dyDescent="0.3">
      <c r="C1638" s="16"/>
      <c r="D1638" s="16"/>
      <c r="J1638" s="16"/>
      <c r="O1638" s="16"/>
    </row>
    <row r="1639" spans="3:15" x14ac:dyDescent="0.3">
      <c r="C1639" s="16"/>
      <c r="D1639" s="16"/>
      <c r="J1639" s="16"/>
      <c r="O1639" s="16"/>
    </row>
    <row r="1640" spans="3:15" x14ac:dyDescent="0.3">
      <c r="C1640" s="16"/>
      <c r="D1640" s="16"/>
      <c r="J1640" s="16"/>
      <c r="O1640" s="16"/>
    </row>
    <row r="1641" spans="3:15" x14ac:dyDescent="0.3">
      <c r="C1641" s="16"/>
      <c r="D1641" s="16"/>
      <c r="J1641" s="16"/>
      <c r="O1641" s="16"/>
    </row>
    <row r="1642" spans="3:15" x14ac:dyDescent="0.3">
      <c r="C1642" s="16"/>
      <c r="D1642" s="16"/>
      <c r="J1642" s="16"/>
      <c r="O1642" s="16"/>
    </row>
    <row r="1643" spans="3:15" x14ac:dyDescent="0.3">
      <c r="C1643" s="16"/>
      <c r="D1643" s="16"/>
      <c r="J1643" s="16"/>
      <c r="O1643" s="16"/>
    </row>
    <row r="1644" spans="3:15" x14ac:dyDescent="0.3">
      <c r="C1644" s="16"/>
      <c r="D1644" s="16"/>
      <c r="J1644" s="16"/>
      <c r="O1644" s="16"/>
    </row>
    <row r="1645" spans="3:15" x14ac:dyDescent="0.3">
      <c r="C1645" s="16"/>
      <c r="D1645" s="16"/>
      <c r="J1645" s="16"/>
      <c r="O1645" s="16"/>
    </row>
    <row r="1646" spans="3:15" x14ac:dyDescent="0.3">
      <c r="C1646" s="16"/>
      <c r="D1646" s="16"/>
      <c r="J1646" s="16"/>
      <c r="O1646" s="16"/>
    </row>
    <row r="1647" spans="3:15" x14ac:dyDescent="0.3">
      <c r="C1647" s="16"/>
      <c r="D1647" s="16"/>
      <c r="J1647" s="16"/>
      <c r="O1647" s="16"/>
    </row>
    <row r="1648" spans="3:15" x14ac:dyDescent="0.3">
      <c r="C1648" s="16"/>
      <c r="D1648" s="16"/>
      <c r="J1648" s="16"/>
      <c r="O1648" s="16"/>
    </row>
    <row r="1649" spans="3:15" x14ac:dyDescent="0.3">
      <c r="C1649" s="16"/>
      <c r="D1649" s="16"/>
      <c r="J1649" s="16"/>
      <c r="O1649" s="16"/>
    </row>
    <row r="1650" spans="3:15" x14ac:dyDescent="0.3">
      <c r="C1650" s="16"/>
      <c r="D1650" s="16"/>
      <c r="J1650" s="16"/>
      <c r="O1650" s="16"/>
    </row>
    <row r="1651" spans="3:15" x14ac:dyDescent="0.3">
      <c r="C1651" s="16"/>
      <c r="D1651" s="16"/>
      <c r="J1651" s="16"/>
      <c r="O1651" s="16"/>
    </row>
    <row r="1652" spans="3:15" x14ac:dyDescent="0.3">
      <c r="C1652" s="16"/>
      <c r="D1652" s="16"/>
      <c r="J1652" s="16"/>
      <c r="O1652" s="16"/>
    </row>
    <row r="1653" spans="3:15" x14ac:dyDescent="0.3">
      <c r="C1653" s="16"/>
      <c r="D1653" s="16"/>
      <c r="J1653" s="16"/>
      <c r="O1653" s="16"/>
    </row>
    <row r="1654" spans="3:15" x14ac:dyDescent="0.3">
      <c r="C1654" s="16"/>
      <c r="D1654" s="16"/>
      <c r="J1654" s="16"/>
      <c r="O1654" s="16"/>
    </row>
    <row r="1655" spans="3:15" x14ac:dyDescent="0.3">
      <c r="C1655" s="16"/>
      <c r="D1655" s="16"/>
      <c r="J1655" s="16"/>
      <c r="O1655" s="16"/>
    </row>
    <row r="1656" spans="3:15" x14ac:dyDescent="0.3">
      <c r="C1656" s="16"/>
      <c r="D1656" s="16"/>
      <c r="J1656" s="16"/>
      <c r="O1656" s="16"/>
    </row>
    <row r="1657" spans="3:15" x14ac:dyDescent="0.3">
      <c r="C1657" s="16"/>
      <c r="D1657" s="16"/>
      <c r="J1657" s="16"/>
      <c r="O1657" s="16"/>
    </row>
    <row r="1658" spans="3:15" x14ac:dyDescent="0.3">
      <c r="C1658" s="16"/>
      <c r="D1658" s="16"/>
      <c r="J1658" s="16"/>
      <c r="O1658" s="16"/>
    </row>
    <row r="1659" spans="3:15" x14ac:dyDescent="0.3">
      <c r="C1659" s="16"/>
      <c r="D1659" s="16"/>
      <c r="J1659" s="16"/>
      <c r="O1659" s="16"/>
    </row>
    <row r="1660" spans="3:15" x14ac:dyDescent="0.3">
      <c r="C1660" s="16"/>
      <c r="D1660" s="16"/>
      <c r="J1660" s="16"/>
      <c r="O1660" s="16"/>
    </row>
    <row r="1661" spans="3:15" x14ac:dyDescent="0.3">
      <c r="C1661" s="16"/>
      <c r="D1661" s="16"/>
      <c r="J1661" s="16"/>
      <c r="O1661" s="16"/>
    </row>
    <row r="1662" spans="3:15" x14ac:dyDescent="0.3">
      <c r="C1662" s="16"/>
      <c r="D1662" s="16"/>
      <c r="J1662" s="16"/>
      <c r="O1662" s="16"/>
    </row>
    <row r="1663" spans="3:15" x14ac:dyDescent="0.3">
      <c r="C1663" s="16"/>
      <c r="D1663" s="16"/>
      <c r="J1663" s="16"/>
      <c r="O1663" s="16"/>
    </row>
    <row r="1664" spans="3:15" x14ac:dyDescent="0.3">
      <c r="C1664" s="16"/>
      <c r="D1664" s="16"/>
      <c r="J1664" s="16"/>
      <c r="O1664" s="16"/>
    </row>
    <row r="1665" spans="3:15" x14ac:dyDescent="0.3">
      <c r="C1665" s="16"/>
      <c r="D1665" s="16"/>
      <c r="J1665" s="16"/>
      <c r="O1665" s="16"/>
    </row>
    <row r="1666" spans="3:15" x14ac:dyDescent="0.3">
      <c r="C1666" s="16"/>
      <c r="D1666" s="16"/>
      <c r="J1666" s="16"/>
      <c r="O1666" s="16"/>
    </row>
    <row r="1667" spans="3:15" x14ac:dyDescent="0.3">
      <c r="C1667" s="16"/>
      <c r="D1667" s="16"/>
      <c r="J1667" s="16"/>
      <c r="O1667" s="16"/>
    </row>
    <row r="1668" spans="3:15" x14ac:dyDescent="0.3">
      <c r="C1668" s="16"/>
      <c r="D1668" s="16"/>
      <c r="J1668" s="16"/>
      <c r="O1668" s="16"/>
    </row>
    <row r="1669" spans="3:15" x14ac:dyDescent="0.3">
      <c r="C1669" s="16"/>
      <c r="D1669" s="16"/>
      <c r="J1669" s="16"/>
      <c r="O1669" s="16"/>
    </row>
    <row r="1670" spans="3:15" x14ac:dyDescent="0.3">
      <c r="C1670" s="16"/>
      <c r="D1670" s="16"/>
      <c r="J1670" s="16"/>
      <c r="O1670" s="16"/>
    </row>
    <row r="1671" spans="3:15" x14ac:dyDescent="0.3">
      <c r="C1671" s="16"/>
      <c r="D1671" s="16"/>
      <c r="J1671" s="16"/>
      <c r="O1671" s="16"/>
    </row>
    <row r="1672" spans="3:15" x14ac:dyDescent="0.3">
      <c r="C1672" s="16"/>
      <c r="D1672" s="16"/>
      <c r="J1672" s="16"/>
      <c r="O1672" s="16"/>
    </row>
    <row r="1673" spans="3:15" x14ac:dyDescent="0.3">
      <c r="C1673" s="16"/>
      <c r="D1673" s="16"/>
      <c r="J1673" s="16"/>
      <c r="O1673" s="16"/>
    </row>
    <row r="1674" spans="3:15" x14ac:dyDescent="0.3">
      <c r="C1674" s="16"/>
      <c r="D1674" s="16"/>
      <c r="J1674" s="16"/>
      <c r="O1674" s="16"/>
    </row>
    <row r="1675" spans="3:15" x14ac:dyDescent="0.3">
      <c r="C1675" s="16"/>
      <c r="D1675" s="16"/>
      <c r="J1675" s="16"/>
      <c r="O1675" s="16"/>
    </row>
    <row r="1676" spans="3:15" x14ac:dyDescent="0.3">
      <c r="C1676" s="16"/>
      <c r="D1676" s="16"/>
      <c r="J1676" s="16"/>
      <c r="O1676" s="16"/>
    </row>
    <row r="1677" spans="3:15" x14ac:dyDescent="0.3">
      <c r="C1677" s="16"/>
      <c r="D1677" s="16"/>
      <c r="J1677" s="16"/>
      <c r="O1677" s="16"/>
    </row>
    <row r="1678" spans="3:15" x14ac:dyDescent="0.3">
      <c r="C1678" s="16"/>
      <c r="D1678" s="16"/>
      <c r="J1678" s="16"/>
      <c r="O1678" s="16"/>
    </row>
    <row r="1679" spans="3:15" x14ac:dyDescent="0.3">
      <c r="C1679" s="16"/>
      <c r="D1679" s="16"/>
      <c r="J1679" s="16"/>
      <c r="O1679" s="16"/>
    </row>
    <row r="1680" spans="3:15" x14ac:dyDescent="0.3">
      <c r="C1680" s="16"/>
      <c r="D1680" s="16"/>
      <c r="J1680" s="16"/>
      <c r="O1680" s="16"/>
    </row>
    <row r="1681" spans="3:15" x14ac:dyDescent="0.3">
      <c r="C1681" s="16"/>
      <c r="D1681" s="16"/>
      <c r="J1681" s="16"/>
      <c r="O1681" s="16"/>
    </row>
    <row r="1682" spans="3:15" x14ac:dyDescent="0.3">
      <c r="C1682" s="16"/>
      <c r="D1682" s="16"/>
      <c r="J1682" s="16"/>
      <c r="O1682" s="16"/>
    </row>
    <row r="1683" spans="3:15" x14ac:dyDescent="0.3">
      <c r="C1683" s="16"/>
      <c r="D1683" s="16"/>
      <c r="J1683" s="16"/>
      <c r="O1683" s="16"/>
    </row>
    <row r="1684" spans="3:15" x14ac:dyDescent="0.3">
      <c r="C1684" s="16"/>
      <c r="D1684" s="16"/>
      <c r="J1684" s="16"/>
      <c r="O1684" s="16"/>
    </row>
    <row r="1685" spans="3:15" x14ac:dyDescent="0.3">
      <c r="C1685" s="16"/>
      <c r="D1685" s="16"/>
      <c r="J1685" s="16"/>
      <c r="O1685" s="16"/>
    </row>
    <row r="1686" spans="3:15" x14ac:dyDescent="0.3">
      <c r="C1686" s="16"/>
      <c r="D1686" s="16"/>
      <c r="J1686" s="16"/>
      <c r="O1686" s="16"/>
    </row>
    <row r="1687" spans="3:15" x14ac:dyDescent="0.3">
      <c r="C1687" s="16"/>
      <c r="D1687" s="16"/>
      <c r="J1687" s="16"/>
      <c r="O1687" s="16"/>
    </row>
    <row r="1688" spans="3:15" x14ac:dyDescent="0.3">
      <c r="C1688" s="16"/>
      <c r="D1688" s="16"/>
      <c r="J1688" s="16"/>
      <c r="O1688" s="16"/>
    </row>
    <row r="1689" spans="3:15" x14ac:dyDescent="0.3">
      <c r="C1689" s="16"/>
      <c r="D1689" s="16"/>
      <c r="J1689" s="16"/>
      <c r="O1689" s="16"/>
    </row>
    <row r="1690" spans="3:15" x14ac:dyDescent="0.3">
      <c r="C1690" s="16"/>
      <c r="D1690" s="16"/>
      <c r="J1690" s="16"/>
      <c r="O1690" s="16"/>
    </row>
    <row r="1691" spans="3:15" x14ac:dyDescent="0.3">
      <c r="C1691" s="16"/>
      <c r="D1691" s="16"/>
      <c r="J1691" s="16"/>
      <c r="O1691" s="16"/>
    </row>
    <row r="1692" spans="3:15" x14ac:dyDescent="0.3">
      <c r="C1692" s="16"/>
      <c r="D1692" s="16"/>
      <c r="J1692" s="16"/>
      <c r="O1692" s="16"/>
    </row>
    <row r="1693" spans="3:15" x14ac:dyDescent="0.3">
      <c r="C1693" s="16"/>
      <c r="D1693" s="16"/>
      <c r="J1693" s="16"/>
      <c r="O1693" s="16"/>
    </row>
    <row r="1694" spans="3:15" x14ac:dyDescent="0.3">
      <c r="C1694" s="16"/>
      <c r="D1694" s="16"/>
      <c r="J1694" s="16"/>
      <c r="O1694" s="16"/>
    </row>
    <row r="1695" spans="3:15" x14ac:dyDescent="0.3">
      <c r="C1695" s="16"/>
      <c r="D1695" s="16"/>
      <c r="J1695" s="16"/>
      <c r="O1695" s="16"/>
    </row>
    <row r="1696" spans="3:15" x14ac:dyDescent="0.3">
      <c r="C1696" s="16"/>
      <c r="D1696" s="16"/>
      <c r="J1696" s="16"/>
      <c r="O1696" s="16"/>
    </row>
    <row r="1697" spans="3:15" x14ac:dyDescent="0.3">
      <c r="C1697" s="16"/>
      <c r="D1697" s="16"/>
      <c r="J1697" s="16"/>
      <c r="O1697" s="16"/>
    </row>
    <row r="1698" spans="3:15" x14ac:dyDescent="0.3">
      <c r="C1698" s="16"/>
      <c r="D1698" s="16"/>
      <c r="J1698" s="16"/>
      <c r="O1698" s="16"/>
    </row>
    <row r="1699" spans="3:15" x14ac:dyDescent="0.3">
      <c r="C1699" s="16"/>
      <c r="D1699" s="16"/>
      <c r="J1699" s="16"/>
      <c r="O1699" s="16"/>
    </row>
    <row r="1700" spans="3:15" x14ac:dyDescent="0.3">
      <c r="C1700" s="16"/>
      <c r="D1700" s="16"/>
      <c r="J1700" s="16"/>
      <c r="O1700" s="16"/>
    </row>
    <row r="1701" spans="3:15" x14ac:dyDescent="0.3">
      <c r="C1701" s="16"/>
      <c r="D1701" s="16"/>
      <c r="J1701" s="16"/>
      <c r="O1701" s="16"/>
    </row>
    <row r="1702" spans="3:15" x14ac:dyDescent="0.3">
      <c r="C1702" s="16"/>
      <c r="D1702" s="16"/>
      <c r="J1702" s="16"/>
      <c r="O1702" s="16"/>
    </row>
    <row r="1703" spans="3:15" x14ac:dyDescent="0.3">
      <c r="C1703" s="16"/>
      <c r="D1703" s="16"/>
      <c r="J1703" s="16"/>
      <c r="O1703" s="16"/>
    </row>
    <row r="1704" spans="3:15" x14ac:dyDescent="0.3">
      <c r="C1704" s="16"/>
      <c r="D1704" s="16"/>
      <c r="J1704" s="16"/>
      <c r="O1704" s="16"/>
    </row>
    <row r="1705" spans="3:15" x14ac:dyDescent="0.3">
      <c r="C1705" s="16"/>
      <c r="D1705" s="16"/>
      <c r="J1705" s="16"/>
      <c r="O1705" s="16"/>
    </row>
    <row r="1706" spans="3:15" x14ac:dyDescent="0.3">
      <c r="C1706" s="16"/>
      <c r="D1706" s="16"/>
      <c r="J1706" s="16"/>
      <c r="O1706" s="16"/>
    </row>
    <row r="1707" spans="3:15" x14ac:dyDescent="0.3">
      <c r="C1707" s="16"/>
      <c r="D1707" s="16"/>
      <c r="J1707" s="16"/>
      <c r="O1707" s="16"/>
    </row>
    <row r="1708" spans="3:15" x14ac:dyDescent="0.3">
      <c r="C1708" s="16"/>
      <c r="D1708" s="16"/>
      <c r="J1708" s="16"/>
      <c r="O1708" s="16"/>
    </row>
    <row r="1709" spans="3:15" x14ac:dyDescent="0.3">
      <c r="C1709" s="16"/>
      <c r="D1709" s="16"/>
      <c r="J1709" s="16"/>
      <c r="O1709" s="16"/>
    </row>
    <row r="1710" spans="3:15" x14ac:dyDescent="0.3">
      <c r="C1710" s="16"/>
      <c r="D1710" s="16"/>
      <c r="J1710" s="16"/>
      <c r="O1710" s="16"/>
    </row>
    <row r="1711" spans="3:15" x14ac:dyDescent="0.3">
      <c r="C1711" s="16"/>
      <c r="D1711" s="16"/>
      <c r="J1711" s="16"/>
      <c r="O1711" s="16"/>
    </row>
    <row r="1712" spans="3:15" x14ac:dyDescent="0.3">
      <c r="C1712" s="16"/>
      <c r="D1712" s="16"/>
      <c r="J1712" s="16"/>
      <c r="O1712" s="16"/>
    </row>
    <row r="1713" spans="3:15" x14ac:dyDescent="0.3">
      <c r="C1713" s="16"/>
      <c r="D1713" s="16"/>
      <c r="J1713" s="16"/>
      <c r="O1713" s="16"/>
    </row>
    <row r="1714" spans="3:15" x14ac:dyDescent="0.3">
      <c r="C1714" s="16"/>
      <c r="D1714" s="16"/>
      <c r="J1714" s="16"/>
      <c r="O1714" s="16"/>
    </row>
    <row r="1715" spans="3:15" x14ac:dyDescent="0.3">
      <c r="C1715" s="16"/>
      <c r="D1715" s="16"/>
      <c r="J1715" s="16"/>
      <c r="O1715" s="16"/>
    </row>
    <row r="1716" spans="3:15" x14ac:dyDescent="0.3">
      <c r="C1716" s="16"/>
      <c r="D1716" s="16"/>
      <c r="J1716" s="16"/>
      <c r="O1716" s="16"/>
    </row>
    <row r="1717" spans="3:15" x14ac:dyDescent="0.3">
      <c r="C1717" s="16"/>
      <c r="D1717" s="16"/>
      <c r="J1717" s="16"/>
      <c r="O1717" s="16"/>
    </row>
    <row r="1718" spans="3:15" x14ac:dyDescent="0.3">
      <c r="C1718" s="16"/>
      <c r="D1718" s="16"/>
      <c r="J1718" s="16"/>
      <c r="O1718" s="16"/>
    </row>
    <row r="1719" spans="3:15" x14ac:dyDescent="0.3">
      <c r="C1719" s="16"/>
      <c r="D1719" s="16"/>
      <c r="J1719" s="16"/>
      <c r="O1719" s="16"/>
    </row>
    <row r="1720" spans="3:15" x14ac:dyDescent="0.3">
      <c r="C1720" s="16"/>
      <c r="D1720" s="16"/>
      <c r="J1720" s="16"/>
      <c r="O1720" s="16"/>
    </row>
    <row r="1721" spans="3:15" x14ac:dyDescent="0.3">
      <c r="C1721" s="16"/>
      <c r="D1721" s="16"/>
      <c r="J1721" s="16"/>
      <c r="O1721" s="16"/>
    </row>
    <row r="1722" spans="3:15" x14ac:dyDescent="0.3">
      <c r="C1722" s="16"/>
      <c r="D1722" s="16"/>
      <c r="J1722" s="16"/>
      <c r="O1722" s="16"/>
    </row>
    <row r="1723" spans="3:15" x14ac:dyDescent="0.3">
      <c r="C1723" s="16"/>
      <c r="D1723" s="16"/>
      <c r="J1723" s="16"/>
      <c r="O1723" s="16"/>
    </row>
    <row r="1724" spans="3:15" x14ac:dyDescent="0.3">
      <c r="C1724" s="16"/>
      <c r="D1724" s="16"/>
      <c r="J1724" s="16"/>
      <c r="O1724" s="16"/>
    </row>
    <row r="1725" spans="3:15" x14ac:dyDescent="0.3">
      <c r="C1725" s="16"/>
      <c r="D1725" s="16"/>
      <c r="J1725" s="16"/>
      <c r="O1725" s="16"/>
    </row>
    <row r="1726" spans="3:15" x14ac:dyDescent="0.3">
      <c r="C1726" s="16"/>
      <c r="D1726" s="16"/>
      <c r="J1726" s="16"/>
      <c r="O1726" s="16"/>
    </row>
    <row r="1727" spans="3:15" x14ac:dyDescent="0.3">
      <c r="C1727" s="16"/>
      <c r="D1727" s="16"/>
      <c r="J1727" s="16"/>
      <c r="O1727" s="16"/>
    </row>
    <row r="1728" spans="3:15" x14ac:dyDescent="0.3">
      <c r="C1728" s="16"/>
      <c r="D1728" s="16"/>
      <c r="J1728" s="16"/>
      <c r="O1728" s="16"/>
    </row>
    <row r="1729" spans="3:15" x14ac:dyDescent="0.3">
      <c r="C1729" s="16"/>
      <c r="D1729" s="16"/>
      <c r="J1729" s="16"/>
      <c r="O1729" s="16"/>
    </row>
    <row r="1730" spans="3:15" x14ac:dyDescent="0.3">
      <c r="C1730" s="16"/>
      <c r="D1730" s="16"/>
      <c r="J1730" s="16"/>
      <c r="O1730" s="16"/>
    </row>
    <row r="1731" spans="3:15" x14ac:dyDescent="0.3">
      <c r="C1731" s="16"/>
      <c r="D1731" s="16"/>
      <c r="J1731" s="16"/>
      <c r="O1731" s="16"/>
    </row>
    <row r="1732" spans="3:15" x14ac:dyDescent="0.3">
      <c r="C1732" s="16"/>
      <c r="D1732" s="16"/>
      <c r="J1732" s="16"/>
      <c r="O1732" s="16"/>
    </row>
    <row r="1733" spans="3:15" x14ac:dyDescent="0.3">
      <c r="C1733" s="16"/>
      <c r="D1733" s="16"/>
      <c r="J1733" s="16"/>
      <c r="O1733" s="16"/>
    </row>
    <row r="1734" spans="3:15" x14ac:dyDescent="0.3">
      <c r="C1734" s="16"/>
      <c r="D1734" s="16"/>
      <c r="J1734" s="16"/>
      <c r="O1734" s="16"/>
    </row>
    <row r="1735" spans="3:15" x14ac:dyDescent="0.3">
      <c r="C1735" s="16"/>
      <c r="D1735" s="16"/>
      <c r="J1735" s="16"/>
      <c r="O1735" s="16"/>
    </row>
    <row r="1736" spans="3:15" x14ac:dyDescent="0.3">
      <c r="C1736" s="16"/>
      <c r="D1736" s="16"/>
      <c r="J1736" s="16"/>
      <c r="O1736" s="16"/>
    </row>
    <row r="1737" spans="3:15" x14ac:dyDescent="0.3">
      <c r="C1737" s="16"/>
      <c r="D1737" s="16"/>
      <c r="J1737" s="16"/>
      <c r="O1737" s="16"/>
    </row>
    <row r="1738" spans="3:15" x14ac:dyDescent="0.3">
      <c r="C1738" s="16"/>
      <c r="D1738" s="16"/>
      <c r="J1738" s="16"/>
      <c r="O1738" s="16"/>
    </row>
    <row r="1739" spans="3:15" x14ac:dyDescent="0.3">
      <c r="C1739" s="16"/>
      <c r="D1739" s="16"/>
      <c r="J1739" s="16"/>
      <c r="O1739" s="16"/>
    </row>
    <row r="1740" spans="3:15" x14ac:dyDescent="0.3">
      <c r="C1740" s="16"/>
      <c r="D1740" s="16"/>
      <c r="J1740" s="16"/>
      <c r="O1740" s="16"/>
    </row>
    <row r="1741" spans="3:15" x14ac:dyDescent="0.3">
      <c r="C1741" s="16"/>
      <c r="D1741" s="16"/>
      <c r="J1741" s="16"/>
      <c r="O1741" s="16"/>
    </row>
    <row r="1742" spans="3:15" x14ac:dyDescent="0.3">
      <c r="C1742" s="16"/>
      <c r="D1742" s="16"/>
      <c r="J1742" s="16"/>
      <c r="O1742" s="16"/>
    </row>
    <row r="1743" spans="3:15" x14ac:dyDescent="0.3">
      <c r="C1743" s="16"/>
      <c r="D1743" s="16"/>
      <c r="J1743" s="16"/>
      <c r="O1743" s="16"/>
    </row>
    <row r="1744" spans="3:15" x14ac:dyDescent="0.3">
      <c r="C1744" s="16"/>
      <c r="D1744" s="16"/>
      <c r="J1744" s="16"/>
      <c r="O1744" s="16"/>
    </row>
    <row r="1745" spans="3:15" x14ac:dyDescent="0.3">
      <c r="C1745" s="16"/>
      <c r="D1745" s="16"/>
      <c r="J1745" s="16"/>
      <c r="O1745" s="16"/>
    </row>
    <row r="1746" spans="3:15" x14ac:dyDescent="0.3">
      <c r="C1746" s="16"/>
      <c r="D1746" s="16"/>
      <c r="J1746" s="16"/>
      <c r="O1746" s="16"/>
    </row>
    <row r="1747" spans="3:15" x14ac:dyDescent="0.3">
      <c r="C1747" s="16"/>
      <c r="D1747" s="16"/>
      <c r="J1747" s="16"/>
      <c r="O1747" s="16"/>
    </row>
    <row r="1748" spans="3:15" x14ac:dyDescent="0.3">
      <c r="C1748" s="16"/>
      <c r="D1748" s="16"/>
      <c r="J1748" s="16"/>
      <c r="O1748" s="16"/>
    </row>
    <row r="1749" spans="3:15" x14ac:dyDescent="0.3">
      <c r="C1749" s="16"/>
      <c r="D1749" s="16"/>
      <c r="J1749" s="16"/>
      <c r="O1749" s="16"/>
    </row>
    <row r="1750" spans="3:15" x14ac:dyDescent="0.3">
      <c r="C1750" s="16"/>
      <c r="D1750" s="16"/>
      <c r="J1750" s="16"/>
      <c r="O1750" s="16"/>
    </row>
    <row r="1751" spans="3:15" x14ac:dyDescent="0.3">
      <c r="C1751" s="16"/>
      <c r="D1751" s="16"/>
      <c r="J1751" s="16"/>
      <c r="O1751" s="16"/>
    </row>
    <row r="1752" spans="3:15" x14ac:dyDescent="0.3">
      <c r="C1752" s="16"/>
      <c r="D1752" s="16"/>
      <c r="J1752" s="16"/>
      <c r="O1752" s="16"/>
    </row>
    <row r="1753" spans="3:15" x14ac:dyDescent="0.3">
      <c r="C1753" s="16"/>
      <c r="D1753" s="16"/>
      <c r="J1753" s="16"/>
      <c r="O1753" s="16"/>
    </row>
    <row r="1754" spans="3:15" x14ac:dyDescent="0.3">
      <c r="C1754" s="16"/>
      <c r="D1754" s="16"/>
      <c r="J1754" s="16"/>
      <c r="O1754" s="16"/>
    </row>
    <row r="1755" spans="3:15" x14ac:dyDescent="0.3">
      <c r="C1755" s="16"/>
      <c r="D1755" s="16"/>
      <c r="J1755" s="16"/>
      <c r="O1755" s="16"/>
    </row>
    <row r="1756" spans="3:15" x14ac:dyDescent="0.3">
      <c r="C1756" s="16"/>
      <c r="D1756" s="16"/>
      <c r="J1756" s="16"/>
      <c r="O1756" s="16"/>
    </row>
    <row r="1757" spans="3:15" x14ac:dyDescent="0.3">
      <c r="C1757" s="16"/>
      <c r="D1757" s="16"/>
      <c r="J1757" s="16"/>
      <c r="O1757" s="16"/>
    </row>
    <row r="1758" spans="3:15" x14ac:dyDescent="0.3">
      <c r="C1758" s="16"/>
      <c r="D1758" s="16"/>
      <c r="J1758" s="16"/>
      <c r="O1758" s="16"/>
    </row>
    <row r="1759" spans="3:15" x14ac:dyDescent="0.3">
      <c r="C1759" s="16"/>
      <c r="D1759" s="16"/>
      <c r="J1759" s="16"/>
      <c r="O1759" s="16"/>
    </row>
    <row r="1760" spans="3:15" x14ac:dyDescent="0.3">
      <c r="C1760" s="16"/>
      <c r="D1760" s="16"/>
      <c r="J1760" s="16"/>
      <c r="O1760" s="16"/>
    </row>
    <row r="1761" spans="3:15" x14ac:dyDescent="0.3">
      <c r="C1761" s="16"/>
      <c r="D1761" s="16"/>
      <c r="J1761" s="16"/>
      <c r="O1761" s="16"/>
    </row>
    <row r="1762" spans="3:15" x14ac:dyDescent="0.3">
      <c r="C1762" s="16"/>
      <c r="D1762" s="16"/>
      <c r="J1762" s="16"/>
      <c r="O1762" s="16"/>
    </row>
    <row r="1763" spans="3:15" x14ac:dyDescent="0.3">
      <c r="C1763" s="16"/>
      <c r="D1763" s="16"/>
      <c r="J1763" s="16"/>
      <c r="O1763" s="16"/>
    </row>
    <row r="1764" spans="3:15" x14ac:dyDescent="0.3">
      <c r="C1764" s="16"/>
      <c r="D1764" s="16"/>
      <c r="J1764" s="16"/>
      <c r="O1764" s="16"/>
    </row>
    <row r="1765" spans="3:15" x14ac:dyDescent="0.3">
      <c r="C1765" s="16"/>
      <c r="D1765" s="16"/>
      <c r="J1765" s="16"/>
      <c r="O1765" s="16"/>
    </row>
    <row r="1766" spans="3:15" x14ac:dyDescent="0.3">
      <c r="C1766" s="16"/>
      <c r="D1766" s="16"/>
      <c r="J1766" s="16"/>
      <c r="O1766" s="16"/>
    </row>
    <row r="1767" spans="3:15" x14ac:dyDescent="0.3">
      <c r="C1767" s="16"/>
      <c r="D1767" s="16"/>
      <c r="J1767" s="16"/>
      <c r="O1767" s="16"/>
    </row>
    <row r="1768" spans="3:15" x14ac:dyDescent="0.3">
      <c r="C1768" s="16"/>
      <c r="D1768" s="16"/>
      <c r="J1768" s="16"/>
      <c r="O1768" s="16"/>
    </row>
    <row r="1769" spans="3:15" x14ac:dyDescent="0.3">
      <c r="C1769" s="16"/>
      <c r="D1769" s="16"/>
      <c r="J1769" s="16"/>
      <c r="O1769" s="16"/>
    </row>
    <row r="1770" spans="3:15" x14ac:dyDescent="0.3">
      <c r="C1770" s="16"/>
      <c r="D1770" s="16"/>
      <c r="J1770" s="16"/>
      <c r="O1770" s="16"/>
    </row>
    <row r="1771" spans="3:15" x14ac:dyDescent="0.3">
      <c r="C1771" s="16"/>
      <c r="D1771" s="16"/>
      <c r="J1771" s="16"/>
      <c r="O1771" s="16"/>
    </row>
    <row r="1772" spans="3:15" x14ac:dyDescent="0.3">
      <c r="C1772" s="16"/>
      <c r="D1772" s="16"/>
      <c r="J1772" s="16"/>
      <c r="O1772" s="16"/>
    </row>
    <row r="1773" spans="3:15" x14ac:dyDescent="0.3">
      <c r="C1773" s="16"/>
      <c r="D1773" s="16"/>
      <c r="J1773" s="16"/>
      <c r="O1773" s="16"/>
    </row>
    <row r="1774" spans="3:15" x14ac:dyDescent="0.3">
      <c r="C1774" s="16"/>
      <c r="D1774" s="16"/>
      <c r="J1774" s="16"/>
      <c r="O1774" s="16"/>
    </row>
    <row r="1775" spans="3:15" x14ac:dyDescent="0.3">
      <c r="C1775" s="16"/>
      <c r="D1775" s="16"/>
      <c r="J1775" s="16"/>
      <c r="O1775" s="16"/>
    </row>
    <row r="1776" spans="3:15" x14ac:dyDescent="0.3">
      <c r="C1776" s="16"/>
      <c r="D1776" s="16"/>
      <c r="J1776" s="16"/>
      <c r="O1776" s="16"/>
    </row>
    <row r="1777" spans="3:15" x14ac:dyDescent="0.3">
      <c r="C1777" s="16"/>
      <c r="D1777" s="16"/>
      <c r="J1777" s="16"/>
      <c r="O1777" s="16"/>
    </row>
    <row r="1778" spans="3:15" x14ac:dyDescent="0.3">
      <c r="C1778" s="16"/>
      <c r="D1778" s="16"/>
      <c r="J1778" s="16"/>
      <c r="O1778" s="16"/>
    </row>
    <row r="1779" spans="3:15" x14ac:dyDescent="0.3">
      <c r="C1779" s="16"/>
      <c r="D1779" s="16"/>
      <c r="J1779" s="16"/>
      <c r="O1779" s="16"/>
    </row>
    <row r="1780" spans="3:15" x14ac:dyDescent="0.3">
      <c r="C1780" s="16"/>
      <c r="D1780" s="16"/>
      <c r="J1780" s="16"/>
      <c r="O1780" s="16"/>
    </row>
    <row r="1781" spans="3:15" x14ac:dyDescent="0.3">
      <c r="C1781" s="16"/>
      <c r="D1781" s="16"/>
      <c r="J1781" s="16"/>
      <c r="O1781" s="16"/>
    </row>
    <row r="1782" spans="3:15" x14ac:dyDescent="0.3">
      <c r="C1782" s="16"/>
      <c r="D1782" s="16"/>
      <c r="J1782" s="16"/>
      <c r="O1782" s="16"/>
    </row>
    <row r="1783" spans="3:15" x14ac:dyDescent="0.3">
      <c r="C1783" s="16"/>
      <c r="D1783" s="16"/>
      <c r="J1783" s="16"/>
      <c r="O1783" s="16"/>
    </row>
    <row r="1784" spans="3:15" x14ac:dyDescent="0.3">
      <c r="C1784" s="16"/>
      <c r="D1784" s="16"/>
      <c r="J1784" s="16"/>
      <c r="O1784" s="16"/>
    </row>
    <row r="1785" spans="3:15" x14ac:dyDescent="0.3">
      <c r="C1785" s="16"/>
      <c r="D1785" s="16"/>
      <c r="J1785" s="16"/>
      <c r="O1785" s="16"/>
    </row>
    <row r="1786" spans="3:15" x14ac:dyDescent="0.3">
      <c r="C1786" s="16"/>
      <c r="D1786" s="16"/>
      <c r="J1786" s="16"/>
      <c r="O1786" s="16"/>
    </row>
    <row r="1787" spans="3:15" x14ac:dyDescent="0.3">
      <c r="C1787" s="16"/>
      <c r="D1787" s="16"/>
      <c r="J1787" s="16"/>
      <c r="O1787" s="16"/>
    </row>
    <row r="1788" spans="3:15" x14ac:dyDescent="0.3">
      <c r="C1788" s="16"/>
      <c r="D1788" s="16"/>
      <c r="J1788" s="16"/>
      <c r="O1788" s="16"/>
    </row>
    <row r="1789" spans="3:15" x14ac:dyDescent="0.3">
      <c r="C1789" s="16"/>
      <c r="D1789" s="16"/>
      <c r="J1789" s="16"/>
      <c r="O1789" s="16"/>
    </row>
    <row r="1790" spans="3:15" x14ac:dyDescent="0.3">
      <c r="C1790" s="16"/>
      <c r="D1790" s="16"/>
      <c r="J1790" s="16"/>
      <c r="O1790" s="16"/>
    </row>
    <row r="1791" spans="3:15" x14ac:dyDescent="0.3">
      <c r="C1791" s="16"/>
      <c r="D1791" s="16"/>
      <c r="J1791" s="16"/>
      <c r="O1791" s="16"/>
    </row>
    <row r="1792" spans="3:15" x14ac:dyDescent="0.3">
      <c r="C1792" s="16"/>
      <c r="D1792" s="16"/>
      <c r="J1792" s="16"/>
      <c r="O1792" s="16"/>
    </row>
    <row r="1793" spans="3:15" x14ac:dyDescent="0.3">
      <c r="C1793" s="16"/>
      <c r="D1793" s="16"/>
      <c r="J1793" s="16"/>
      <c r="O1793" s="16"/>
    </row>
    <row r="1794" spans="3:15" x14ac:dyDescent="0.3">
      <c r="C1794" s="16"/>
      <c r="D1794" s="16"/>
      <c r="J1794" s="16"/>
      <c r="O1794" s="16"/>
    </row>
    <row r="1795" spans="3:15" x14ac:dyDescent="0.3">
      <c r="C1795" s="16"/>
      <c r="D1795" s="16"/>
      <c r="J1795" s="16"/>
      <c r="O1795" s="16"/>
    </row>
    <row r="1796" spans="3:15" x14ac:dyDescent="0.3">
      <c r="C1796" s="16"/>
      <c r="D1796" s="16"/>
      <c r="J1796" s="16"/>
      <c r="O1796" s="16"/>
    </row>
    <row r="1797" spans="3:15" x14ac:dyDescent="0.3">
      <c r="C1797" s="16"/>
      <c r="D1797" s="16"/>
      <c r="J1797" s="16"/>
      <c r="O1797" s="16"/>
    </row>
    <row r="1798" spans="3:15" x14ac:dyDescent="0.3">
      <c r="C1798" s="16"/>
      <c r="D1798" s="16"/>
      <c r="J1798" s="16"/>
      <c r="O1798" s="16"/>
    </row>
    <row r="1799" spans="3:15" x14ac:dyDescent="0.3">
      <c r="C1799" s="16"/>
      <c r="D1799" s="16"/>
      <c r="J1799" s="16"/>
      <c r="O1799" s="16"/>
    </row>
    <row r="1800" spans="3:15" x14ac:dyDescent="0.3">
      <c r="C1800" s="16"/>
      <c r="D1800" s="16"/>
      <c r="J1800" s="16"/>
      <c r="O1800" s="16"/>
    </row>
    <row r="1801" spans="3:15" x14ac:dyDescent="0.3">
      <c r="C1801" s="16"/>
      <c r="D1801" s="16"/>
      <c r="J1801" s="16"/>
      <c r="O1801" s="16"/>
    </row>
    <row r="1802" spans="3:15" x14ac:dyDescent="0.3">
      <c r="C1802" s="16"/>
      <c r="D1802" s="16"/>
      <c r="J1802" s="16"/>
      <c r="O1802" s="16"/>
    </row>
    <row r="1803" spans="3:15" x14ac:dyDescent="0.3">
      <c r="C1803" s="16"/>
      <c r="D1803" s="16"/>
      <c r="J1803" s="16"/>
      <c r="O1803" s="16"/>
    </row>
    <row r="1804" spans="3:15" x14ac:dyDescent="0.3">
      <c r="C1804" s="16"/>
      <c r="D1804" s="16"/>
      <c r="J1804" s="16"/>
      <c r="O1804" s="16"/>
    </row>
    <row r="1805" spans="3:15" x14ac:dyDescent="0.3">
      <c r="C1805" s="16"/>
      <c r="D1805" s="16"/>
      <c r="J1805" s="16"/>
      <c r="O1805" s="16"/>
    </row>
    <row r="1806" spans="3:15" x14ac:dyDescent="0.3">
      <c r="C1806" s="16"/>
      <c r="D1806" s="16"/>
      <c r="J1806" s="16"/>
      <c r="O1806" s="16"/>
    </row>
    <row r="1807" spans="3:15" x14ac:dyDescent="0.3">
      <c r="C1807" s="16"/>
      <c r="D1807" s="16"/>
      <c r="J1807" s="16"/>
      <c r="O1807" s="16"/>
    </row>
    <row r="1808" spans="3:15" x14ac:dyDescent="0.3">
      <c r="C1808" s="16"/>
      <c r="D1808" s="16"/>
      <c r="J1808" s="16"/>
      <c r="O1808" s="16"/>
    </row>
    <row r="1809" spans="3:15" x14ac:dyDescent="0.3">
      <c r="C1809" s="16"/>
      <c r="D1809" s="16"/>
      <c r="J1809" s="16"/>
      <c r="O1809" s="16"/>
    </row>
    <row r="1810" spans="3:15" x14ac:dyDescent="0.3">
      <c r="C1810" s="16"/>
      <c r="D1810" s="16"/>
      <c r="J1810" s="16"/>
      <c r="O1810" s="16"/>
    </row>
    <row r="1811" spans="3:15" x14ac:dyDescent="0.3">
      <c r="C1811" s="16"/>
      <c r="D1811" s="16"/>
      <c r="J1811" s="16"/>
      <c r="O1811" s="16"/>
    </row>
    <row r="1812" spans="3:15" x14ac:dyDescent="0.3">
      <c r="C1812" s="16"/>
      <c r="D1812" s="16"/>
      <c r="J1812" s="16"/>
      <c r="O1812" s="16"/>
    </row>
    <row r="1813" spans="3:15" x14ac:dyDescent="0.3">
      <c r="C1813" s="16"/>
      <c r="D1813" s="16"/>
      <c r="J1813" s="16"/>
      <c r="O1813" s="16"/>
    </row>
    <row r="1814" spans="3:15" x14ac:dyDescent="0.3">
      <c r="C1814" s="16"/>
      <c r="D1814" s="16"/>
      <c r="J1814" s="16"/>
      <c r="O1814" s="16"/>
    </row>
    <row r="1815" spans="3:15" x14ac:dyDescent="0.3">
      <c r="C1815" s="16"/>
      <c r="D1815" s="16"/>
      <c r="J1815" s="16"/>
      <c r="O1815" s="16"/>
    </row>
    <row r="1816" spans="3:15" x14ac:dyDescent="0.3">
      <c r="C1816" s="16"/>
      <c r="D1816" s="16"/>
      <c r="J1816" s="16"/>
      <c r="O1816" s="16"/>
    </row>
    <row r="1817" spans="3:15" x14ac:dyDescent="0.3">
      <c r="C1817" s="16"/>
      <c r="D1817" s="16"/>
      <c r="J1817" s="16"/>
      <c r="O1817" s="16"/>
    </row>
    <row r="1818" spans="3:15" x14ac:dyDescent="0.3">
      <c r="C1818" s="16"/>
      <c r="D1818" s="16"/>
      <c r="J1818" s="16"/>
      <c r="O1818" s="16"/>
    </row>
    <row r="1819" spans="3:15" x14ac:dyDescent="0.3">
      <c r="C1819" s="16"/>
      <c r="D1819" s="16"/>
      <c r="J1819" s="16"/>
      <c r="O1819" s="16"/>
    </row>
    <row r="1820" spans="3:15" x14ac:dyDescent="0.3">
      <c r="C1820" s="16"/>
      <c r="D1820" s="16"/>
      <c r="J1820" s="16"/>
      <c r="O1820" s="16"/>
    </row>
    <row r="1821" spans="3:15" x14ac:dyDescent="0.3">
      <c r="C1821" s="16"/>
      <c r="D1821" s="16"/>
      <c r="J1821" s="16"/>
      <c r="O1821" s="16"/>
    </row>
    <row r="1822" spans="3:15" x14ac:dyDescent="0.3">
      <c r="C1822" s="16"/>
      <c r="D1822" s="16"/>
      <c r="J1822" s="16"/>
      <c r="O1822" s="16"/>
    </row>
    <row r="1823" spans="3:15" x14ac:dyDescent="0.3">
      <c r="C1823" s="16"/>
      <c r="D1823" s="16"/>
      <c r="J1823" s="16"/>
      <c r="O1823" s="16"/>
    </row>
    <row r="1824" spans="3:15" x14ac:dyDescent="0.3">
      <c r="C1824" s="16"/>
      <c r="D1824" s="16"/>
      <c r="J1824" s="16"/>
      <c r="O1824" s="16"/>
    </row>
    <row r="1825" spans="3:15" x14ac:dyDescent="0.3">
      <c r="C1825" s="16"/>
      <c r="D1825" s="16"/>
      <c r="J1825" s="16"/>
      <c r="O1825" s="16"/>
    </row>
    <row r="1826" spans="3:15" x14ac:dyDescent="0.3">
      <c r="C1826" s="16"/>
      <c r="D1826" s="16"/>
      <c r="J1826" s="16"/>
      <c r="O1826" s="16"/>
    </row>
    <row r="1827" spans="3:15" x14ac:dyDescent="0.3">
      <c r="C1827" s="16"/>
      <c r="D1827" s="16"/>
      <c r="J1827" s="16"/>
      <c r="O1827" s="16"/>
    </row>
    <row r="1828" spans="3:15" x14ac:dyDescent="0.3">
      <c r="C1828" s="16"/>
      <c r="D1828" s="16"/>
      <c r="J1828" s="16"/>
      <c r="O1828" s="16"/>
    </row>
    <row r="1829" spans="3:15" x14ac:dyDescent="0.3">
      <c r="C1829" s="16"/>
      <c r="D1829" s="16"/>
      <c r="J1829" s="16"/>
      <c r="O1829" s="16"/>
    </row>
    <row r="1830" spans="3:15" x14ac:dyDescent="0.3">
      <c r="C1830" s="16"/>
      <c r="D1830" s="16"/>
      <c r="J1830" s="16"/>
      <c r="O1830" s="16"/>
    </row>
    <row r="1831" spans="3:15" x14ac:dyDescent="0.3">
      <c r="C1831" s="16"/>
      <c r="D1831" s="16"/>
      <c r="J1831" s="16"/>
      <c r="O1831" s="16"/>
    </row>
    <row r="1832" spans="3:15" x14ac:dyDescent="0.3">
      <c r="C1832" s="16"/>
      <c r="D1832" s="16"/>
      <c r="J1832" s="16"/>
      <c r="O1832" s="16"/>
    </row>
    <row r="1833" spans="3:15" x14ac:dyDescent="0.3">
      <c r="C1833" s="16"/>
      <c r="D1833" s="16"/>
      <c r="J1833" s="16"/>
      <c r="O1833" s="16"/>
    </row>
    <row r="1834" spans="3:15" x14ac:dyDescent="0.3">
      <c r="C1834" s="16"/>
      <c r="D1834" s="16"/>
      <c r="J1834" s="16"/>
      <c r="O1834" s="16"/>
    </row>
    <row r="1835" spans="3:15" x14ac:dyDescent="0.3">
      <c r="C1835" s="16"/>
      <c r="D1835" s="16"/>
      <c r="J1835" s="16"/>
      <c r="O1835" s="16"/>
    </row>
    <row r="1836" spans="3:15" x14ac:dyDescent="0.3">
      <c r="C1836" s="16"/>
      <c r="D1836" s="16"/>
      <c r="J1836" s="16"/>
      <c r="O1836" s="16"/>
    </row>
    <row r="1837" spans="3:15" x14ac:dyDescent="0.3">
      <c r="C1837" s="16"/>
      <c r="D1837" s="16"/>
      <c r="J1837" s="16"/>
      <c r="O1837" s="16"/>
    </row>
    <row r="1838" spans="3:15" x14ac:dyDescent="0.3">
      <c r="C1838" s="16"/>
      <c r="D1838" s="16"/>
      <c r="J1838" s="16"/>
      <c r="O1838" s="16"/>
    </row>
    <row r="1839" spans="3:15" x14ac:dyDescent="0.3">
      <c r="C1839" s="16"/>
      <c r="D1839" s="16"/>
      <c r="J1839" s="16"/>
      <c r="O1839" s="16"/>
    </row>
    <row r="1840" spans="3:15" x14ac:dyDescent="0.3">
      <c r="C1840" s="16"/>
      <c r="D1840" s="16"/>
      <c r="J1840" s="16"/>
      <c r="O1840" s="16"/>
    </row>
    <row r="1841" spans="3:15" x14ac:dyDescent="0.3">
      <c r="C1841" s="16"/>
      <c r="D1841" s="16"/>
      <c r="J1841" s="16"/>
      <c r="O1841" s="16"/>
    </row>
    <row r="1842" spans="3:15" x14ac:dyDescent="0.3">
      <c r="C1842" s="16"/>
      <c r="D1842" s="16"/>
      <c r="J1842" s="16"/>
      <c r="O1842" s="16"/>
    </row>
    <row r="1843" spans="3:15" x14ac:dyDescent="0.3">
      <c r="C1843" s="16"/>
      <c r="D1843" s="16"/>
      <c r="J1843" s="16"/>
      <c r="O1843" s="16"/>
    </row>
    <row r="1844" spans="3:15" x14ac:dyDescent="0.3">
      <c r="C1844" s="16"/>
      <c r="D1844" s="16"/>
      <c r="J1844" s="16"/>
      <c r="O1844" s="16"/>
    </row>
    <row r="1845" spans="3:15" x14ac:dyDescent="0.3">
      <c r="C1845" s="16"/>
      <c r="D1845" s="16"/>
      <c r="J1845" s="16"/>
      <c r="O1845" s="16"/>
    </row>
    <row r="1846" spans="3:15" x14ac:dyDescent="0.3">
      <c r="C1846" s="16"/>
      <c r="D1846" s="16"/>
      <c r="J1846" s="16"/>
      <c r="O1846" s="16"/>
    </row>
    <row r="1847" spans="3:15" x14ac:dyDescent="0.3">
      <c r="C1847" s="16"/>
      <c r="D1847" s="16"/>
      <c r="J1847" s="16"/>
      <c r="O1847" s="16"/>
    </row>
    <row r="1848" spans="3:15" x14ac:dyDescent="0.3">
      <c r="C1848" s="16"/>
      <c r="D1848" s="16"/>
      <c r="J1848" s="16"/>
      <c r="O1848" s="16"/>
    </row>
    <row r="1849" spans="3:15" x14ac:dyDescent="0.3">
      <c r="C1849" s="16"/>
      <c r="D1849" s="16"/>
      <c r="J1849" s="16"/>
      <c r="O1849" s="16"/>
    </row>
    <row r="1850" spans="3:15" x14ac:dyDescent="0.3">
      <c r="C1850" s="16"/>
      <c r="D1850" s="16"/>
      <c r="J1850" s="16"/>
      <c r="O1850" s="16"/>
    </row>
    <row r="1851" spans="3:15" x14ac:dyDescent="0.3">
      <c r="C1851" s="16"/>
      <c r="D1851" s="16"/>
      <c r="J1851" s="16"/>
      <c r="O1851" s="16"/>
    </row>
    <row r="1852" spans="3:15" x14ac:dyDescent="0.3">
      <c r="C1852" s="16"/>
      <c r="D1852" s="16"/>
      <c r="J1852" s="16"/>
      <c r="O1852" s="16"/>
    </row>
    <row r="1853" spans="3:15" x14ac:dyDescent="0.3">
      <c r="C1853" s="16"/>
      <c r="D1853" s="16"/>
      <c r="J1853" s="16"/>
      <c r="O1853" s="16"/>
    </row>
    <row r="1854" spans="3:15" x14ac:dyDescent="0.3">
      <c r="C1854" s="16"/>
      <c r="D1854" s="16"/>
      <c r="J1854" s="16"/>
      <c r="O1854" s="16"/>
    </row>
    <row r="1855" spans="3:15" x14ac:dyDescent="0.3">
      <c r="C1855" s="16"/>
      <c r="D1855" s="16"/>
      <c r="J1855" s="16"/>
      <c r="O1855" s="16"/>
    </row>
    <row r="1856" spans="3:15" x14ac:dyDescent="0.3">
      <c r="C1856" s="16"/>
      <c r="D1856" s="16"/>
      <c r="J1856" s="16"/>
      <c r="O1856" s="16"/>
    </row>
    <row r="1857" spans="3:15" x14ac:dyDescent="0.3">
      <c r="C1857" s="16"/>
      <c r="D1857" s="16"/>
      <c r="J1857" s="16"/>
      <c r="O1857" s="16"/>
    </row>
    <row r="1858" spans="3:15" x14ac:dyDescent="0.3">
      <c r="C1858" s="16"/>
      <c r="D1858" s="16"/>
      <c r="J1858" s="16"/>
      <c r="O1858" s="16"/>
    </row>
    <row r="1859" spans="3:15" x14ac:dyDescent="0.3">
      <c r="C1859" s="16"/>
      <c r="D1859" s="16"/>
      <c r="J1859" s="16"/>
      <c r="O1859" s="16"/>
    </row>
    <row r="1860" spans="3:15" x14ac:dyDescent="0.3">
      <c r="C1860" s="16"/>
      <c r="D1860" s="16"/>
      <c r="J1860" s="16"/>
      <c r="O1860" s="16"/>
    </row>
    <row r="1861" spans="3:15" x14ac:dyDescent="0.3">
      <c r="C1861" s="16"/>
      <c r="D1861" s="16"/>
      <c r="J1861" s="16"/>
      <c r="O1861" s="16"/>
    </row>
    <row r="1862" spans="3:15" x14ac:dyDescent="0.3">
      <c r="C1862" s="16"/>
      <c r="D1862" s="16"/>
      <c r="J1862" s="16"/>
      <c r="O1862" s="16"/>
    </row>
    <row r="1863" spans="3:15" x14ac:dyDescent="0.3">
      <c r="C1863" s="16"/>
      <c r="D1863" s="16"/>
      <c r="J1863" s="16"/>
      <c r="O1863" s="16"/>
    </row>
    <row r="1864" spans="3:15" x14ac:dyDescent="0.3">
      <c r="C1864" s="16"/>
      <c r="D1864" s="16"/>
      <c r="J1864" s="16"/>
      <c r="O1864" s="16"/>
    </row>
    <row r="1865" spans="3:15" x14ac:dyDescent="0.3">
      <c r="C1865" s="16"/>
      <c r="D1865" s="16"/>
      <c r="J1865" s="16"/>
      <c r="O1865" s="16"/>
    </row>
    <row r="1866" spans="3:15" x14ac:dyDescent="0.3">
      <c r="C1866" s="16"/>
      <c r="D1866" s="16"/>
      <c r="J1866" s="16"/>
      <c r="O1866" s="16"/>
    </row>
    <row r="1867" spans="3:15" x14ac:dyDescent="0.3">
      <c r="C1867" s="16"/>
      <c r="D1867" s="16"/>
      <c r="J1867" s="16"/>
      <c r="O1867" s="16"/>
    </row>
    <row r="1868" spans="3:15" x14ac:dyDescent="0.3">
      <c r="C1868" s="16"/>
      <c r="D1868" s="16"/>
      <c r="J1868" s="16"/>
      <c r="O1868" s="16"/>
    </row>
    <row r="1869" spans="3:15" x14ac:dyDescent="0.3">
      <c r="C1869" s="16"/>
      <c r="D1869" s="16"/>
      <c r="J1869" s="16"/>
      <c r="O1869" s="16"/>
    </row>
    <row r="1870" spans="3:15" x14ac:dyDescent="0.3">
      <c r="C1870" s="16"/>
      <c r="D1870" s="16"/>
      <c r="J1870" s="16"/>
      <c r="O1870" s="16"/>
    </row>
    <row r="1871" spans="3:15" x14ac:dyDescent="0.3">
      <c r="C1871" s="16"/>
      <c r="D1871" s="16"/>
      <c r="J1871" s="16"/>
      <c r="O1871" s="16"/>
    </row>
    <row r="1872" spans="3:15" x14ac:dyDescent="0.3">
      <c r="C1872" s="16"/>
      <c r="D1872" s="16"/>
      <c r="J1872" s="16"/>
      <c r="O1872" s="16"/>
    </row>
    <row r="1873" spans="3:15" x14ac:dyDescent="0.3">
      <c r="C1873" s="16"/>
      <c r="D1873" s="16"/>
      <c r="J1873" s="16"/>
      <c r="O1873" s="16"/>
    </row>
    <row r="1874" spans="3:15" x14ac:dyDescent="0.3">
      <c r="C1874" s="16"/>
      <c r="D1874" s="16"/>
      <c r="J1874" s="16"/>
      <c r="O1874" s="16"/>
    </row>
    <row r="1875" spans="3:15" x14ac:dyDescent="0.3">
      <c r="C1875" s="16"/>
      <c r="D1875" s="16"/>
      <c r="J1875" s="16"/>
      <c r="O1875" s="16"/>
    </row>
    <row r="1876" spans="3:15" x14ac:dyDescent="0.3">
      <c r="C1876" s="16"/>
      <c r="D1876" s="16"/>
      <c r="J1876" s="16"/>
      <c r="O1876" s="16"/>
    </row>
    <row r="1877" spans="3:15" x14ac:dyDescent="0.3">
      <c r="C1877" s="16"/>
      <c r="D1877" s="16"/>
      <c r="J1877" s="16"/>
      <c r="O1877" s="16"/>
    </row>
    <row r="1878" spans="3:15" x14ac:dyDescent="0.3">
      <c r="C1878" s="16"/>
      <c r="D1878" s="16"/>
      <c r="J1878" s="16"/>
      <c r="O1878" s="16"/>
    </row>
    <row r="1879" spans="3:15" x14ac:dyDescent="0.3">
      <c r="C1879" s="16"/>
      <c r="D1879" s="16"/>
      <c r="J1879" s="16"/>
      <c r="O1879" s="16"/>
    </row>
    <row r="1880" spans="3:15" x14ac:dyDescent="0.3">
      <c r="C1880" s="16"/>
      <c r="D1880" s="16"/>
      <c r="J1880" s="16"/>
      <c r="O1880" s="16"/>
    </row>
    <row r="1881" spans="3:15" x14ac:dyDescent="0.3">
      <c r="C1881" s="16"/>
      <c r="D1881" s="16"/>
      <c r="J1881" s="16"/>
      <c r="O1881" s="16"/>
    </row>
    <row r="1882" spans="3:15" x14ac:dyDescent="0.3">
      <c r="C1882" s="16"/>
      <c r="D1882" s="16"/>
      <c r="J1882" s="16"/>
      <c r="O1882" s="16"/>
    </row>
    <row r="1883" spans="3:15" x14ac:dyDescent="0.3">
      <c r="C1883" s="16"/>
      <c r="D1883" s="16"/>
      <c r="J1883" s="16"/>
      <c r="O1883" s="16"/>
    </row>
    <row r="1884" spans="3:15" x14ac:dyDescent="0.3">
      <c r="C1884" s="16"/>
      <c r="D1884" s="16"/>
      <c r="J1884" s="16"/>
      <c r="O1884" s="16"/>
    </row>
    <row r="1885" spans="3:15" x14ac:dyDescent="0.3">
      <c r="C1885" s="16"/>
      <c r="D1885" s="16"/>
      <c r="J1885" s="16"/>
      <c r="O1885" s="16"/>
    </row>
    <row r="1886" spans="3:15" x14ac:dyDescent="0.3">
      <c r="C1886" s="16"/>
      <c r="D1886" s="16"/>
      <c r="J1886" s="16"/>
      <c r="O1886" s="16"/>
    </row>
    <row r="1887" spans="3:15" x14ac:dyDescent="0.3">
      <c r="C1887" s="16"/>
      <c r="D1887" s="16"/>
      <c r="J1887" s="16"/>
      <c r="O1887" s="16"/>
    </row>
    <row r="1888" spans="3:15" x14ac:dyDescent="0.3">
      <c r="C1888" s="16"/>
      <c r="D1888" s="16"/>
      <c r="J1888" s="16"/>
      <c r="O1888" s="16"/>
    </row>
    <row r="1889" spans="3:15" x14ac:dyDescent="0.3">
      <c r="C1889" s="16"/>
      <c r="D1889" s="16"/>
      <c r="J1889" s="16"/>
      <c r="O1889" s="16"/>
    </row>
    <row r="1890" spans="3:15" x14ac:dyDescent="0.3">
      <c r="C1890" s="16"/>
      <c r="D1890" s="16"/>
      <c r="J1890" s="16"/>
      <c r="O1890" s="16"/>
    </row>
    <row r="1891" spans="3:15" x14ac:dyDescent="0.3">
      <c r="C1891" s="16"/>
      <c r="D1891" s="16"/>
      <c r="J1891" s="16"/>
      <c r="O1891" s="16"/>
    </row>
    <row r="1892" spans="3:15" x14ac:dyDescent="0.3">
      <c r="C1892" s="16"/>
      <c r="D1892" s="16"/>
      <c r="J1892" s="16"/>
      <c r="O1892" s="16"/>
    </row>
    <row r="1893" spans="3:15" x14ac:dyDescent="0.3">
      <c r="C1893" s="16"/>
      <c r="D1893" s="16"/>
      <c r="J1893" s="16"/>
      <c r="O1893" s="16"/>
    </row>
    <row r="1894" spans="3:15" x14ac:dyDescent="0.3">
      <c r="C1894" s="16"/>
      <c r="D1894" s="16"/>
      <c r="J1894" s="16"/>
      <c r="O1894" s="16"/>
    </row>
    <row r="1895" spans="3:15" x14ac:dyDescent="0.3">
      <c r="C1895" s="16"/>
      <c r="D1895" s="16"/>
      <c r="J1895" s="16"/>
      <c r="O1895" s="16"/>
    </row>
    <row r="1896" spans="3:15" x14ac:dyDescent="0.3">
      <c r="C1896" s="16"/>
      <c r="D1896" s="16"/>
      <c r="J1896" s="16"/>
      <c r="O1896" s="16"/>
    </row>
    <row r="1897" spans="3:15" x14ac:dyDescent="0.3">
      <c r="C1897" s="16"/>
      <c r="D1897" s="16"/>
      <c r="J1897" s="16"/>
      <c r="O1897" s="16"/>
    </row>
    <row r="1898" spans="3:15" x14ac:dyDescent="0.3">
      <c r="C1898" s="16"/>
      <c r="D1898" s="16"/>
      <c r="J1898" s="16"/>
      <c r="O1898" s="16"/>
    </row>
    <row r="1899" spans="3:15" x14ac:dyDescent="0.3">
      <c r="C1899" s="16"/>
      <c r="D1899" s="16"/>
      <c r="J1899" s="16"/>
      <c r="O1899" s="16"/>
    </row>
    <row r="1900" spans="3:15" x14ac:dyDescent="0.3">
      <c r="C1900" s="16"/>
      <c r="D1900" s="16"/>
      <c r="J1900" s="16"/>
      <c r="O1900" s="16"/>
    </row>
    <row r="1901" spans="3:15" x14ac:dyDescent="0.3">
      <c r="C1901" s="16"/>
      <c r="D1901" s="16"/>
      <c r="J1901" s="16"/>
      <c r="O1901" s="16"/>
    </row>
    <row r="1902" spans="3:15" x14ac:dyDescent="0.3">
      <c r="C1902" s="16"/>
      <c r="D1902" s="16"/>
      <c r="J1902" s="16"/>
      <c r="O1902" s="16"/>
    </row>
    <row r="1903" spans="3:15" x14ac:dyDescent="0.3">
      <c r="C1903" s="16"/>
      <c r="D1903" s="16"/>
      <c r="J1903" s="16"/>
      <c r="O1903" s="16"/>
    </row>
    <row r="1904" spans="3:15" x14ac:dyDescent="0.3">
      <c r="C1904" s="16"/>
      <c r="D1904" s="16"/>
      <c r="J1904" s="16"/>
      <c r="O1904" s="16"/>
    </row>
    <row r="1905" spans="3:15" x14ac:dyDescent="0.3">
      <c r="C1905" s="16"/>
      <c r="D1905" s="16"/>
      <c r="J1905" s="16"/>
      <c r="O1905" s="16"/>
    </row>
    <row r="1906" spans="3:15" x14ac:dyDescent="0.3">
      <c r="C1906" s="16"/>
      <c r="D1906" s="16"/>
      <c r="J1906" s="16"/>
      <c r="O1906" s="16"/>
    </row>
    <row r="1907" spans="3:15" x14ac:dyDescent="0.3">
      <c r="C1907" s="16"/>
      <c r="D1907" s="16"/>
      <c r="J1907" s="16"/>
      <c r="O1907" s="16"/>
    </row>
    <row r="1908" spans="3:15" x14ac:dyDescent="0.3">
      <c r="C1908" s="16"/>
      <c r="D1908" s="16"/>
      <c r="J1908" s="16"/>
      <c r="O1908" s="16"/>
    </row>
    <row r="1909" spans="3:15" x14ac:dyDescent="0.3">
      <c r="C1909" s="16"/>
      <c r="D1909" s="16"/>
      <c r="J1909" s="16"/>
      <c r="O1909" s="16"/>
    </row>
    <row r="1910" spans="3:15" x14ac:dyDescent="0.3">
      <c r="C1910" s="16"/>
      <c r="D1910" s="16"/>
      <c r="J1910" s="16"/>
      <c r="O1910" s="16"/>
    </row>
    <row r="1911" spans="3:15" x14ac:dyDescent="0.3">
      <c r="C1911" s="16"/>
      <c r="D1911" s="16"/>
      <c r="J1911" s="16"/>
      <c r="O1911" s="16"/>
    </row>
    <row r="1912" spans="3:15" x14ac:dyDescent="0.3">
      <c r="C1912" s="16"/>
      <c r="D1912" s="16"/>
      <c r="J1912" s="16"/>
      <c r="O1912" s="16"/>
    </row>
    <row r="1913" spans="3:15" x14ac:dyDescent="0.3">
      <c r="C1913" s="16"/>
      <c r="D1913" s="16"/>
      <c r="J1913" s="16"/>
      <c r="O1913" s="16"/>
    </row>
    <row r="1914" spans="3:15" x14ac:dyDescent="0.3">
      <c r="C1914" s="16"/>
      <c r="D1914" s="16"/>
      <c r="J1914" s="16"/>
      <c r="O1914" s="16"/>
    </row>
    <row r="1915" spans="3:15" x14ac:dyDescent="0.3">
      <c r="C1915" s="16"/>
      <c r="D1915" s="16"/>
      <c r="J1915" s="16"/>
      <c r="O1915" s="16"/>
    </row>
    <row r="1916" spans="3:15" x14ac:dyDescent="0.3">
      <c r="C1916" s="16"/>
      <c r="D1916" s="16"/>
      <c r="J1916" s="16"/>
      <c r="O1916" s="16"/>
    </row>
    <row r="1917" spans="3:15" x14ac:dyDescent="0.3">
      <c r="C1917" s="16"/>
      <c r="D1917" s="16"/>
      <c r="J1917" s="16"/>
      <c r="O1917" s="16"/>
    </row>
    <row r="1918" spans="3:15" x14ac:dyDescent="0.3">
      <c r="C1918" s="16"/>
      <c r="D1918" s="16"/>
      <c r="J1918" s="16"/>
      <c r="O1918" s="16"/>
    </row>
    <row r="1919" spans="3:15" x14ac:dyDescent="0.3">
      <c r="C1919" s="16"/>
      <c r="D1919" s="16"/>
      <c r="J1919" s="16"/>
      <c r="O1919" s="16"/>
    </row>
    <row r="1920" spans="3:15" x14ac:dyDescent="0.3">
      <c r="C1920" s="16"/>
      <c r="D1920" s="16"/>
      <c r="J1920" s="16"/>
      <c r="O1920" s="16"/>
    </row>
    <row r="1921" spans="3:15" x14ac:dyDescent="0.3">
      <c r="C1921" s="16"/>
      <c r="D1921" s="16"/>
      <c r="J1921" s="16"/>
      <c r="O1921" s="16"/>
    </row>
    <row r="1922" spans="3:15" x14ac:dyDescent="0.3">
      <c r="C1922" s="16"/>
      <c r="D1922" s="16"/>
      <c r="J1922" s="16"/>
      <c r="O1922" s="16"/>
    </row>
    <row r="1923" spans="3:15" x14ac:dyDescent="0.3">
      <c r="C1923" s="16"/>
      <c r="D1923" s="16"/>
      <c r="J1923" s="16"/>
      <c r="O1923" s="16"/>
    </row>
    <row r="1924" spans="3:15" x14ac:dyDescent="0.3">
      <c r="C1924" s="16"/>
      <c r="D1924" s="16"/>
      <c r="J1924" s="16"/>
      <c r="O1924" s="16"/>
    </row>
    <row r="1925" spans="3:15" x14ac:dyDescent="0.3">
      <c r="C1925" s="16"/>
      <c r="D1925" s="16"/>
      <c r="J1925" s="16"/>
      <c r="O1925" s="16"/>
    </row>
    <row r="1926" spans="3:15" x14ac:dyDescent="0.3">
      <c r="C1926" s="16"/>
      <c r="D1926" s="16"/>
      <c r="J1926" s="16"/>
      <c r="O1926" s="16"/>
    </row>
    <row r="1927" spans="3:15" x14ac:dyDescent="0.3">
      <c r="C1927" s="16"/>
      <c r="D1927" s="16"/>
      <c r="J1927" s="16"/>
      <c r="O1927" s="16"/>
    </row>
    <row r="1928" spans="3:15" x14ac:dyDescent="0.3">
      <c r="C1928" s="16"/>
      <c r="D1928" s="16"/>
      <c r="J1928" s="16"/>
      <c r="O1928" s="16"/>
    </row>
    <row r="1929" spans="3:15" x14ac:dyDescent="0.3">
      <c r="C1929" s="16"/>
      <c r="D1929" s="16"/>
      <c r="J1929" s="16"/>
      <c r="O1929" s="16"/>
    </row>
    <row r="1930" spans="3:15" x14ac:dyDescent="0.3">
      <c r="C1930" s="16"/>
      <c r="D1930" s="16"/>
      <c r="J1930" s="16"/>
      <c r="O1930" s="16"/>
    </row>
    <row r="1931" spans="3:15" x14ac:dyDescent="0.3">
      <c r="C1931" s="16"/>
      <c r="D1931" s="16"/>
      <c r="J1931" s="16"/>
      <c r="O1931" s="16"/>
    </row>
    <row r="1932" spans="3:15" x14ac:dyDescent="0.3">
      <c r="C1932" s="16"/>
      <c r="D1932" s="16"/>
      <c r="J1932" s="16"/>
      <c r="O1932" s="16"/>
    </row>
    <row r="1933" spans="3:15" x14ac:dyDescent="0.3">
      <c r="C1933" s="16"/>
      <c r="D1933" s="16"/>
      <c r="J1933" s="16"/>
      <c r="O1933" s="16"/>
    </row>
    <row r="1934" spans="3:15" x14ac:dyDescent="0.3">
      <c r="C1934" s="16"/>
      <c r="D1934" s="16"/>
      <c r="J1934" s="16"/>
      <c r="O1934" s="16"/>
    </row>
    <row r="1935" spans="3:15" x14ac:dyDescent="0.3">
      <c r="C1935" s="16"/>
      <c r="D1935" s="16"/>
      <c r="J1935" s="16"/>
      <c r="O1935" s="16"/>
    </row>
    <row r="1936" spans="3:15" x14ac:dyDescent="0.3">
      <c r="C1936" s="16"/>
      <c r="D1936" s="16"/>
      <c r="J1936" s="16"/>
      <c r="O1936" s="16"/>
    </row>
    <row r="1937" spans="3:15" x14ac:dyDescent="0.3">
      <c r="C1937" s="16"/>
      <c r="D1937" s="16"/>
      <c r="J1937" s="16"/>
      <c r="O1937" s="16"/>
    </row>
    <row r="1938" spans="3:15" x14ac:dyDescent="0.3">
      <c r="C1938" s="16"/>
      <c r="D1938" s="16"/>
      <c r="J1938" s="16"/>
      <c r="O1938" s="16"/>
    </row>
    <row r="1939" spans="3:15" x14ac:dyDescent="0.3">
      <c r="C1939" s="16"/>
      <c r="D1939" s="16"/>
      <c r="J1939" s="16"/>
      <c r="O1939" s="16"/>
    </row>
    <row r="1940" spans="3:15" x14ac:dyDescent="0.3">
      <c r="C1940" s="16"/>
      <c r="D1940" s="16"/>
      <c r="J1940" s="16"/>
      <c r="O1940" s="16"/>
    </row>
    <row r="1941" spans="3:15" x14ac:dyDescent="0.3">
      <c r="C1941" s="16"/>
      <c r="D1941" s="16"/>
      <c r="J1941" s="16"/>
      <c r="O1941" s="16"/>
    </row>
    <row r="1942" spans="3:15" x14ac:dyDescent="0.3">
      <c r="C1942" s="16"/>
      <c r="D1942" s="16"/>
      <c r="J1942" s="16"/>
      <c r="O1942" s="16"/>
    </row>
    <row r="1943" spans="3:15" x14ac:dyDescent="0.3">
      <c r="C1943" s="16"/>
      <c r="D1943" s="16"/>
      <c r="J1943" s="16"/>
      <c r="O1943" s="16"/>
    </row>
    <row r="1944" spans="3:15" x14ac:dyDescent="0.3">
      <c r="C1944" s="16"/>
      <c r="D1944" s="16"/>
      <c r="J1944" s="16"/>
      <c r="O1944" s="16"/>
    </row>
    <row r="1945" spans="3:15" x14ac:dyDescent="0.3">
      <c r="C1945" s="16"/>
      <c r="D1945" s="16"/>
      <c r="J1945" s="16"/>
      <c r="O1945" s="16"/>
    </row>
    <row r="1946" spans="3:15" x14ac:dyDescent="0.3">
      <c r="C1946" s="16"/>
      <c r="D1946" s="16"/>
      <c r="J1946" s="16"/>
      <c r="O1946" s="16"/>
    </row>
    <row r="1947" spans="3:15" x14ac:dyDescent="0.3">
      <c r="C1947" s="16"/>
      <c r="D1947" s="16"/>
      <c r="J1947" s="16"/>
      <c r="O1947" s="16"/>
    </row>
    <row r="1948" spans="3:15" x14ac:dyDescent="0.3">
      <c r="C1948" s="16"/>
      <c r="D1948" s="16"/>
      <c r="J1948" s="16"/>
      <c r="O1948" s="16"/>
    </row>
    <row r="1949" spans="3:15" x14ac:dyDescent="0.3">
      <c r="C1949" s="16"/>
      <c r="D1949" s="16"/>
      <c r="J1949" s="16"/>
      <c r="O1949" s="16"/>
    </row>
    <row r="1950" spans="3:15" x14ac:dyDescent="0.3">
      <c r="C1950" s="16"/>
      <c r="D1950" s="16"/>
      <c r="J1950" s="16"/>
      <c r="O1950" s="16"/>
    </row>
    <row r="1951" spans="3:15" x14ac:dyDescent="0.3">
      <c r="C1951" s="16"/>
      <c r="D1951" s="16"/>
      <c r="J1951" s="16"/>
      <c r="O1951" s="16"/>
    </row>
    <row r="1952" spans="3:15" x14ac:dyDescent="0.3">
      <c r="C1952" s="16"/>
      <c r="D1952" s="16"/>
      <c r="J1952" s="16"/>
      <c r="O1952" s="16"/>
    </row>
    <row r="1953" spans="3:15" x14ac:dyDescent="0.3">
      <c r="C1953" s="16"/>
      <c r="D1953" s="16"/>
      <c r="J1953" s="16"/>
      <c r="O1953" s="16"/>
    </row>
    <row r="1954" spans="3:15" x14ac:dyDescent="0.3">
      <c r="C1954" s="16"/>
      <c r="D1954" s="16"/>
      <c r="J1954" s="16"/>
      <c r="O1954" s="16"/>
    </row>
    <row r="1955" spans="3:15" x14ac:dyDescent="0.3">
      <c r="C1955" s="16"/>
      <c r="D1955" s="16"/>
      <c r="J1955" s="16"/>
      <c r="O1955" s="16"/>
    </row>
    <row r="1956" spans="3:15" x14ac:dyDescent="0.3">
      <c r="C1956" s="16"/>
      <c r="D1956" s="16"/>
      <c r="J1956" s="16"/>
      <c r="O1956" s="16"/>
    </row>
    <row r="1957" spans="3:15" x14ac:dyDescent="0.3">
      <c r="C1957" s="16"/>
      <c r="D1957" s="16"/>
      <c r="J1957" s="16"/>
      <c r="O1957" s="16"/>
    </row>
    <row r="1958" spans="3:15" x14ac:dyDescent="0.3">
      <c r="C1958" s="16"/>
      <c r="D1958" s="16"/>
      <c r="J1958" s="16"/>
      <c r="O1958" s="16"/>
    </row>
    <row r="1959" spans="3:15" x14ac:dyDescent="0.3">
      <c r="C1959" s="16"/>
      <c r="D1959" s="16"/>
      <c r="J1959" s="16"/>
      <c r="O1959" s="16"/>
    </row>
    <row r="1960" spans="3:15" x14ac:dyDescent="0.3">
      <c r="C1960" s="16"/>
      <c r="D1960" s="16"/>
      <c r="J1960" s="16"/>
      <c r="O1960" s="16"/>
    </row>
    <row r="1961" spans="3:15" x14ac:dyDescent="0.3">
      <c r="C1961" s="16"/>
      <c r="D1961" s="16"/>
      <c r="J1961" s="16"/>
      <c r="O1961" s="16"/>
    </row>
    <row r="1962" spans="3:15" x14ac:dyDescent="0.3">
      <c r="C1962" s="16"/>
      <c r="D1962" s="16"/>
      <c r="J1962" s="16"/>
      <c r="O1962" s="16"/>
    </row>
    <row r="1963" spans="3:15" x14ac:dyDescent="0.3">
      <c r="C1963" s="16"/>
      <c r="D1963" s="16"/>
      <c r="J1963" s="16"/>
      <c r="O1963" s="16"/>
    </row>
    <row r="1964" spans="3:15" x14ac:dyDescent="0.3">
      <c r="C1964" s="16"/>
      <c r="D1964" s="16"/>
      <c r="J1964" s="16"/>
      <c r="O1964" s="16"/>
    </row>
    <row r="1965" spans="3:15" x14ac:dyDescent="0.3">
      <c r="C1965" s="16"/>
      <c r="D1965" s="16"/>
      <c r="J1965" s="16"/>
      <c r="O1965" s="16"/>
    </row>
    <row r="1966" spans="3:15" x14ac:dyDescent="0.3">
      <c r="C1966" s="16"/>
      <c r="D1966" s="16"/>
      <c r="J1966" s="16"/>
      <c r="O1966" s="16"/>
    </row>
    <row r="1967" spans="3:15" x14ac:dyDescent="0.3">
      <c r="C1967" s="16"/>
      <c r="D1967" s="16"/>
      <c r="J1967" s="16"/>
      <c r="O1967" s="16"/>
    </row>
    <row r="1968" spans="3:15" x14ac:dyDescent="0.3">
      <c r="C1968" s="16"/>
      <c r="D1968" s="16"/>
      <c r="J1968" s="16"/>
      <c r="O1968" s="16"/>
    </row>
    <row r="1969" spans="3:15" x14ac:dyDescent="0.3">
      <c r="C1969" s="16"/>
      <c r="D1969" s="16"/>
      <c r="J1969" s="16"/>
      <c r="O1969" s="16"/>
    </row>
    <row r="1970" spans="3:15" x14ac:dyDescent="0.3">
      <c r="C1970" s="16"/>
      <c r="D1970" s="16"/>
      <c r="J1970" s="16"/>
      <c r="O1970" s="16"/>
    </row>
    <row r="1971" spans="3:15" x14ac:dyDescent="0.3">
      <c r="C1971" s="16"/>
      <c r="D1971" s="16"/>
      <c r="J1971" s="16"/>
      <c r="O1971" s="16"/>
    </row>
    <row r="1972" spans="3:15" x14ac:dyDescent="0.3">
      <c r="C1972" s="16"/>
      <c r="D1972" s="16"/>
      <c r="J1972" s="16"/>
      <c r="O1972" s="16"/>
    </row>
    <row r="1973" spans="3:15" x14ac:dyDescent="0.3">
      <c r="C1973" s="16"/>
      <c r="D1973" s="16"/>
      <c r="J1973" s="16"/>
      <c r="O1973" s="16"/>
    </row>
    <row r="1974" spans="3:15" x14ac:dyDescent="0.3">
      <c r="C1974" s="16"/>
      <c r="D1974" s="16"/>
      <c r="J1974" s="16"/>
      <c r="O1974" s="16"/>
    </row>
    <row r="1975" spans="3:15" x14ac:dyDescent="0.3">
      <c r="C1975" s="16"/>
      <c r="D1975" s="16"/>
      <c r="J1975" s="16"/>
      <c r="O1975" s="16"/>
    </row>
    <row r="1976" spans="3:15" x14ac:dyDescent="0.3">
      <c r="C1976" s="16"/>
      <c r="D1976" s="16"/>
      <c r="J1976" s="16"/>
      <c r="O1976" s="16"/>
    </row>
    <row r="1977" spans="3:15" x14ac:dyDescent="0.3">
      <c r="C1977" s="16"/>
      <c r="D1977" s="16"/>
      <c r="J1977" s="16"/>
      <c r="O1977" s="16"/>
    </row>
    <row r="1978" spans="3:15" x14ac:dyDescent="0.3">
      <c r="C1978" s="16"/>
      <c r="D1978" s="16"/>
      <c r="J1978" s="16"/>
      <c r="O1978" s="16"/>
    </row>
    <row r="1979" spans="3:15" x14ac:dyDescent="0.3">
      <c r="C1979" s="16"/>
      <c r="D1979" s="16"/>
      <c r="J1979" s="16"/>
      <c r="O1979" s="16"/>
    </row>
    <row r="1980" spans="3:15" x14ac:dyDescent="0.3">
      <c r="C1980" s="16"/>
      <c r="D1980" s="16"/>
      <c r="J1980" s="16"/>
      <c r="O1980" s="16"/>
    </row>
    <row r="1981" spans="3:15" x14ac:dyDescent="0.3">
      <c r="C1981" s="16"/>
      <c r="D1981" s="16"/>
      <c r="J1981" s="16"/>
      <c r="O1981" s="16"/>
    </row>
    <row r="1982" spans="3:15" x14ac:dyDescent="0.3">
      <c r="C1982" s="16"/>
      <c r="D1982" s="16"/>
      <c r="J1982" s="16"/>
      <c r="O1982" s="16"/>
    </row>
    <row r="1983" spans="3:15" x14ac:dyDescent="0.3">
      <c r="C1983" s="16"/>
      <c r="D1983" s="16"/>
      <c r="J1983" s="16"/>
      <c r="O1983" s="16"/>
    </row>
    <row r="1984" spans="3:15" x14ac:dyDescent="0.3">
      <c r="C1984" s="16"/>
      <c r="D1984" s="16"/>
      <c r="J1984" s="16"/>
      <c r="O1984" s="16"/>
    </row>
    <row r="1985" spans="3:15" x14ac:dyDescent="0.3">
      <c r="C1985" s="16"/>
      <c r="D1985" s="16"/>
      <c r="J1985" s="16"/>
      <c r="O1985" s="16"/>
    </row>
    <row r="1986" spans="3:15" x14ac:dyDescent="0.3">
      <c r="C1986" s="16"/>
      <c r="D1986" s="16"/>
      <c r="J1986" s="16"/>
      <c r="O1986" s="16"/>
    </row>
    <row r="1987" spans="3:15" x14ac:dyDescent="0.3">
      <c r="C1987" s="16"/>
      <c r="D1987" s="16"/>
      <c r="J1987" s="16"/>
      <c r="O1987" s="16"/>
    </row>
    <row r="1988" spans="3:15" x14ac:dyDescent="0.3">
      <c r="C1988" s="16"/>
      <c r="D1988" s="16"/>
      <c r="J1988" s="16"/>
      <c r="O1988" s="16"/>
    </row>
    <row r="1989" spans="3:15" x14ac:dyDescent="0.3">
      <c r="C1989" s="16"/>
      <c r="D1989" s="16"/>
      <c r="J1989" s="16"/>
      <c r="O1989" s="16"/>
    </row>
    <row r="1990" spans="3:15" x14ac:dyDescent="0.3">
      <c r="C1990" s="16"/>
      <c r="D1990" s="16"/>
      <c r="J1990" s="16"/>
      <c r="O1990" s="16"/>
    </row>
    <row r="1991" spans="3:15" x14ac:dyDescent="0.3">
      <c r="C1991" s="16"/>
      <c r="D1991" s="16"/>
      <c r="J1991" s="16"/>
      <c r="O1991" s="16"/>
    </row>
    <row r="1992" spans="3:15" x14ac:dyDescent="0.3">
      <c r="C1992" s="16"/>
      <c r="D1992" s="16"/>
      <c r="J1992" s="16"/>
      <c r="O1992" s="16"/>
    </row>
    <row r="1993" spans="3:15" x14ac:dyDescent="0.3">
      <c r="C1993" s="16"/>
      <c r="D1993" s="16"/>
      <c r="J1993" s="16"/>
      <c r="O1993" s="16"/>
    </row>
    <row r="1994" spans="3:15" x14ac:dyDescent="0.3">
      <c r="C1994" s="16"/>
      <c r="D1994" s="16"/>
      <c r="J1994" s="16"/>
      <c r="O1994" s="16"/>
    </row>
    <row r="1995" spans="3:15" x14ac:dyDescent="0.3">
      <c r="C1995" s="16"/>
      <c r="D1995" s="16"/>
      <c r="J1995" s="16"/>
      <c r="O1995" s="16"/>
    </row>
    <row r="1996" spans="3:15" x14ac:dyDescent="0.3">
      <c r="C1996" s="16"/>
      <c r="D1996" s="16"/>
      <c r="J1996" s="16"/>
      <c r="O1996" s="16"/>
    </row>
    <row r="1997" spans="3:15" x14ac:dyDescent="0.3">
      <c r="C1997" s="16"/>
      <c r="D1997" s="16"/>
      <c r="J1997" s="16"/>
      <c r="O1997" s="16"/>
    </row>
    <row r="1998" spans="3:15" x14ac:dyDescent="0.3">
      <c r="C1998" s="16"/>
      <c r="D1998" s="16"/>
      <c r="J1998" s="16"/>
      <c r="O1998" s="16"/>
    </row>
    <row r="1999" spans="3:15" x14ac:dyDescent="0.3">
      <c r="C1999" s="16"/>
      <c r="D1999" s="16"/>
      <c r="J1999" s="16"/>
      <c r="O1999" s="16"/>
    </row>
    <row r="2000" spans="3:15" x14ac:dyDescent="0.3">
      <c r="C2000" s="16"/>
      <c r="D2000" s="16"/>
      <c r="J2000" s="16"/>
      <c r="O2000" s="16"/>
    </row>
  </sheetData>
  <sheetProtection algorithmName="SHA-512" hashValue="7h5kJJHZZRdPig+UsFIchVqB/WrSZ7eWBBFdHcmE7Uau5P9VI5ewIxvNTGLem8mOySSw9NulYOlGROfbZtNHgA==" saltValue="rKN12pPr51NFZEJGuBAZWA==" spinCount="100000" sheet="1" objects="1" scenarios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98A1-B9D8-425A-BB29-13B6D0F5A472}">
  <sheetPr codeName="Sheet5">
    <pageSetUpPr fitToPage="1"/>
  </sheetPr>
  <dimension ref="A1:K5"/>
  <sheetViews>
    <sheetView showGridLines="0" showRowColHeaders="0" zoomScale="130" zoomScaleNormal="130" workbookViewId="0">
      <selection activeCell="I4" sqref="I4"/>
    </sheetView>
  </sheetViews>
  <sheetFormatPr defaultRowHeight="14.4" x14ac:dyDescent="0.3"/>
  <cols>
    <col min="1" max="1" width="7.21875" customWidth="1"/>
    <col min="2" max="2" width="9" customWidth="1"/>
    <col min="3" max="3" width="17.77734375" customWidth="1"/>
    <col min="4" max="4" width="5.33203125" customWidth="1"/>
    <col min="5" max="5" width="19.44140625" customWidth="1"/>
    <col min="6" max="6" width="18.109375" customWidth="1"/>
    <col min="7" max="7" width="7.77734375" customWidth="1"/>
    <col min="8" max="8" width="19.44140625" customWidth="1"/>
    <col min="9" max="9" width="19" customWidth="1"/>
    <col min="10" max="10" width="8" customWidth="1"/>
    <col min="11" max="11" width="23.5546875" customWidth="1"/>
    <col min="12" max="12" width="6.6640625" customWidth="1"/>
  </cols>
  <sheetData>
    <row r="1" spans="1:11" ht="21" customHeight="1" x14ac:dyDescent="0.3">
      <c r="A1" s="132" t="s">
        <v>16</v>
      </c>
      <c r="C1" s="93"/>
      <c r="D1" s="21"/>
      <c r="E1" s="149" t="s">
        <v>4</v>
      </c>
      <c r="F1" s="151">
        <f xml:space="preserve"> IF(Data2!Q1=2, IF(Data2!A3=1,"_", 2*10^4+Data2!A3*10^3+F4*100+Data2!A4 ), Data2!A2*10^4+Data2!A3*10^3+F4*100+Data2!A4)</f>
        <v>12012</v>
      </c>
      <c r="G1" s="55"/>
      <c r="H1" s="56"/>
      <c r="I1" s="56"/>
      <c r="K1" s="93"/>
    </row>
    <row r="2" spans="1:11" ht="27.6" customHeight="1" x14ac:dyDescent="0.3">
      <c r="B2" s="20"/>
      <c r="C2" s="95"/>
      <c r="D2" s="20"/>
      <c r="E2" s="67" t="s">
        <v>18</v>
      </c>
      <c r="F2" s="38">
        <f>IF(Data2!Q1=2, IF(Data2!A3=1, "_",  0.3), Data2!A14)</f>
        <v>0.15</v>
      </c>
      <c r="G2" s="57"/>
      <c r="H2" s="71" t="s">
        <v>0</v>
      </c>
      <c r="I2" s="58">
        <f>IF(AND(Data2!Q1=2,Data2!A3=1),"_", Data2!U2)</f>
        <v>1.5866929799999999E-2</v>
      </c>
      <c r="J2" s="91"/>
      <c r="K2" s="95"/>
    </row>
    <row r="3" spans="1:11" ht="27.6" customHeight="1" x14ac:dyDescent="0.3">
      <c r="B3" s="20"/>
      <c r="C3" s="94"/>
      <c r="D3" s="20"/>
      <c r="E3" s="68" t="s">
        <v>17</v>
      </c>
      <c r="F3" s="36">
        <f>IF(AND(Data2!Q1=2,Data2!A3=1),"_",Data2!A5)</f>
        <v>0.1</v>
      </c>
      <c r="G3" s="22"/>
      <c r="H3" s="72" t="s">
        <v>13</v>
      </c>
      <c r="I3" s="144">
        <f>IF(AND(Data2!Q1=2,Data2!A3=1), "_", DEGREES(2*ATAN(1.16925*F5)))</f>
        <v>15.974059813936858</v>
      </c>
      <c r="J3" s="92"/>
      <c r="K3" s="157"/>
    </row>
    <row r="4" spans="1:11" ht="25.8" customHeight="1" x14ac:dyDescent="0.3">
      <c r="D4" s="18"/>
      <c r="E4" s="69" t="s">
        <v>5</v>
      </c>
      <c r="F4" s="31">
        <f xml:space="preserve"> IF(AND(Data2!Q1=2,Data2!A3=1), "_", IF(Data2!Q1=1, 0, 1))</f>
        <v>0</v>
      </c>
      <c r="G4" s="117"/>
      <c r="H4" s="118"/>
      <c r="I4" s="118"/>
      <c r="J4" s="158"/>
      <c r="K4" s="159"/>
    </row>
    <row r="5" spans="1:11" ht="27" customHeight="1" x14ac:dyDescent="0.3">
      <c r="E5" s="70" t="s">
        <v>9</v>
      </c>
      <c r="F5" s="37">
        <f>IF(AND(Data2!Q1=2,Data2!A3=1),"_", Data2!A7)</f>
        <v>0.12</v>
      </c>
      <c r="G5" s="117"/>
    </row>
  </sheetData>
  <sheetProtection algorithmName="SHA-512" hashValue="52hJtTyVGIOF8QS/CjzHml0/wUq1YMb7PQFJlcNNi3NwVc+cbnzdU5V0My9mXoDOs9VWiw7UYH4Q1fF7p2DUPA==" saltValue="1wBgSpbRXyAUvoAgPPMAbQ==" spinCount="100000" sheet="1" objects="1" scenarios="1"/>
  <hyperlinks>
    <hyperlink ref="A1" location="Start_page!A1" display="BACK" xr:uid="{44F15EF6-7350-4AA4-BD20-06795FC503F9}"/>
  </hyperlinks>
  <pageMargins left="0.7" right="0.7" top="0.75" bottom="0.75" header="0.3" footer="0.3"/>
  <pageSetup paperSize="9" scale="7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Spinner 1">
              <controlPr locked="0" defaultSize="0" autoPict="0">
                <anchor moveWithCells="1">
                  <from>
                    <xdr:col>6</xdr:col>
                    <xdr:colOff>0</xdr:colOff>
                    <xdr:row>1</xdr:row>
                    <xdr:rowOff>22860</xdr:rowOff>
                  </from>
                  <to>
                    <xdr:col>6</xdr:col>
                    <xdr:colOff>144780</xdr:colOff>
                    <xdr:row>1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Spinner 2">
              <controlPr locked="0" defaultSize="0" autoPict="0">
                <anchor moveWithCells="1">
                  <from>
                    <xdr:col>6</xdr:col>
                    <xdr:colOff>0</xdr:colOff>
                    <xdr:row>2</xdr:row>
                    <xdr:rowOff>30480</xdr:rowOff>
                  </from>
                  <to>
                    <xdr:col>6</xdr:col>
                    <xdr:colOff>144780</xdr:colOff>
                    <xdr:row>2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Spinner 3">
              <controlPr locked="0" defaultSize="0" autoPict="0">
                <anchor moveWithCells="1">
                  <from>
                    <xdr:col>6</xdr:col>
                    <xdr:colOff>0</xdr:colOff>
                    <xdr:row>4</xdr:row>
                    <xdr:rowOff>22860</xdr:rowOff>
                  </from>
                  <to>
                    <xdr:col>6</xdr:col>
                    <xdr:colOff>144780</xdr:colOff>
                    <xdr:row>4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Option Button 5">
              <controlPr locked="0" defaultSize="0" autoFill="0" autoLine="0" autoPict="0">
                <anchor moveWithCells="1">
                  <from>
                    <xdr:col>2</xdr:col>
                    <xdr:colOff>68580</xdr:colOff>
                    <xdr:row>1</xdr:row>
                    <xdr:rowOff>68580</xdr:rowOff>
                  </from>
                  <to>
                    <xdr:col>2</xdr:col>
                    <xdr:colOff>1082040</xdr:colOff>
                    <xdr:row>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Option Button 6">
              <controlPr locked="0" defaultSize="0" autoFill="0" autoLine="0" autoPict="0">
                <anchor moveWithCells="1">
                  <from>
                    <xdr:col>2</xdr:col>
                    <xdr:colOff>60960</xdr:colOff>
                    <xdr:row>1</xdr:row>
                    <xdr:rowOff>327660</xdr:rowOff>
                  </from>
                  <to>
                    <xdr:col>2</xdr:col>
                    <xdr:colOff>1051560</xdr:colOff>
                    <xdr:row>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9" name="Check Box 8">
              <controlPr locked="0" defaultSize="0" autoFill="0" autoLine="0" autoPict="0">
                <anchor moveWithCells="1">
                  <from>
                    <xdr:col>10</xdr:col>
                    <xdr:colOff>99060</xdr:colOff>
                    <xdr:row>1</xdr:row>
                    <xdr:rowOff>60960</xdr:rowOff>
                  </from>
                  <to>
                    <xdr:col>10</xdr:col>
                    <xdr:colOff>1028700</xdr:colOff>
                    <xdr:row>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0" name="Check Box 9">
              <controlPr locked="0" defaultSize="0" autoFill="0" autoLine="0" autoPict="0">
                <anchor moveWithCells="1">
                  <from>
                    <xdr:col>10</xdr:col>
                    <xdr:colOff>99060</xdr:colOff>
                    <xdr:row>1</xdr:row>
                    <xdr:rowOff>335280</xdr:rowOff>
                  </from>
                  <to>
                    <xdr:col>10</xdr:col>
                    <xdr:colOff>1569720</xdr:colOff>
                    <xdr:row>2</xdr:row>
                    <xdr:rowOff>320040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4D67-7AE7-4A5B-9088-F822E636F76F}">
  <dimension ref="A1:AD1000"/>
  <sheetViews>
    <sheetView topLeftCell="F4" zoomScale="85" zoomScaleNormal="100" workbookViewId="0">
      <selection activeCell="AA9" sqref="AA9"/>
    </sheetView>
  </sheetViews>
  <sheetFormatPr defaultRowHeight="14.4" x14ac:dyDescent="0.3"/>
  <cols>
    <col min="2" max="2" width="9" style="12" bestFit="1" customWidth="1"/>
    <col min="3" max="3" width="9.21875" bestFit="1" customWidth="1"/>
    <col min="4" max="4" width="8.88671875" style="126"/>
    <col min="5" max="6" width="9.44140625" bestFit="1" customWidth="1"/>
    <col min="7" max="7" width="9.44140625" style="126" bestFit="1" customWidth="1"/>
    <col min="8" max="9" width="8.88671875" style="126"/>
    <col min="10" max="10" width="9.44140625" style="126" bestFit="1" customWidth="1"/>
    <col min="11" max="11" width="8.88671875" style="126"/>
    <col min="12" max="13" width="9.21875" bestFit="1" customWidth="1"/>
    <col min="14" max="14" width="10.109375" customWidth="1"/>
    <col min="15" max="15" width="9.5546875" customWidth="1"/>
    <col min="16" max="16" width="10.21875" customWidth="1"/>
    <col min="17" max="17" width="10.5546875" customWidth="1"/>
    <col min="18" max="18" width="10.44140625" customWidth="1"/>
    <col min="19" max="19" width="10.33203125" customWidth="1"/>
    <col min="20" max="21" width="10.21875" customWidth="1"/>
    <col min="22" max="22" width="9.5546875" customWidth="1"/>
    <col min="23" max="23" width="9.88671875" customWidth="1"/>
    <col min="25" max="25" width="8.88671875" style="126"/>
    <col min="27" max="27" width="10" style="126" customWidth="1"/>
    <col min="28" max="30" width="8.88671875" style="40"/>
  </cols>
  <sheetData>
    <row r="1" spans="1:30" x14ac:dyDescent="0.3">
      <c r="A1">
        <f>IF(L1=1, 0, A4/100)</f>
        <v>0.02</v>
      </c>
      <c r="B1" s="12" cm="1">
        <f t="array" ref="B1:B500">1-COS((_xlfn.SEQUENCE(500,1,0,1)*PI())/(2*(500-1)))</f>
        <v>0</v>
      </c>
      <c r="C1" s="12">
        <f>IF($A$1=0, 0, IF(B1&lt;=$A$2, ($A$1/$A$2^2)*(2*$A$2*B1-B1^2), ($A$1/(1-$A$2)^2)*((1-2*$A$2)+2*$A$2*B1-B1^2)))</f>
        <v>0</v>
      </c>
      <c r="D1" s="126">
        <f>IF(B1&lt;$N$1, ($A$3/0.2)*($O$1*SQRT(B1)+$P$1*B1+$Q$1*(B1^2)+$R$1*(B1^3)), ($A$3/0.2)*($S$1+$T$1*(1-B1)+$U$1*((1-B1)^2)+$V$1*((1-B1)^3)))</f>
        <v>0</v>
      </c>
      <c r="E1" s="12">
        <f>IF($A$1=0, 0, IF(B1&lt;=$A$2, ($A$1/$A$2^2) *(2*$A$2-2*B1), ($A$1/(1-$A$2)^2)*(2*$A$2-2*B1)))</f>
        <v>9.9999999999999978E-2</v>
      </c>
      <c r="F1" s="12">
        <f>IF($A$1=0, 0,  ATAN(E1))</f>
        <v>9.966865249116201E-2</v>
      </c>
      <c r="G1" s="122">
        <f>B1-D1*SIN(F1)</f>
        <v>0</v>
      </c>
      <c r="H1" s="122">
        <f>C1+D1*COS(F1)</f>
        <v>0</v>
      </c>
      <c r="I1" s="122">
        <f>B1+D1*SIN(F1)</f>
        <v>0</v>
      </c>
      <c r="J1" s="122">
        <f>C1-D1*COS(F1)</f>
        <v>0</v>
      </c>
      <c r="K1" s="122">
        <f>2*D1*COS(F1)</f>
        <v>0</v>
      </c>
      <c r="L1" s="19">
        <v>2</v>
      </c>
      <c r="M1" s="130">
        <v>4</v>
      </c>
      <c r="N1" s="29">
        <f>$N$2/10</f>
        <v>0.4</v>
      </c>
      <c r="O1" s="28">
        <f>IF($M$1=9, 0.2969*SQRT(3),0.2969*(M1/6))</f>
        <v>0.19793333333333332</v>
      </c>
      <c r="P1" s="28">
        <f>(0.3/N1)-1.875*(O1/SQRT(N1))-0.1*(N1/W1)</f>
        <v>4.6533185018338405E-2</v>
      </c>
      <c r="Q1" s="28">
        <f>-(0.3/(N1^2))+1.25*(O1/POWER(N1, 3/2))+(0.2/W1)</f>
        <v>-0.31366641947500828</v>
      </c>
      <c r="R1" s="28">
        <f>(0.1/N1^3)-0.375*(O1/POWER(N1, 5/2))-(0.1/(W1*N1))</f>
        <v>9.9833147939589972E-2</v>
      </c>
      <c r="S1" s="28">
        <v>2E-3</v>
      </c>
      <c r="T1" s="28">
        <f>IF(N1=0.2, 0.2, IF(N1=0.3, 0.234, IF(N1=0.4, 0.315, IF(N1=0.5, 0.465, 0.7))))</f>
        <v>0.315</v>
      </c>
      <c r="U1" s="28">
        <f>(0.294-2*(1-N1)*T1)/((1-N1)^2)</f>
        <v>-0.23333333333333339</v>
      </c>
      <c r="V1" s="125">
        <f>(-0.196+(1-N1)*T1)/((1-N1)^3)</f>
        <v>-3.2407407407407433E-2</v>
      </c>
      <c r="W1" s="27">
        <f>0.2*((1-N1)^2/(0.588-2*T1*(1-N1)))</f>
        <v>0.34285714285714292</v>
      </c>
      <c r="Y1" s="126">
        <f>IF($Z$1, C1, -0.2)</f>
        <v>-0.2</v>
      </c>
      <c r="Z1" s="19" t="b">
        <v>0</v>
      </c>
      <c r="AA1" s="126">
        <f>$E$1</f>
        <v>9.9999999999999978E-2</v>
      </c>
      <c r="AB1" s="40" cm="1">
        <f t="array" ref="AB1:AB50">_xlfn.SEQUENCE(50, 1, 0, (2*PI())/(50-1))</f>
        <v>0</v>
      </c>
      <c r="AC1" s="40">
        <f>$AA$2*(COS(ATAN($AA$1))+COS(AB1))</f>
        <v>7.9137787613627834E-3</v>
      </c>
      <c r="AD1" s="40">
        <f>IF($Z$2, $AA$2*(SIN(ATAN($AA$1))+SIN(AB1)), -0.2)</f>
        <v>-0.2</v>
      </c>
    </row>
    <row r="2" spans="1:30" x14ac:dyDescent="0.3">
      <c r="A2">
        <f>A5/10</f>
        <v>0.4</v>
      </c>
      <c r="B2" s="12">
        <v>4.9545966939179564E-6</v>
      </c>
      <c r="C2" s="12">
        <f t="shared" ref="C2:C64" si="0">IF($A$1=0, 0, IF(B2&lt;=$A$2, ($A$1/$A$2^2)*(2*$A$2*B2-B2^2), ($A$1/(1-$A$2)^2)*((1-2*$A$2)+2*$A$2*B2-B2^2)))</f>
        <v>4.9545660088824572E-7</v>
      </c>
      <c r="D2" s="126">
        <f t="shared" ref="D2:D64" si="1">IF(B2&lt;$N$1, ($A$3/0.2)*($O$1*SQRT(B2)+$P$1*B2+$Q$1*(B2^2)+$R$1*(B2^3)), ($A$3/0.2)*($S$1+$T$1*(1-B2)+$U$1*((1-B2)^2)+$V$1*((1-B2)^3)))</f>
        <v>1.9836397587577346E-4</v>
      </c>
      <c r="E2" s="12">
        <f t="shared" ref="E2:E65" si="2">IF($A$1=0, 0, IF(B2&lt;=$A$2, ($A$1/$A$2^2) *(2*$A$2-2*B2), ($A$1/(1-$A$2)^2)*(2*$A$2-2*B2)))</f>
        <v>9.9998761350826498E-2</v>
      </c>
      <c r="F2" s="12">
        <f t="shared" ref="F2:F65" si="3">IF($A$1=0, 0,  ATAN(E2))</f>
        <v>9.9667426105691334E-2</v>
      </c>
      <c r="G2" s="122">
        <f>B2-D2*SIN(F2)</f>
        <v>-1.4783114562106648E-5</v>
      </c>
      <c r="H2" s="122">
        <f t="shared" ref="H2:H65" si="4">C2+D2*COS(F2)</f>
        <v>1.9787501400139068E-4</v>
      </c>
      <c r="I2" s="122">
        <f t="shared" ref="I2:I65" si="5">B2+D2*SIN(F2)</f>
        <v>2.4692307949942561E-5</v>
      </c>
      <c r="J2" s="122">
        <f>C2-D2*COS(F2)</f>
        <v>-1.9688410079961419E-4</v>
      </c>
      <c r="K2" s="122">
        <f t="shared" ref="K2:K65" si="6">2*D2*COS(F2)</f>
        <v>3.9475911480100486E-4</v>
      </c>
      <c r="M2" s="27"/>
      <c r="N2" s="130">
        <v>4</v>
      </c>
      <c r="O2" s="27"/>
      <c r="P2" s="27"/>
      <c r="Q2" s="27"/>
      <c r="R2" s="27"/>
      <c r="S2" s="27"/>
      <c r="T2" s="27"/>
      <c r="U2" s="27"/>
      <c r="V2" s="27"/>
      <c r="W2" s="27"/>
      <c r="Y2" s="126">
        <f>IF($Z$1, C2, -0.2)</f>
        <v>-0.2</v>
      </c>
      <c r="Z2" s="19" t="b">
        <v>0</v>
      </c>
      <c r="AA2" s="126">
        <f>0.5*(0.2969*($A$3/0.2)*($M$1/6))^2</f>
        <v>3.9667324499999988E-3</v>
      </c>
      <c r="AB2" s="40">
        <v>0.12822827157509359</v>
      </c>
      <c r="AC2" s="40">
        <f t="shared" ref="AC2:AC50" si="7">$AA$2*(COS(ATAN($AA$1))+COS(AB2))</f>
        <v>7.8812119427814024E-3</v>
      </c>
      <c r="AD2" s="40">
        <f>IF($Z$2, $AA$2*(SIN(ATAN($AA$1))+SIN(AB2)), -0.2)</f>
        <v>-0.2</v>
      </c>
    </row>
    <row r="3" spans="1:30" x14ac:dyDescent="0.3">
      <c r="A3">
        <f>A6/100</f>
        <v>0.09</v>
      </c>
      <c r="B3" s="12">
        <v>1.9818337679722298E-5</v>
      </c>
      <c r="C3" s="12">
        <f t="shared" si="0"/>
        <v>1.9817846721586811E-6</v>
      </c>
      <c r="D3" s="126">
        <f t="shared" si="1"/>
        <v>3.969349089139859E-4</v>
      </c>
      <c r="E3" s="12">
        <f t="shared" si="2"/>
        <v>9.9995045415580047E-2</v>
      </c>
      <c r="F3" s="12">
        <f t="shared" si="3"/>
        <v>9.9663746959626973E-2</v>
      </c>
      <c r="G3" s="122">
        <f t="shared" ref="G3:G65" si="8">B3-D3*SIN(F3)</f>
        <v>-1.9676224452760143E-5</v>
      </c>
      <c r="H3" s="122">
        <f t="shared" si="4"/>
        <v>3.9694697488076148E-4</v>
      </c>
      <c r="I3" s="122">
        <f t="shared" si="5"/>
        <v>5.9312899812204738E-5</v>
      </c>
      <c r="J3" s="122">
        <f t="shared" ref="J3:J65" si="9">C3-D3*COS(F3)</f>
        <v>-3.9298340553644407E-4</v>
      </c>
      <c r="K3" s="122">
        <f t="shared" si="6"/>
        <v>7.8993038041720554E-4</v>
      </c>
      <c r="Y3" s="126">
        <f>IF($Z$1, C3, -0.2)</f>
        <v>-0.2</v>
      </c>
      <c r="AB3" s="40">
        <v>0.25645654315018718</v>
      </c>
      <c r="AC3" s="40">
        <f t="shared" si="7"/>
        <v>7.784046233298007E-3</v>
      </c>
      <c r="AD3" s="40">
        <f>IF($Z$2, $AA$2*(SIN(ATAN($AA$1))+SIN(AB3)), -0.2)</f>
        <v>-0.2</v>
      </c>
    </row>
    <row r="4" spans="1:30" x14ac:dyDescent="0.3">
      <c r="A4" s="19">
        <v>2</v>
      </c>
      <c r="B4" s="12">
        <v>4.4591075669564439E-5</v>
      </c>
      <c r="C4" s="12">
        <f t="shared" si="0"/>
        <v>4.4588590214527722E-6</v>
      </c>
      <c r="D4" s="126">
        <f t="shared" si="1"/>
        <v>5.957121801470213E-4</v>
      </c>
      <c r="E4" s="12">
        <f t="shared" si="2"/>
        <v>9.9988852231082587E-2</v>
      </c>
      <c r="F4" s="12">
        <f t="shared" si="3"/>
        <v>9.9657615084012316E-2</v>
      </c>
      <c r="G4" s="122">
        <f t="shared" si="8"/>
        <v>-1.4677959230744025E-5</v>
      </c>
      <c r="H4" s="122">
        <f t="shared" si="4"/>
        <v>5.9721528714138739E-4</v>
      </c>
      <c r="I4" s="122">
        <f t="shared" si="5"/>
        <v>1.038601105698729E-4</v>
      </c>
      <c r="J4" s="122">
        <f t="shared" si="9"/>
        <v>-5.8829756909848188E-4</v>
      </c>
      <c r="K4" s="122">
        <f t="shared" si="6"/>
        <v>1.1855128562398693E-3</v>
      </c>
      <c r="Y4" s="126">
        <f>IF($Z$1, C4, -0.2)</f>
        <v>-0.2</v>
      </c>
      <c r="AB4" s="40">
        <v>0.38468481472528077</v>
      </c>
      <c r="AC4" s="40">
        <f t="shared" si="7"/>
        <v>7.6238770911760236E-3</v>
      </c>
      <c r="AD4" s="40">
        <f>IF($Z$2, $AA$2*(SIN(ATAN($AA$1))+SIN(AB4)), -0.2)</f>
        <v>-0.2</v>
      </c>
    </row>
    <row r="5" spans="1:30" x14ac:dyDescent="0.3">
      <c r="A5" s="19">
        <v>4</v>
      </c>
      <c r="B5" s="12">
        <v>7.9272565185806165E-5</v>
      </c>
      <c r="C5" s="12">
        <f t="shared" si="0"/>
        <v>7.9264710011317225E-6</v>
      </c>
      <c r="D5" s="126">
        <f t="shared" si="1"/>
        <v>7.9469508541614832E-4</v>
      </c>
      <c r="E5" s="12">
        <f t="shared" si="2"/>
        <v>9.9980181858703526E-2</v>
      </c>
      <c r="F5" s="12">
        <f t="shared" si="3"/>
        <v>9.9649030530586769E-2</v>
      </c>
      <c r="G5" s="122">
        <f t="shared" si="8"/>
        <v>2.1296480259266675E-7</v>
      </c>
      <c r="H5" s="122">
        <f t="shared" si="4"/>
        <v>7.9867918732389343E-4</v>
      </c>
      <c r="I5" s="122">
        <f t="shared" si="5"/>
        <v>1.5833216556901966E-4</v>
      </c>
      <c r="J5" s="122">
        <f t="shared" si="9"/>
        <v>-7.828262453216299E-4</v>
      </c>
      <c r="K5" s="122">
        <f t="shared" si="6"/>
        <v>1.5815054326455233E-3</v>
      </c>
      <c r="Y5" s="126">
        <f>IF($Z$1, C5, -0.2)</f>
        <v>-0.2</v>
      </c>
      <c r="AB5" s="40">
        <v>0.51291308630037435</v>
      </c>
      <c r="AC5" s="40">
        <f t="shared" si="7"/>
        <v>7.4033344893009809E-3</v>
      </c>
      <c r="AD5" s="40">
        <f>IF($Z$2, $AA$2*(SIN(ATAN($AA$1))+SIN(AB5)), -0.2)</f>
        <v>-0.2</v>
      </c>
    </row>
    <row r="6" spans="1:30" x14ac:dyDescent="0.3">
      <c r="A6" s="19">
        <v>9</v>
      </c>
      <c r="B6" s="12">
        <v>1.2386246256268496E-4</v>
      </c>
      <c r="C6" s="12">
        <f t="shared" si="0"/>
        <v>1.2384328517564481E-5</v>
      </c>
      <c r="D6" s="126">
        <f t="shared" si="1"/>
        <v>9.9388283538577463E-4</v>
      </c>
      <c r="E6" s="12">
        <f t="shared" si="2"/>
        <v>9.9969034384359307E-2</v>
      </c>
      <c r="F6" s="12">
        <f t="shared" si="3"/>
        <v>9.9637993371786943E-2</v>
      </c>
      <c r="G6" s="122">
        <f t="shared" si="8"/>
        <v>2.4997744565016783E-5</v>
      </c>
      <c r="H6" s="122">
        <f t="shared" si="4"/>
        <v>1.0013377440077525E-3</v>
      </c>
      <c r="I6" s="122">
        <f t="shared" si="5"/>
        <v>2.2272718056035314E-4</v>
      </c>
      <c r="J6" s="122">
        <f t="shared" si="9"/>
        <v>-9.7656908697262338E-4</v>
      </c>
      <c r="K6" s="122">
        <f t="shared" si="6"/>
        <v>1.9779068309803759E-3</v>
      </c>
      <c r="Y6" s="126">
        <f>IF($Z$1, C6, -0.2)</f>
        <v>-0.2</v>
      </c>
      <c r="AB6" s="40">
        <v>0.64114135787546789</v>
      </c>
      <c r="AC6" s="40">
        <f t="shared" si="7"/>
        <v>7.1260397310984377E-3</v>
      </c>
      <c r="AD6" s="40">
        <f>IF($Z$2, $AA$2*(SIN(ATAN($AA$1))+SIN(AB6)), -0.2)</f>
        <v>-0.2</v>
      </c>
    </row>
    <row r="7" spans="1:30" x14ac:dyDescent="0.3">
      <c r="B7" s="12">
        <v>1.7836032595031082E-4</v>
      </c>
      <c r="C7" s="12">
        <f t="shared" si="0"/>
        <v>1.7832056044296941E-5</v>
      </c>
      <c r="D7" s="126">
        <f t="shared" si="1"/>
        <v>1.1932745555774612E-3</v>
      </c>
      <c r="E7" s="12">
        <f t="shared" si="2"/>
        <v>9.99554099185124E-2</v>
      </c>
      <c r="F7" s="12">
        <f t="shared" si="3"/>
        <v>9.9624503700747727E-2</v>
      </c>
      <c r="G7" s="122">
        <f t="shared" si="8"/>
        <v>5.967749015228152E-5</v>
      </c>
      <c r="H7" s="122">
        <f t="shared" si="4"/>
        <v>1.205189857835958E-3</v>
      </c>
      <c r="I7" s="122">
        <f t="shared" si="5"/>
        <v>2.9704316174834013E-4</v>
      </c>
      <c r="J7" s="122">
        <f t="shared" si="9"/>
        <v>-1.1695257457473641E-3</v>
      </c>
      <c r="K7" s="122">
        <f t="shared" si="6"/>
        <v>2.3747156035833221E-3</v>
      </c>
      <c r="Y7" s="126">
        <f>IF($Z$1, C7, -0.2)</f>
        <v>-0.2</v>
      </c>
      <c r="AB7" s="40">
        <v>0.76936962945056142</v>
      </c>
      <c r="AC7" s="40">
        <f t="shared" si="7"/>
        <v>6.7965459888318517E-3</v>
      </c>
      <c r="AD7" s="40">
        <f>IF($Z$2, $AA$2*(SIN(ATAN($AA$1))+SIN(AB7)), -0.2)</f>
        <v>-0.2</v>
      </c>
    </row>
    <row r="8" spans="1:30" x14ac:dyDescent="0.3">
      <c r="B8" s="12">
        <v>2.4276561531888508E-4</v>
      </c>
      <c r="C8" s="12">
        <f t="shared" si="0"/>
        <v>2.4269194638890858E-5</v>
      </c>
      <c r="D8" s="126">
        <f t="shared" si="1"/>
        <v>1.3928692864059607E-3</v>
      </c>
      <c r="E8" s="12">
        <f t="shared" si="2"/>
        <v>9.9939308596170257E-2</v>
      </c>
      <c r="F8" s="12">
        <f t="shared" si="3"/>
        <v>9.9608561631304049E-2</v>
      </c>
      <c r="G8" s="122">
        <f t="shared" si="8"/>
        <v>1.0425322479384251E-4</v>
      </c>
      <c r="H8" s="122">
        <f t="shared" si="4"/>
        <v>1.4102342615450118E-3</v>
      </c>
      <c r="I8" s="122">
        <f t="shared" si="5"/>
        <v>3.8127800584392764E-4</v>
      </c>
      <c r="J8" s="122">
        <f t="shared" si="9"/>
        <v>-1.36169587226723E-3</v>
      </c>
      <c r="K8" s="122">
        <f t="shared" si="6"/>
        <v>2.7719301338122418E-3</v>
      </c>
      <c r="Y8" s="126">
        <f>IF($Z$1, C8, -0.2)</f>
        <v>-0.2</v>
      </c>
      <c r="AB8" s="40">
        <v>0.89759790102565495</v>
      </c>
      <c r="AC8" s="40">
        <f t="shared" si="7"/>
        <v>6.4202635406398938E-3</v>
      </c>
      <c r="AD8" s="40">
        <f>IF($Z$2, $AA$2*(SIN(ATAN($AA$1))+SIN(AB8)), -0.2)</f>
        <v>-0.2</v>
      </c>
    </row>
    <row r="9" spans="1:30" x14ac:dyDescent="0.3">
      <c r="B9" s="12">
        <v>3.1707769246391848E-4</v>
      </c>
      <c r="C9" s="12">
        <f t="shared" si="0"/>
        <v>3.1695201963509563E-5</v>
      </c>
      <c r="D9" s="126">
        <f t="shared" si="1"/>
        <v>1.592665983224514E-3</v>
      </c>
      <c r="E9" s="12">
        <f t="shared" si="2"/>
        <v>9.9920730576883998E-2</v>
      </c>
      <c r="F9" s="12">
        <f t="shared" si="3"/>
        <v>9.9590167297992888E-2</v>
      </c>
      <c r="G9" s="122">
        <f t="shared" si="8"/>
        <v>1.5872588480547929E-4</v>
      </c>
      <c r="H9" s="122">
        <f t="shared" si="4"/>
        <v>1.6164695200075055E-3</v>
      </c>
      <c r="I9" s="122">
        <f t="shared" si="5"/>
        <v>4.7542950012235768E-4</v>
      </c>
      <c r="J9" s="122">
        <f t="shared" si="9"/>
        <v>-1.5530791160804865E-3</v>
      </c>
      <c r="K9" s="122">
        <f t="shared" si="6"/>
        <v>3.1695486360879921E-3</v>
      </c>
      <c r="Y9" s="126">
        <f>IF($Z$1, C9, -0.2)</f>
        <v>-0.2</v>
      </c>
      <c r="AB9" s="40">
        <v>1.0258261726007485</v>
      </c>
      <c r="AC9" s="40">
        <f t="shared" si="7"/>
        <v>6.0033709339189865E-3</v>
      </c>
      <c r="AD9" s="40">
        <f>IF($Z$2, $AA$2*(SIN(ATAN($AA$1))+SIN(AB9)), -0.2)</f>
        <v>-0.2</v>
      </c>
    </row>
    <row r="10" spans="1:30" x14ac:dyDescent="0.3">
      <c r="B10" s="12">
        <v>4.0129582101267047E-4</v>
      </c>
      <c r="C10" s="12">
        <f t="shared" si="0"/>
        <v>4.0109452309271768E-5</v>
      </c>
      <c r="D10" s="126">
        <f t="shared" si="1"/>
        <v>1.7926635163789681E-3</v>
      </c>
      <c r="E10" s="12">
        <f t="shared" si="2"/>
        <v>9.989967604474681E-2</v>
      </c>
      <c r="F10" s="12">
        <f t="shared" si="3"/>
        <v>9.9569320856055604E-2</v>
      </c>
      <c r="G10" s="122">
        <f t="shared" si="8"/>
        <v>2.2309631953909141E-4</v>
      </c>
      <c r="H10" s="122">
        <f t="shared" si="4"/>
        <v>1.8238940302868858E-3</v>
      </c>
      <c r="I10" s="122">
        <f t="shared" si="5"/>
        <v>5.7949532248624948E-4</v>
      </c>
      <c r="J10" s="122">
        <f t="shared" si="9"/>
        <v>-1.7436751256683421E-3</v>
      </c>
      <c r="K10" s="122">
        <f t="shared" si="6"/>
        <v>3.5675691559552279E-3</v>
      </c>
      <c r="Y10" s="126">
        <f>IF($Z$1, C10, -0.2)</f>
        <v>-0.2</v>
      </c>
      <c r="AB10" s="40">
        <v>1.154054444175842</v>
      </c>
      <c r="AC10" s="40">
        <f t="shared" si="7"/>
        <v>5.5527135337458695E-3</v>
      </c>
      <c r="AD10" s="40">
        <f>IF($Z$2, $AA$2*(SIN(ATAN($AA$1))+SIN(AB10)), -0.2)</f>
        <v>-0.2</v>
      </c>
    </row>
    <row r="11" spans="1:30" x14ac:dyDescent="0.3">
      <c r="B11" s="12">
        <v>4.9541916643136563E-4</v>
      </c>
      <c r="C11" s="12">
        <f t="shared" si="0"/>
        <v>4.9511236624328104E-5</v>
      </c>
      <c r="D11" s="126">
        <f t="shared" si="1"/>
        <v>1.9928606712692892E-3</v>
      </c>
      <c r="E11" s="12">
        <f t="shared" si="2"/>
        <v>9.9876145208392136E-2</v>
      </c>
      <c r="F11" s="12">
        <f t="shared" si="3"/>
        <v>9.9546022481440788E-2</v>
      </c>
      <c r="G11" s="122">
        <f t="shared" si="8"/>
        <v>2.9736529132936998E-4</v>
      </c>
      <c r="H11" s="122">
        <f t="shared" si="4"/>
        <v>2.0325060217029388E-3</v>
      </c>
      <c r="I11" s="122">
        <f t="shared" si="5"/>
        <v>6.9347304153336128E-4</v>
      </c>
      <c r="J11" s="122">
        <f t="shared" si="9"/>
        <v>-1.9334835484542826E-3</v>
      </c>
      <c r="K11" s="122">
        <f t="shared" si="6"/>
        <v>3.9659895701572214E-3</v>
      </c>
      <c r="Y11" s="126">
        <f>IF($Z$1, C11, -0.2)</f>
        <v>-0.2</v>
      </c>
      <c r="AB11" s="40">
        <v>1.2822827157509356</v>
      </c>
      <c r="AC11" s="40">
        <f t="shared" si="7"/>
        <v>5.075691122172289E-3</v>
      </c>
      <c r="AD11" s="40">
        <f>IF($Z$2, $AA$2*(SIN(ATAN($AA$1))+SIN(AB11)), -0.2)</f>
        <v>-0.2</v>
      </c>
    </row>
    <row r="12" spans="1:30" x14ac:dyDescent="0.3">
      <c r="B12" s="12">
        <v>5.9944679603363138E-4</v>
      </c>
      <c r="C12" s="12">
        <f t="shared" si="0"/>
        <v>5.9899762545703756E-5</v>
      </c>
      <c r="D12" s="126">
        <f t="shared" si="1"/>
        <v>2.1932561484196995E-3</v>
      </c>
      <c r="E12" s="12">
        <f t="shared" si="2"/>
        <v>9.985013830099157E-2</v>
      </c>
      <c r="F12" s="12">
        <f t="shared" si="3"/>
        <v>9.9520272370807267E-2</v>
      </c>
      <c r="G12" s="122">
        <f t="shared" si="8"/>
        <v>3.8153347543767131E-4</v>
      </c>
      <c r="H12" s="122">
        <f t="shared" si="4"/>
        <v>2.2423035559092637E-3</v>
      </c>
      <c r="I12" s="122">
        <f t="shared" si="5"/>
        <v>8.1736011662959145E-4</v>
      </c>
      <c r="J12" s="122">
        <f t="shared" si="9"/>
        <v>-2.1225040308178564E-3</v>
      </c>
      <c r="K12" s="122">
        <f t="shared" si="6"/>
        <v>4.3648075867271201E-3</v>
      </c>
      <c r="Y12" s="126">
        <f>IF($Z$1, C12, -0.2)</f>
        <v>-0.2</v>
      </c>
      <c r="AB12" s="40">
        <v>1.4105109873260291</v>
      </c>
      <c r="AC12" s="40">
        <f t="shared" si="7"/>
        <v>4.5801363940082863E-3</v>
      </c>
      <c r="AD12" s="40">
        <f>IF($Z$2, $AA$2*(SIN(ATAN($AA$1))+SIN(AB12)), -0.2)</f>
        <v>-0.2</v>
      </c>
    </row>
    <row r="13" spans="1:30" x14ac:dyDescent="0.3">
      <c r="B13" s="12">
        <v>7.133776789896018E-4</v>
      </c>
      <c r="C13" s="12">
        <f t="shared" si="0"/>
        <v>7.127415443485009E-5</v>
      </c>
      <c r="D13" s="126">
        <f t="shared" si="1"/>
        <v>2.3938485635561593E-3</v>
      </c>
      <c r="E13" s="12">
        <f t="shared" si="2"/>
        <v>9.9821655580252577E-2</v>
      </c>
      <c r="F13" s="12">
        <f t="shared" si="3"/>
        <v>9.9492070741527647E-2</v>
      </c>
      <c r="G13" s="122">
        <f t="shared" si="8"/>
        <v>4.7560145999266974E-4</v>
      </c>
      <c r="H13" s="122">
        <f t="shared" si="4"/>
        <v>2.4532845269814121E-3</v>
      </c>
      <c r="I13" s="122">
        <f t="shared" si="5"/>
        <v>9.5115389798653381E-4</v>
      </c>
      <c r="J13" s="122">
        <f t="shared" si="9"/>
        <v>-2.3107362181117122E-3</v>
      </c>
      <c r="K13" s="122">
        <f t="shared" si="6"/>
        <v>4.7640207450931242E-3</v>
      </c>
      <c r="Y13" s="126">
        <f>IF($Z$1, C13, -0.2)</f>
        <v>-0.2</v>
      </c>
      <c r="AB13" s="40">
        <v>1.5387392589011226</v>
      </c>
      <c r="AC13" s="40">
        <f t="shared" si="7"/>
        <v>4.0741863441899643E-3</v>
      </c>
      <c r="AD13" s="40">
        <f>IF($Z$2, $AA$2*(SIN(ATAN($AA$1))+SIN(AB13)), -0.2)</f>
        <v>-0.2</v>
      </c>
    </row>
    <row r="14" spans="1:30" x14ac:dyDescent="0.3">
      <c r="B14" s="12">
        <v>8.3721068633602069E-4</v>
      </c>
      <c r="C14" s="12">
        <f t="shared" si="0"/>
        <v>8.3633453416937667E-5</v>
      </c>
      <c r="D14" s="126">
        <f t="shared" si="1"/>
        <v>2.5946364476920935E-3</v>
      </c>
      <c r="E14" s="12">
        <f t="shared" si="2"/>
        <v>9.9790697328415973E-2</v>
      </c>
      <c r="F14" s="12">
        <f t="shared" si="3"/>
        <v>9.946141783169217E-2</v>
      </c>
      <c r="G14" s="122">
        <f t="shared" si="8"/>
        <v>5.7956974592803944E-4</v>
      </c>
      <c r="H14" s="122">
        <f t="shared" si="4"/>
        <v>2.6654466615166129E-3</v>
      </c>
      <c r="I14" s="122">
        <f t="shared" si="5"/>
        <v>1.0948516267440019E-3</v>
      </c>
      <c r="J14" s="122">
        <f t="shared" si="9"/>
        <v>-2.4981797546827374E-3</v>
      </c>
      <c r="K14" s="122">
        <f t="shared" si="6"/>
        <v>5.1636264161993503E-3</v>
      </c>
      <c r="Y14" s="126">
        <f>IF($Z$1, C14, -0.2)</f>
        <v>-0.2</v>
      </c>
      <c r="AB14" s="40">
        <v>1.6669675304762162</v>
      </c>
      <c r="AC14" s="40">
        <f t="shared" si="7"/>
        <v>3.5661486585475961E-3</v>
      </c>
      <c r="AD14" s="40">
        <f>IF($Z$2, $AA$2*(SIN(ATAN($AA$1))+SIN(AB14)), -0.2)</f>
        <v>-0.2</v>
      </c>
    </row>
    <row r="15" spans="1:30" x14ac:dyDescent="0.3">
      <c r="B15" s="12">
        <v>9.7094459098767683E-4</v>
      </c>
      <c r="C15" s="12">
        <f t="shared" si="0"/>
        <v>9.6976617423921629E-5</v>
      </c>
      <c r="D15" s="126">
        <f t="shared" si="1"/>
        <v>2.7956182472227177E-3</v>
      </c>
      <c r="E15" s="12">
        <f t="shared" si="2"/>
        <v>9.9757263852253059E-2</v>
      </c>
      <c r="F15" s="12">
        <f t="shared" si="3"/>
        <v>9.9428313900112891E-2</v>
      </c>
      <c r="G15" s="122">
        <f t="shared" si="8"/>
        <v>6.9343874691746754E-4</v>
      </c>
      <c r="H15" s="122">
        <f t="shared" si="4"/>
        <v>2.8787875187454874E-3</v>
      </c>
      <c r="I15" s="122">
        <f t="shared" si="5"/>
        <v>1.2484504350578861E-3</v>
      </c>
      <c r="J15" s="122">
        <f t="shared" si="9"/>
        <v>-2.6848342838976438E-3</v>
      </c>
      <c r="K15" s="122">
        <f t="shared" si="6"/>
        <v>5.5636218026431311E-3</v>
      </c>
      <c r="Y15" s="126">
        <f>IF($Z$1, C15, -0.2)</f>
        <v>-0.2</v>
      </c>
      <c r="AB15" s="40">
        <v>1.7951958020513097</v>
      </c>
      <c r="AC15" s="40">
        <f t="shared" si="7"/>
        <v>3.0643653018339692E-3</v>
      </c>
      <c r="AD15" s="40">
        <f>IF($Z$2, $AA$2*(SIN(ATAN($AA$1))+SIN(AB15)), -0.2)</f>
        <v>-0.2</v>
      </c>
    </row>
    <row r="16" spans="1:30" x14ac:dyDescent="0.3">
      <c r="B16" s="12">
        <v>1.1145780677496164E-3</v>
      </c>
      <c r="C16" s="12">
        <f t="shared" si="0"/>
        <v>1.1130252124132305E-4</v>
      </c>
      <c r="D16" s="126">
        <f t="shared" si="1"/>
        <v>2.9967923240269583E-3</v>
      </c>
      <c r="E16" s="12">
        <f t="shared" si="2"/>
        <v>9.9721355483062574E-2</v>
      </c>
      <c r="F16" s="12">
        <f t="shared" si="3"/>
        <v>9.9392759226328259E-2</v>
      </c>
      <c r="G16" s="122">
        <f t="shared" si="8"/>
        <v>8.1720878930655418E-4</v>
      </c>
      <c r="H16" s="122">
        <f t="shared" si="4"/>
        <v>3.0933044906546817E-3</v>
      </c>
      <c r="I16" s="122">
        <f t="shared" si="5"/>
        <v>1.4119473461926787E-3</v>
      </c>
      <c r="J16" s="122">
        <f t="shared" si="9"/>
        <v>-2.8706994481720359E-3</v>
      </c>
      <c r="K16" s="122">
        <f t="shared" si="6"/>
        <v>5.9640039388267176E-3</v>
      </c>
      <c r="Y16" s="126">
        <f>IF($Z$1, C16, -0.2)</f>
        <v>-0.2</v>
      </c>
      <c r="AB16" s="40">
        <v>1.9234240736264032</v>
      </c>
      <c r="AC16" s="40">
        <f t="shared" si="7"/>
        <v>2.5770755428937719E-3</v>
      </c>
      <c r="AD16" s="40">
        <f>IF($Z$2, $AA$2*(SIN(ATAN($AA$1))+SIN(AB16)), -0.2)</f>
        <v>-0.2</v>
      </c>
    </row>
    <row r="17" spans="2:30" x14ac:dyDescent="0.3">
      <c r="B17" s="12">
        <v>1.2681096933296887E-3</v>
      </c>
      <c r="C17" s="12">
        <f t="shared" si="0"/>
        <v>1.2660995655867926E-4</v>
      </c>
      <c r="D17" s="126">
        <f t="shared" si="1"/>
        <v>3.1981569555765703E-3</v>
      </c>
      <c r="E17" s="12">
        <f t="shared" si="2"/>
        <v>9.9682972576667556E-2</v>
      </c>
      <c r="F17" s="12">
        <f t="shared" si="3"/>
        <v>9.9354754110608109E-2</v>
      </c>
      <c r="G17" s="122">
        <f t="shared" si="8"/>
        <v>9.5088011204119758E-4</v>
      </c>
      <c r="H17" s="122">
        <f t="shared" si="4"/>
        <v>3.3089948021199959E-3</v>
      </c>
      <c r="I17" s="122">
        <f t="shared" si="5"/>
        <v>1.5853392746181798E-3</v>
      </c>
      <c r="J17" s="122">
        <f t="shared" si="9"/>
        <v>-3.0557748890026374E-3</v>
      </c>
      <c r="K17" s="122">
        <f t="shared" si="6"/>
        <v>6.3647696911226332E-3</v>
      </c>
      <c r="Y17" s="126">
        <f>IF($Z$1, C17, -0.2)</f>
        <v>-0.2</v>
      </c>
      <c r="AB17" s="40">
        <v>2.051652345201497</v>
      </c>
      <c r="AC17" s="40">
        <f t="shared" si="7"/>
        <v>2.1122806660969482E-3</v>
      </c>
      <c r="AD17" s="40">
        <f>IF($Z$2, $AA$2*(SIN(ATAN($AA$1))+SIN(AB17)), -0.2)</f>
        <v>-0.2</v>
      </c>
    </row>
    <row r="18" spans="2:30" x14ac:dyDescent="0.3">
      <c r="B18" s="12">
        <v>1.4315379463535338E-3</v>
      </c>
      <c r="C18" s="12">
        <f t="shared" si="0"/>
        <v>1.4289763202387211E-4</v>
      </c>
      <c r="D18" s="126">
        <f t="shared" si="1"/>
        <v>3.3997103350552997E-3</v>
      </c>
      <c r="E18" s="12">
        <f t="shared" si="2"/>
        <v>9.9642115513411594E-2</v>
      </c>
      <c r="F18" s="12">
        <f t="shared" si="3"/>
        <v>9.9314298873958845E-2</v>
      </c>
      <c r="G18" s="122">
        <f t="shared" si="8"/>
        <v>1.0944528665943036E-3</v>
      </c>
      <c r="H18" s="122">
        <f t="shared" si="4"/>
        <v>3.5258555110530406E-3</v>
      </c>
      <c r="I18" s="122">
        <f t="shared" si="5"/>
        <v>1.7686230261127641E-3</v>
      </c>
      <c r="J18" s="122">
        <f t="shared" si="9"/>
        <v>-3.2400602470052968E-3</v>
      </c>
      <c r="K18" s="122">
        <f t="shared" si="6"/>
        <v>6.7659157580583374E-3</v>
      </c>
      <c r="Y18" s="126">
        <f>IF($Z$1, C18, -0.2)</f>
        <v>-0.2</v>
      </c>
      <c r="AB18" s="40">
        <v>2.1798806167765905</v>
      </c>
      <c r="AC18" s="40">
        <f t="shared" si="7"/>
        <v>1.6776125904705565E-3</v>
      </c>
      <c r="AD18" s="40">
        <f>IF($Z$2, $AA$2*(SIN(ATAN($AA$1))+SIN(AB18)), -0.2)</f>
        <v>-0.2</v>
      </c>
    </row>
    <row r="19" spans="2:30" x14ac:dyDescent="0.3">
      <c r="B19" s="12">
        <v>1.6048612073787938E-3</v>
      </c>
      <c r="C19" s="12">
        <f t="shared" si="0"/>
        <v>1.6016417330101069E-4</v>
      </c>
      <c r="D19" s="126">
        <f t="shared" si="1"/>
        <v>3.6014505714836607E-3</v>
      </c>
      <c r="E19" s="12">
        <f t="shared" si="2"/>
        <v>9.9598784698155279E-2</v>
      </c>
      <c r="F19" s="12">
        <f t="shared" si="3"/>
        <v>9.9271393858129248E-2</v>
      </c>
      <c r="G19" s="122">
        <f t="shared" si="8"/>
        <v>1.2479271168880455E-3</v>
      </c>
      <c r="H19" s="122">
        <f t="shared" si="4"/>
        <v>3.7438835085567071E-3</v>
      </c>
      <c r="I19" s="122">
        <f t="shared" si="5"/>
        <v>1.9617952978695421E-3</v>
      </c>
      <c r="J19" s="122">
        <f t="shared" si="9"/>
        <v>-3.4235551619546858E-3</v>
      </c>
      <c r="K19" s="122">
        <f t="shared" si="6"/>
        <v>7.1674386705113929E-3</v>
      </c>
      <c r="Y19" s="126">
        <f>IF($Z$1, C19, -0.2)</f>
        <v>-0.2</v>
      </c>
      <c r="AB19" s="40">
        <v>2.308108888351684</v>
      </c>
      <c r="AC19" s="40">
        <f t="shared" si="7"/>
        <v>1.2802085537993338E-3</v>
      </c>
      <c r="AD19" s="40">
        <f>IF($Z$2, $AA$2*(SIN(ATAN($AA$1))+SIN(AB19)), -0.2)</f>
        <v>-0.2</v>
      </c>
    </row>
    <row r="20" spans="2:30" x14ac:dyDescent="0.3">
      <c r="B20" s="12">
        <v>1.7880777589119878E-3</v>
      </c>
      <c r="C20" s="12">
        <f t="shared" si="0"/>
        <v>1.7840812313220931E-4</v>
      </c>
      <c r="D20" s="126">
        <f t="shared" si="1"/>
        <v>3.8033756898538649E-3</v>
      </c>
      <c r="E20" s="12">
        <f t="shared" si="2"/>
        <v>9.9552980560271981E-2</v>
      </c>
      <c r="F20" s="12">
        <f t="shared" si="3"/>
        <v>9.9226039425616322E-2</v>
      </c>
      <c r="G20" s="122">
        <f t="shared" si="8"/>
        <v>1.411302839214679E-3</v>
      </c>
      <c r="H20" s="122">
        <f t="shared" si="4"/>
        <v>3.963075519094297E-3</v>
      </c>
      <c r="I20" s="122">
        <f t="shared" si="5"/>
        <v>2.1648526786092969E-3</v>
      </c>
      <c r="J20" s="122">
        <f t="shared" si="9"/>
        <v>-3.6062592728298782E-3</v>
      </c>
      <c r="K20" s="122">
        <f t="shared" si="6"/>
        <v>7.5693347919241752E-3</v>
      </c>
      <c r="Y20" s="126">
        <f>IF($Z$1, C20, -0.2)</f>
        <v>-0.2</v>
      </c>
      <c r="AB20" s="40">
        <v>2.4363371599267776</v>
      </c>
      <c r="AC20" s="40">
        <f t="shared" si="7"/>
        <v>9.2659391937859362E-4</v>
      </c>
      <c r="AD20" s="40">
        <f>IF($Z$2, $AA$2*(SIN(ATAN($AA$1))+SIN(AB20)), -0.2)</f>
        <v>-0.2</v>
      </c>
    </row>
    <row r="21" spans="2:30" x14ac:dyDescent="0.3">
      <c r="B21" s="12">
        <v>1.9811857854247217E-3</v>
      </c>
      <c r="C21" s="12">
        <f t="shared" si="0"/>
        <v>1.9762794140292602E-4</v>
      </c>
      <c r="D21" s="126">
        <f t="shared" si="1"/>
        <v>4.0054836312707525E-3</v>
      </c>
      <c r="E21" s="12">
        <f t="shared" si="2"/>
        <v>9.9504703553643797E-2</v>
      </c>
      <c r="F21" s="12">
        <f t="shared" si="3"/>
        <v>9.9178235959671845E-2</v>
      </c>
      <c r="G21" s="122">
        <f t="shared" si="8"/>
        <v>1.5845799221529976E-3</v>
      </c>
      <c r="H21" s="122">
        <f t="shared" si="4"/>
        <v>4.1834281006678667E-3</v>
      </c>
      <c r="I21" s="122">
        <f t="shared" si="5"/>
        <v>2.3777916486964457E-3</v>
      </c>
      <c r="J21" s="122">
        <f t="shared" si="9"/>
        <v>-3.7881722178620151E-3</v>
      </c>
      <c r="K21" s="122">
        <f t="shared" si="6"/>
        <v>7.9716003185298819E-3</v>
      </c>
      <c r="Y21" s="126">
        <f>IF($Z$1, C21, -0.2)</f>
        <v>-0.2</v>
      </c>
      <c r="AB21" s="40">
        <v>2.5645654315018711</v>
      </c>
      <c r="AC21" s="40">
        <f t="shared" si="7"/>
        <v>6.2257502972932002E-4</v>
      </c>
      <c r="AD21" s="40">
        <f>IF($Z$2, $AA$2*(SIN(ATAN($AA$1))+SIN(AB21)), -0.2)</f>
        <v>-0.2</v>
      </c>
    </row>
    <row r="22" spans="2:30" x14ac:dyDescent="0.3">
      <c r="B22" s="12">
        <v>2.1841833733722282E-3</v>
      </c>
      <c r="C22" s="12">
        <f t="shared" si="0"/>
        <v>2.1782200521115833E-4</v>
      </c>
      <c r="D22" s="126">
        <f t="shared" si="1"/>
        <v>4.207772253102272E-3</v>
      </c>
      <c r="E22" s="12">
        <f t="shared" si="2"/>
        <v>9.9453954156656921E-2</v>
      </c>
      <c r="F22" s="12">
        <f t="shared" si="3"/>
        <v>9.9127983864309016E-2</v>
      </c>
      <c r="G22" s="122">
        <f t="shared" si="8"/>
        <v>1.7677581664830929E-3</v>
      </c>
      <c r="H22" s="122">
        <f t="shared" si="4"/>
        <v>4.4049376450095998E-3</v>
      </c>
      <c r="I22" s="122">
        <f t="shared" si="5"/>
        <v>2.6006085802613636E-3</v>
      </c>
      <c r="J22" s="122">
        <f t="shared" si="9"/>
        <v>-3.9692936345872834E-3</v>
      </c>
      <c r="K22" s="122">
        <f t="shared" si="6"/>
        <v>8.3742312795968832E-3</v>
      </c>
      <c r="Y22" s="126">
        <f>IF($Z$1, C22, -0.2)</f>
        <v>-0.2</v>
      </c>
      <c r="AB22" s="40">
        <v>2.6927937030769646</v>
      </c>
      <c r="AC22" s="40">
        <f t="shared" si="7"/>
        <v>3.7314386661449847E-4</v>
      </c>
      <c r="AD22" s="40">
        <f>IF($Z$2, $AA$2*(SIN(ATAN($AA$1))+SIN(AB22)), -0.2)</f>
        <v>-0.2</v>
      </c>
    </row>
    <row r="23" spans="2:30" x14ac:dyDescent="0.3">
      <c r="B23" s="12">
        <v>2.3970685112121304E-3</v>
      </c>
      <c r="C23" s="12">
        <f t="shared" si="0"/>
        <v>2.389886089402824E-4</v>
      </c>
      <c r="D23" s="126">
        <f t="shared" si="1"/>
        <v>4.4102393291370352E-3</v>
      </c>
      <c r="E23" s="12">
        <f t="shared" si="2"/>
        <v>9.9400732872196945E-2</v>
      </c>
      <c r="F23" s="12">
        <f t="shared" si="3"/>
        <v>9.9075283564309571E-2</v>
      </c>
      <c r="G23" s="122">
        <f t="shared" si="8"/>
        <v>1.9608372850975606E-3</v>
      </c>
      <c r="H23" s="122">
        <f t="shared" si="4"/>
        <v>4.6276003777835535E-3</v>
      </c>
      <c r="I23" s="122">
        <f t="shared" si="5"/>
        <v>2.8332997373267002E-3</v>
      </c>
      <c r="J23" s="122">
        <f t="shared" si="9"/>
        <v>-4.1496231599029883E-3</v>
      </c>
      <c r="K23" s="122">
        <f t="shared" si="6"/>
        <v>8.7772235376865418E-3</v>
      </c>
      <c r="Y23" s="126">
        <f>IF($Z$1, C23, -0.2)</f>
        <v>-0.2</v>
      </c>
      <c r="AB23" s="40">
        <v>2.8210219746520582</v>
      </c>
      <c r="AC23" s="40">
        <f t="shared" si="7"/>
        <v>1.8239608283657777E-4</v>
      </c>
      <c r="AD23" s="40">
        <f>IF($Z$2, $AA$2*(SIN(ATAN($AA$1))+SIN(AB23)), -0.2)</f>
        <v>-0.2</v>
      </c>
    </row>
    <row r="24" spans="2:30" x14ac:dyDescent="0.3">
      <c r="B24" s="12">
        <v>2.619839089424536E-3</v>
      </c>
      <c r="C24" s="12">
        <f t="shared" si="0"/>
        <v>2.6112596433564396E-4</v>
      </c>
      <c r="D24" s="126">
        <f t="shared" si="1"/>
        <v>4.6128825497501824E-3</v>
      </c>
      <c r="E24" s="12">
        <f t="shared" si="2"/>
        <v>9.9345040227643844E-2</v>
      </c>
      <c r="F24" s="12">
        <f t="shared" si="3"/>
        <v>9.9020135505231185E-2</v>
      </c>
      <c r="G24" s="122">
        <f t="shared" si="8"/>
        <v>2.1638169029101571E-3</v>
      </c>
      <c r="H24" s="122">
        <f t="shared" si="4"/>
        <v>4.8514123587991079E-3</v>
      </c>
      <c r="I24" s="122">
        <f t="shared" si="5"/>
        <v>3.075861275938915E-3</v>
      </c>
      <c r="J24" s="122">
        <f t="shared" si="9"/>
        <v>-4.3291604301278208E-3</v>
      </c>
      <c r="K24" s="122">
        <f t="shared" si="6"/>
        <v>9.1805727889269287E-3</v>
      </c>
      <c r="Y24" s="126">
        <f>IF($Z$1, C24, -0.2)</f>
        <v>-0.2</v>
      </c>
      <c r="AB24" s="40">
        <v>2.9492502462271517</v>
      </c>
      <c r="AC24" s="40">
        <f t="shared" si="7"/>
        <v>5.3463751731683954E-5</v>
      </c>
      <c r="AD24" s="40">
        <f>IF($Z$2, $AA$2*(SIN(ATAN($AA$1))+SIN(AB24)), -0.2)</f>
        <v>-0.2</v>
      </c>
    </row>
    <row r="25" spans="2:30" x14ac:dyDescent="0.3">
      <c r="B25" s="12">
        <v>2.8524929005325772E-3</v>
      </c>
      <c r="C25" s="12">
        <f t="shared" si="0"/>
        <v>2.8423220058480906E-4</v>
      </c>
      <c r="D25" s="126">
        <f t="shared" si="1"/>
        <v>4.8156995220766828E-3</v>
      </c>
      <c r="E25" s="12">
        <f t="shared" si="2"/>
        <v>9.9286876774866833E-2</v>
      </c>
      <c r="F25" s="12">
        <f t="shared" si="3"/>
        <v>9.8962540153415379E-2</v>
      </c>
      <c r="G25" s="122">
        <f t="shared" si="8"/>
        <v>2.3766965567611127E-3</v>
      </c>
      <c r="H25" s="122">
        <f t="shared" si="4"/>
        <v>5.0763694822351683E-3</v>
      </c>
      <c r="I25" s="122">
        <f t="shared" si="5"/>
        <v>3.3282892443040417E-3</v>
      </c>
      <c r="J25" s="122">
        <f t="shared" si="9"/>
        <v>-4.5079050810655505E-3</v>
      </c>
      <c r="K25" s="122">
        <f t="shared" si="6"/>
        <v>9.5842745633007188E-3</v>
      </c>
      <c r="Y25" s="126">
        <f>IF($Z$1, C25, -0.2)</f>
        <v>-0.2</v>
      </c>
      <c r="AB25" s="40">
        <v>3.0774785178022452</v>
      </c>
      <c r="AC25" s="40">
        <f t="shared" si="7"/>
        <v>-1.1536061387967158E-5</v>
      </c>
      <c r="AD25" s="40">
        <f>IF($Z$2, $AA$2*(SIN(ATAN($AA$1))+SIN(AB25)), -0.2)</f>
        <v>-0.2</v>
      </c>
    </row>
    <row r="26" spans="2:30" x14ac:dyDescent="0.3">
      <c r="B26" s="12">
        <v>3.0950276391248366E-3</v>
      </c>
      <c r="C26" s="12">
        <f t="shared" si="0"/>
        <v>3.0830536440161531E-4</v>
      </c>
      <c r="D26" s="126">
        <f t="shared" si="1"/>
        <v>5.0186877701933622E-3</v>
      </c>
      <c r="E26" s="12">
        <f t="shared" si="2"/>
        <v>9.9226243090218769E-2</v>
      </c>
      <c r="F26" s="12">
        <f t="shared" si="3"/>
        <v>9.8902497995995556E-2</v>
      </c>
      <c r="G26" s="122">
        <f t="shared" si="8"/>
        <v>2.5994756953204383E-3</v>
      </c>
      <c r="H26" s="122">
        <f t="shared" si="4"/>
        <v>5.3024674768765503E-3</v>
      </c>
      <c r="I26" s="122">
        <f>B26+D26*SIN(F26)</f>
        <v>3.5905795829292348E-3</v>
      </c>
      <c r="J26" s="122">
        <f t="shared" si="9"/>
        <v>-4.685856748073319E-3</v>
      </c>
      <c r="K26" s="122">
        <f t="shared" si="6"/>
        <v>9.9883242249498693E-3</v>
      </c>
      <c r="Y26" s="126">
        <f>IF($Z$1, C26, -0.2)</f>
        <v>-0.2</v>
      </c>
      <c r="AB26" s="40">
        <v>3.2057067893773388</v>
      </c>
      <c r="AC26" s="40">
        <f t="shared" si="7"/>
        <v>-1.1536061387968039E-5</v>
      </c>
      <c r="AD26" s="40">
        <f>IF($Z$2, $AA$2*(SIN(ATAN($AA$1))+SIN(AB26)), -0.2)</f>
        <v>-0.2</v>
      </c>
    </row>
    <row r="27" spans="2:30" x14ac:dyDescent="0.3">
      <c r="B27" s="12">
        <v>3.3474409018774409E-3</v>
      </c>
      <c r="C27" s="12">
        <f t="shared" si="0"/>
        <v>3.3334342011379878E-4</v>
      </c>
      <c r="D27" s="126">
        <f t="shared" si="1"/>
        <v>5.2218447353076817E-3</v>
      </c>
      <c r="E27" s="12">
        <f t="shared" si="2"/>
        <v>9.9163139774530618E-2</v>
      </c>
      <c r="F27" s="12">
        <f t="shared" si="3"/>
        <v>9.8840009540905716E-2</v>
      </c>
      <c r="G27" s="122">
        <f t="shared" si="8"/>
        <v>2.832153678987205E-3</v>
      </c>
      <c r="H27" s="122">
        <f t="shared" si="4"/>
        <v>5.5297019063603571E-3</v>
      </c>
      <c r="I27" s="122">
        <f t="shared" si="5"/>
        <v>3.8627281247676768E-3</v>
      </c>
      <c r="J27" s="122">
        <f t="shared" si="9"/>
        <v>-4.8630150661327599E-3</v>
      </c>
      <c r="K27" s="122">
        <f t="shared" si="6"/>
        <v>1.0392716972493117E-2</v>
      </c>
      <c r="Y27" s="126">
        <f>IF($Z$1, C27, -0.2)</f>
        <v>-0.2</v>
      </c>
      <c r="AB27" s="40">
        <v>3.3339350609524323</v>
      </c>
      <c r="AC27" s="40">
        <f t="shared" si="7"/>
        <v>5.3463751731681751E-5</v>
      </c>
      <c r="AD27" s="40">
        <f>IF($Z$2, $AA$2*(SIN(ATAN($AA$1))+SIN(AB27)), -0.2)</f>
        <v>-0.2</v>
      </c>
    </row>
    <row r="28" spans="2:30" x14ac:dyDescent="0.3">
      <c r="B28" s="12">
        <v>3.609730187578708E-3</v>
      </c>
      <c r="C28" s="12">
        <f t="shared" si="0"/>
        <v>3.5934424975448114E-4</v>
      </c>
      <c r="D28" s="126">
        <f t="shared" si="1"/>
        <v>5.4251677759557118E-3</v>
      </c>
      <c r="E28" s="12">
        <f t="shared" si="2"/>
        <v>9.9097567453105301E-2</v>
      </c>
      <c r="F28" s="12">
        <f t="shared" si="3"/>
        <v>9.8775075316889047E-2</v>
      </c>
      <c r="G28" s="122">
        <f t="shared" si="8"/>
        <v>3.0747297797874668E-3</v>
      </c>
      <c r="H28" s="122">
        <f t="shared" si="4"/>
        <v>5.7580681694350804E-3</v>
      </c>
      <c r="I28" s="122">
        <f t="shared" si="5"/>
        <v>4.1447305953699488E-3</v>
      </c>
      <c r="J28" s="122">
        <f t="shared" si="9"/>
        <v>-5.0393796699261181E-3</v>
      </c>
      <c r="K28" s="122">
        <f t="shared" si="6"/>
        <v>1.0797447839361199E-2</v>
      </c>
      <c r="Y28" s="126">
        <f>IF($Z$1, C28, -0.2)</f>
        <v>-0.2</v>
      </c>
      <c r="AB28" s="40">
        <v>3.4621633325275258</v>
      </c>
      <c r="AC28" s="40">
        <f t="shared" si="7"/>
        <v>1.8239608283657468E-4</v>
      </c>
      <c r="AD28" s="40">
        <f>IF($Z$2, $AA$2*(SIN(ATAN($AA$1))+SIN(AB28)), -0.2)</f>
        <v>-0.2</v>
      </c>
    </row>
    <row r="29" spans="2:30" x14ac:dyDescent="0.3">
      <c r="B29" s="12">
        <v>3.8818928971533495E-3</v>
      </c>
      <c r="C29" s="12">
        <f t="shared" si="0"/>
        <v>3.8630565315721368E-4</v>
      </c>
      <c r="D29" s="126">
        <f t="shared" si="1"/>
        <v>5.6286541682068021E-3</v>
      </c>
      <c r="E29" s="12">
        <f t="shared" si="2"/>
        <v>9.902952677571164E-2</v>
      </c>
      <c r="F29" s="12">
        <f t="shared" si="3"/>
        <v>9.8707695873507348E-2</v>
      </c>
      <c r="G29" s="122">
        <f t="shared" si="8"/>
        <v>3.3272031812680803E-3</v>
      </c>
      <c r="H29" s="122">
        <f t="shared" si="4"/>
        <v>5.98756150022963E-3</v>
      </c>
      <c r="I29" s="122">
        <f t="shared" si="5"/>
        <v>4.4365826130386187E-3</v>
      </c>
      <c r="J29" s="122">
        <f t="shared" si="9"/>
        <v>-5.2149501939152019E-3</v>
      </c>
      <c r="K29" s="122">
        <f t="shared" si="6"/>
        <v>1.1202511694144832E-2</v>
      </c>
      <c r="Y29" s="126">
        <f>IF($Z$1, C29, -0.2)</f>
        <v>-0.2</v>
      </c>
      <c r="AB29" s="40">
        <v>3.5903916041026194</v>
      </c>
      <c r="AC29" s="40">
        <f t="shared" si="7"/>
        <v>3.7314386661449408E-4</v>
      </c>
      <c r="AD29" s="40">
        <f>IF($Z$2, $AA$2*(SIN(ATAN($AA$1))+SIN(AB29)), -0.2)</f>
        <v>-0.2</v>
      </c>
    </row>
    <row r="30" spans="2:30" x14ac:dyDescent="0.3">
      <c r="B30" s="12">
        <v>4.1639263336883392E-3</v>
      </c>
      <c r="C30" s="12">
        <f t="shared" si="0"/>
        <v>4.1422534805478595E-4</v>
      </c>
      <c r="D30" s="126">
        <f t="shared" si="1"/>
        <v>5.8323011058766493E-3</v>
      </c>
      <c r="E30" s="12">
        <f t="shared" si="2"/>
        <v>9.8959018416577893E-2</v>
      </c>
      <c r="F30" s="12">
        <f t="shared" si="3"/>
        <v>9.8637871781150549E-2</v>
      </c>
      <c r="G30" s="122">
        <f t="shared" si="8"/>
        <v>3.5895729783883895E-3</v>
      </c>
      <c r="H30" s="122">
        <f t="shared" si="4"/>
        <v>6.2181769685342057E-3</v>
      </c>
      <c r="I30" s="122">
        <f t="shared" si="5"/>
        <v>4.7382796889882889E-3</v>
      </c>
      <c r="J30" s="122">
        <f t="shared" si="9"/>
        <v>-5.3897262724246333E-3</v>
      </c>
      <c r="K30" s="122">
        <f t="shared" si="6"/>
        <v>1.1607903240958839E-2</v>
      </c>
      <c r="Y30" s="126">
        <f>IF($Z$1, C30, -0.2)</f>
        <v>-0.2</v>
      </c>
      <c r="AB30" s="40">
        <v>3.7186198756777129</v>
      </c>
      <c r="AC30" s="40">
        <f t="shared" si="7"/>
        <v>6.2257502972931471E-4</v>
      </c>
      <c r="AD30" s="40">
        <f>IF($Z$2, $AA$2*(SIN(ATAN($AA$1))+SIN(AB30)), -0.2)</f>
        <v>-0.2</v>
      </c>
    </row>
    <row r="31" spans="2:30" x14ac:dyDescent="0.3">
      <c r="B31" s="12">
        <v>4.4558277024601134E-3</v>
      </c>
      <c r="C31" s="12">
        <f t="shared" si="0"/>
        <v>4.4310097018175989E-4</v>
      </c>
      <c r="D31" s="126">
        <f t="shared" si="1"/>
        <v>6.0361057007484219E-3</v>
      </c>
      <c r="E31" s="12">
        <f t="shared" si="2"/>
        <v>9.8886043074384949E-2</v>
      </c>
      <c r="F31" s="12">
        <f t="shared" si="3"/>
        <v>9.8565603631046494E-2</v>
      </c>
      <c r="G31" s="122">
        <f t="shared" si="8"/>
        <v>3.8618381774094845E-3</v>
      </c>
      <c r="H31" s="122">
        <f t="shared" si="4"/>
        <v>6.4499094800926369E-3</v>
      </c>
      <c r="I31" s="122">
        <f t="shared" si="5"/>
        <v>5.0498172275107427E-3</v>
      </c>
      <c r="J31" s="122">
        <f t="shared" si="9"/>
        <v>-5.5637075397291175E-3</v>
      </c>
      <c r="K31" s="122">
        <f t="shared" si="6"/>
        <v>1.2013617019821754E-2</v>
      </c>
      <c r="Y31" s="126">
        <f>IF($Z$1, C31, -0.2)</f>
        <v>-0.2</v>
      </c>
      <c r="AB31" s="40">
        <v>3.8468481472528064</v>
      </c>
      <c r="AC31" s="40">
        <f t="shared" si="7"/>
        <v>9.2659391937858701E-4</v>
      </c>
      <c r="AD31" s="40">
        <f>IF($Z$2, $AA$2*(SIN(ATAN($AA$1))+SIN(AB31)), -0.2)</f>
        <v>-0.2</v>
      </c>
    </row>
    <row r="32" spans="2:30" x14ac:dyDescent="0.3">
      <c r="B32" s="12">
        <v>4.7575941109612163E-3</v>
      </c>
      <c r="C32" s="12">
        <f t="shared" si="0"/>
        <v>4.7293007338053991E-4</v>
      </c>
      <c r="D32" s="126">
        <f t="shared" si="1"/>
        <v>6.2400649828006013E-3</v>
      </c>
      <c r="E32" s="12">
        <f t="shared" si="2"/>
        <v>9.8810601472259674E-2</v>
      </c>
      <c r="F32" s="12">
        <f t="shared" si="3"/>
        <v>9.8490892035271477E-2</v>
      </c>
      <c r="G32" s="122">
        <f t="shared" si="8"/>
        <v>4.1439976957793013E-3</v>
      </c>
      <c r="H32" s="122">
        <f t="shared" si="4"/>
        <v>6.682753776904673E-3</v>
      </c>
      <c r="I32" s="122">
        <f t="shared" si="5"/>
        <v>5.3711905261431313E-3</v>
      </c>
      <c r="J32" s="122">
        <f t="shared" si="9"/>
        <v>-5.7368936301435925E-3</v>
      </c>
      <c r="K32" s="122">
        <f t="shared" si="6"/>
        <v>1.2419647407048266E-2</v>
      </c>
      <c r="Y32" s="126">
        <f>IF($Z$1, C32, -0.2)</f>
        <v>-0.2</v>
      </c>
      <c r="AB32" s="40">
        <v>3.9750764188279</v>
      </c>
      <c r="AC32" s="40">
        <f t="shared" si="7"/>
        <v>1.2802085537993268E-3</v>
      </c>
      <c r="AD32" s="40">
        <f>IF($Z$2, $AA$2*(SIN(ATAN($AA$1))+SIN(AB32)), -0.2)</f>
        <v>-0.2</v>
      </c>
    </row>
    <row r="33" spans="2:30" x14ac:dyDescent="0.3">
      <c r="B33" s="12">
        <v>5.0692225689300541E-3</v>
      </c>
      <c r="C33" s="12">
        <f t="shared" si="0"/>
        <v>5.037101297113366E-4</v>
      </c>
      <c r="D33" s="126">
        <f t="shared" si="1"/>
        <v>6.4441759004441072E-3</v>
      </c>
      <c r="E33" s="12">
        <f t="shared" si="2"/>
        <v>9.8732694357767464E-2</v>
      </c>
      <c r="F33" s="12">
        <f t="shared" si="3"/>
        <v>9.841373762676052E-2</v>
      </c>
      <c r="G33" s="122">
        <f t="shared" si="8"/>
        <v>4.4360503620169914E-3</v>
      </c>
      <c r="H33" s="122">
        <f t="shared" si="4"/>
        <v>6.9167044375411397E-3</v>
      </c>
      <c r="I33" s="122">
        <f t="shared" si="5"/>
        <v>5.7023947758431167E-3</v>
      </c>
      <c r="J33" s="122">
        <f t="shared" si="9"/>
        <v>-5.9092841781184669E-3</v>
      </c>
      <c r="K33" s="122">
        <f t="shared" si="6"/>
        <v>1.2825988615659607E-2</v>
      </c>
      <c r="Y33" s="126">
        <f>IF($Z$1, C33, -0.2)</f>
        <v>-0.2</v>
      </c>
      <c r="AB33" s="40">
        <v>4.1033046904029939</v>
      </c>
      <c r="AC33" s="40">
        <f t="shared" si="7"/>
        <v>1.67761259047055E-3</v>
      </c>
      <c r="AD33" s="40">
        <f>IF($Z$2, $AA$2*(SIN(ATAN($AA$1))+SIN(AB33)), -0.2)</f>
        <v>-0.2</v>
      </c>
    </row>
    <row r="34" spans="2:30" x14ac:dyDescent="0.3">
      <c r="B34" s="12">
        <v>5.3907099883800935E-3</v>
      </c>
      <c r="C34" s="12">
        <f t="shared" si="0"/>
        <v>5.3543852956565669E-4</v>
      </c>
      <c r="D34" s="126">
        <f t="shared" si="1"/>
        <v>6.6484353207660893E-3</v>
      </c>
      <c r="E34" s="12">
        <f t="shared" si="2"/>
        <v>9.8652322502904954E-2</v>
      </c>
      <c r="F34" s="12">
        <f t="shared" si="3"/>
        <v>9.8334141059318494E-2</v>
      </c>
      <c r="G34" s="122">
        <f t="shared" si="8"/>
        <v>4.737994915593167E-3</v>
      </c>
      <c r="H34" s="122">
        <f t="shared" si="4"/>
        <v>7.151755877469009E-3</v>
      </c>
      <c r="I34" s="122">
        <f t="shared" si="5"/>
        <v>6.0434250611670201E-3</v>
      </c>
      <c r="J34" s="122">
        <f t="shared" si="9"/>
        <v>-6.080878818337695E-3</v>
      </c>
      <c r="K34" s="122">
        <f t="shared" si="6"/>
        <v>1.3232634695806704E-2</v>
      </c>
      <c r="Y34" s="126">
        <f>IF($Z$1, C34, -0.2)</f>
        <v>-0.2</v>
      </c>
      <c r="AB34" s="40">
        <v>4.2315329619780879</v>
      </c>
      <c r="AC34" s="40">
        <f t="shared" si="7"/>
        <v>2.112280666096943E-3</v>
      </c>
      <c r="AD34" s="40">
        <f>IF($Z$2, $AA$2*(SIN(ATAN($AA$1))+SIN(AB34)), -0.2)</f>
        <v>-0.2</v>
      </c>
    </row>
    <row r="35" spans="2:30" x14ac:dyDescent="0.3">
      <c r="B35" s="12">
        <v>5.7220531836302824E-3</v>
      </c>
      <c r="C35" s="12">
        <f t="shared" si="0"/>
        <v>5.6811258178349146E-4</v>
      </c>
      <c r="D35" s="126">
        <f t="shared" si="1"/>
        <v>6.8528400297816648E-3</v>
      </c>
      <c r="E35" s="12">
        <f t="shared" si="2"/>
        <v>9.8569486704092407E-2</v>
      </c>
      <c r="F35" s="12">
        <f t="shared" si="3"/>
        <v>9.8252103007631417E-2</v>
      </c>
      <c r="G35" s="122">
        <f t="shared" si="8"/>
        <v>5.0498300068077037E-3</v>
      </c>
      <c r="H35" s="122">
        <f t="shared" si="4"/>
        <v>7.3879023493878069E-3</v>
      </c>
      <c r="I35" s="122">
        <f t="shared" si="5"/>
        <v>6.3942763604528611E-3</v>
      </c>
      <c r="J35" s="122">
        <f t="shared" si="9"/>
        <v>-6.2516771858208246E-3</v>
      </c>
      <c r="K35" s="122">
        <f t="shared" si="6"/>
        <v>1.3639579535208632E-2</v>
      </c>
      <c r="Y35" s="126">
        <f>IF($Z$1, C35, -0.2)</f>
        <v>-0.2</v>
      </c>
      <c r="AB35" s="40">
        <v>4.3597612335531819</v>
      </c>
      <c r="AC35" s="40">
        <f t="shared" si="7"/>
        <v>2.5770755428937663E-3</v>
      </c>
      <c r="AD35" s="40">
        <f>IF($Z$2, $AA$2*(SIN(ATAN($AA$1))+SIN(AB35)), -0.2)</f>
        <v>-0.2</v>
      </c>
    </row>
    <row r="36" spans="2:30" x14ac:dyDescent="0.3">
      <c r="B36" s="12">
        <v>6.0632488713366905E-3</v>
      </c>
      <c r="C36" s="12">
        <f t="shared" si="0"/>
        <v>6.0172951377419827E-4</v>
      </c>
      <c r="D36" s="126">
        <f t="shared" si="1"/>
        <v>7.0573867326935279E-3</v>
      </c>
      <c r="E36" s="12">
        <f t="shared" si="2"/>
        <v>9.8484187782165805E-2</v>
      </c>
      <c r="F36" s="12">
        <f t="shared" si="3"/>
        <v>9.816762416727802E-2</v>
      </c>
      <c r="G36" s="122">
        <f t="shared" si="8"/>
        <v>5.3715541966651136E-3</v>
      </c>
      <c r="H36" s="122">
        <f t="shared" si="4"/>
        <v>7.6251379435773236E-3</v>
      </c>
      <c r="I36" s="122">
        <f t="shared" si="5"/>
        <v>6.7549435460082675E-3</v>
      </c>
      <c r="J36" s="122">
        <f t="shared" si="9"/>
        <v>-6.4216789160289273E-3</v>
      </c>
      <c r="K36" s="122">
        <f t="shared" si="6"/>
        <v>1.4046816859606251E-2</v>
      </c>
      <c r="Y36" s="126">
        <f>IF($Z$1, C36, -0.2)</f>
        <v>-0.2</v>
      </c>
      <c r="AB36" s="40">
        <v>4.4879895051282759</v>
      </c>
      <c r="AC36" s="40">
        <f t="shared" si="7"/>
        <v>3.0643653018339657E-3</v>
      </c>
      <c r="AD36" s="40">
        <f>IF($Z$2, $AA$2*(SIN(ATAN($AA$1))+SIN(AB36)), -0.2)</f>
        <v>-0.2</v>
      </c>
    </row>
    <row r="37" spans="2:30" x14ac:dyDescent="0.3">
      <c r="B37" s="12">
        <v>6.4142936705253728E-3</v>
      </c>
      <c r="C37" s="12">
        <f t="shared" si="0"/>
        <v>6.3628647164106953E-4</v>
      </c>
      <c r="D37" s="126">
        <f t="shared" si="1"/>
        <v>7.2620720541593745E-3</v>
      </c>
      <c r="E37" s="12">
        <f t="shared" si="2"/>
        <v>9.8396426582368635E-2</v>
      </c>
      <c r="F37" s="12">
        <f t="shared" si="3"/>
        <v>9.8080705254741704E-2</v>
      </c>
      <c r="G37" s="122">
        <f t="shared" si="8"/>
        <v>5.7031659567475298E-3</v>
      </c>
      <c r="H37" s="122">
        <f t="shared" si="4"/>
        <v>7.8634565882565385E-3</v>
      </c>
      <c r="I37" s="122">
        <f t="shared" si="5"/>
        <v>7.1254213843032158E-3</v>
      </c>
      <c r="J37" s="122">
        <f t="shared" si="9"/>
        <v>-6.5908836449743999E-3</v>
      </c>
      <c r="K37" s="122">
        <f t="shared" si="6"/>
        <v>1.4454340233230939E-2</v>
      </c>
      <c r="Y37" s="126">
        <f>IF($Z$1, C37, -0.2)</f>
        <v>-0.2</v>
      </c>
      <c r="AB37" s="40">
        <v>4.6162177767033699</v>
      </c>
      <c r="AC37" s="40">
        <f t="shared" si="7"/>
        <v>3.5661486585475944E-3</v>
      </c>
      <c r="AD37" s="40">
        <f>IF($Z$2, $AA$2*(SIN(ATAN($AA$1))+SIN(AB37)), -0.2)</f>
        <v>-0.2</v>
      </c>
    </row>
    <row r="38" spans="2:30" x14ac:dyDescent="0.3">
      <c r="B38" s="12">
        <v>6.7751841026255644E-3</v>
      </c>
      <c r="C38" s="12">
        <f t="shared" si="0"/>
        <v>6.717805203094976E-4</v>
      </c>
      <c r="D38" s="126">
        <f t="shared" si="1"/>
        <v>7.4668925385666263E-3</v>
      </c>
      <c r="E38" s="12">
        <f t="shared" si="2"/>
        <v>9.8306203974343587E-2</v>
      </c>
      <c r="F38" s="12">
        <f t="shared" si="3"/>
        <v>9.7991347007422847E-2</v>
      </c>
      <c r="G38" s="122">
        <f t="shared" si="8"/>
        <v>6.0446636690844749E-3</v>
      </c>
      <c r="H38" s="122">
        <f t="shared" si="4"/>
        <v>8.1028520499531794E-3</v>
      </c>
      <c r="I38" s="122">
        <f t="shared" si="5"/>
        <v>7.5057045361666538E-3</v>
      </c>
      <c r="J38" s="122">
        <f t="shared" si="9"/>
        <v>-6.7592910093341851E-3</v>
      </c>
      <c r="K38" s="122">
        <f t="shared" si="6"/>
        <v>1.4862143059287364E-2</v>
      </c>
      <c r="Y38" s="126">
        <f>IF($Z$1, C38, -0.2)</f>
        <v>-0.2</v>
      </c>
      <c r="AB38" s="40">
        <v>4.7444460482784638</v>
      </c>
      <c r="AC38" s="40">
        <f t="shared" si="7"/>
        <v>4.0741863441899643E-3</v>
      </c>
      <c r="AD38" s="40">
        <f>IF($Z$2, $AA$2*(SIN(ATAN($AA$1))+SIN(AB38)), -0.2)</f>
        <v>-0.2</v>
      </c>
    </row>
    <row r="39" spans="2:30" x14ac:dyDescent="0.3">
      <c r="B39" s="12">
        <v>7.1459165915040979E-3</v>
      </c>
      <c r="C39" s="12">
        <f t="shared" si="0"/>
        <v>7.0820864365881797E-4</v>
      </c>
      <c r="D39" s="126">
        <f t="shared" si="1"/>
        <v>7.6718446503149362E-3</v>
      </c>
      <c r="E39" s="12">
        <f t="shared" si="2"/>
        <v>9.8213520852123953E-2</v>
      </c>
      <c r="F39" s="12">
        <f t="shared" si="3"/>
        <v>9.7899550183651471E-2</v>
      </c>
      <c r="G39" s="122">
        <f t="shared" si="8"/>
        <v>6.3960456260202742E-3</v>
      </c>
      <c r="H39" s="122">
        <f t="shared" si="4"/>
        <v>8.343317933884483E-3</v>
      </c>
      <c r="I39" s="122">
        <f t="shared" si="5"/>
        <v>7.8957875569879224E-3</v>
      </c>
      <c r="J39" s="122">
        <f t="shared" si="9"/>
        <v>-6.9269006465668467E-3</v>
      </c>
      <c r="K39" s="122">
        <f t="shared" si="6"/>
        <v>1.527021858045133E-2</v>
      </c>
      <c r="Y39" s="126">
        <f>IF($Z$1, C39, -0.2)</f>
        <v>-0.2</v>
      </c>
      <c r="AB39" s="40">
        <v>4.8726743198535578</v>
      </c>
      <c r="AC39" s="40">
        <f t="shared" si="7"/>
        <v>4.5801363940082881E-3</v>
      </c>
      <c r="AD39" s="40">
        <f>IF($Z$2, $AA$2*(SIN(ATAN($AA$1))+SIN(AB39)), -0.2)</f>
        <v>-0.2</v>
      </c>
    </row>
    <row r="40" spans="2:30" x14ac:dyDescent="0.3">
      <c r="B40" s="12">
        <v>7.5264874635010415E-3</v>
      </c>
      <c r="C40" s="12">
        <f t="shared" si="0"/>
        <v>7.4556774465782416E-4</v>
      </c>
      <c r="D40" s="126">
        <f t="shared" si="1"/>
        <v>7.8769247741064651E-3</v>
      </c>
      <c r="E40" s="12">
        <f t="shared" si="2"/>
        <v>9.8118378134124717E-2</v>
      </c>
      <c r="F40" s="12">
        <f t="shared" si="3"/>
        <v>9.780531556270014E-2</v>
      </c>
      <c r="G40" s="122">
        <f t="shared" si="8"/>
        <v>6.75731003007915E-3</v>
      </c>
      <c r="H40" s="122">
        <f t="shared" si="4"/>
        <v>8.5848476843491412E-3</v>
      </c>
      <c r="I40" s="122">
        <f t="shared" si="5"/>
        <v>8.295664896922933E-3</v>
      </c>
      <c r="J40" s="122">
        <f t="shared" si="9"/>
        <v>-7.0937121950334931E-3</v>
      </c>
      <c r="K40" s="122">
        <f t="shared" si="6"/>
        <v>1.5678559879382634E-2</v>
      </c>
      <c r="Y40" s="126">
        <f>IF($Z$1, C40, -0.2)</f>
        <v>-0.2</v>
      </c>
      <c r="AB40" s="40">
        <v>5.0009025914286518</v>
      </c>
      <c r="AC40" s="40">
        <f t="shared" si="7"/>
        <v>5.0756911221722916E-3</v>
      </c>
      <c r="AD40" s="40">
        <f>IF($Z$2, $AA$2*(SIN(ATAN($AA$1))+SIN(AB40)), -0.2)</f>
        <v>-0.2</v>
      </c>
    </row>
    <row r="41" spans="2:30" x14ac:dyDescent="0.3">
      <c r="B41" s="12">
        <v>7.9168929474660032E-3</v>
      </c>
      <c r="C41" s="12">
        <f t="shared" si="0"/>
        <v>7.8385464550389551E-4</v>
      </c>
      <c r="D41" s="126">
        <f t="shared" si="1"/>
        <v>8.0821292152435768E-3</v>
      </c>
      <c r="E41" s="12">
        <f t="shared" si="2"/>
        <v>9.8020776763133477E-2</v>
      </c>
      <c r="F41" s="12">
        <f t="shared" si="3"/>
        <v>9.7708643944797294E-2</v>
      </c>
      <c r="G41" s="122">
        <f t="shared" si="8"/>
        <v>7.128454993827491E-3</v>
      </c>
      <c r="H41" s="122">
        <f t="shared" si="4"/>
        <v>8.8274345851300368E-3</v>
      </c>
      <c r="I41" s="122">
        <f t="shared" si="5"/>
        <v>8.7053309011045164E-3</v>
      </c>
      <c r="J41" s="122">
        <f t="shared" si="9"/>
        <v>-7.2597252941222455E-3</v>
      </c>
      <c r="K41" s="122">
        <f t="shared" si="6"/>
        <v>1.6087159879252282E-2</v>
      </c>
      <c r="Y41" s="126">
        <f>IF($Z$1, C41, -0.2)</f>
        <v>-0.2</v>
      </c>
      <c r="AB41" s="40">
        <v>5.1291308630037458</v>
      </c>
      <c r="AC41" s="40">
        <f t="shared" si="7"/>
        <v>5.5527135337458747E-3</v>
      </c>
      <c r="AD41" s="40">
        <f>IF($Z$2, $AA$2*(SIN(ATAN($AA$1))+SIN(AB41)), -0.2)</f>
        <v>-0.2</v>
      </c>
    </row>
    <row r="42" spans="2:30" x14ac:dyDescent="0.3">
      <c r="B42" s="12">
        <v>8.3171291747956566E-3</v>
      </c>
      <c r="C42" s="12">
        <f t="shared" si="0"/>
        <v>8.2306608776578586E-4</v>
      </c>
      <c r="D42" s="126">
        <f t="shared" si="1"/>
        <v>8.2874541999341973E-3</v>
      </c>
      <c r="E42" s="12">
        <f t="shared" si="2"/>
        <v>9.7920717706301064E-2</v>
      </c>
      <c r="F42" s="12">
        <f t="shared" si="3"/>
        <v>9.7609536151140805E-2</v>
      </c>
      <c r="G42" s="122">
        <f t="shared" si="8"/>
        <v>7.5094785397338427E-3</v>
      </c>
      <c r="H42" s="122">
        <f t="shared" si="4"/>
        <v>9.0710717599080636E-3</v>
      </c>
      <c r="I42" s="122">
        <f t="shared" si="5"/>
        <v>9.1247798098574705E-3</v>
      </c>
      <c r="J42" s="122">
        <f t="shared" si="9"/>
        <v>-7.4249395843764927E-3</v>
      </c>
      <c r="K42" s="122">
        <f t="shared" si="6"/>
        <v>1.6496011344284557E-2</v>
      </c>
      <c r="Y42" s="126">
        <f>IF($Z$1, C42, -0.2)</f>
        <v>-0.2</v>
      </c>
      <c r="AB42" s="40">
        <v>5.2573591345788397</v>
      </c>
      <c r="AC42" s="40">
        <f t="shared" si="7"/>
        <v>6.0033709339189934E-3</v>
      </c>
      <c r="AD42" s="40">
        <f>IF($Z$2, $AA$2*(SIN(ATAN($AA$1))+SIN(AB42)), -0.2)</f>
        <v>-0.2</v>
      </c>
    </row>
    <row r="43" spans="2:30" x14ac:dyDescent="0.3">
      <c r="B43" s="12">
        <v>8.727192179471821E-3</v>
      </c>
      <c r="C43" s="12">
        <f t="shared" si="0"/>
        <v>8.6319873253000261E-4</v>
      </c>
      <c r="D43" s="126">
        <f t="shared" si="1"/>
        <v>8.4928958756045475E-3</v>
      </c>
      <c r="E43" s="12">
        <f t="shared" si="2"/>
        <v>9.7818201955132023E-2</v>
      </c>
      <c r="F43" s="12">
        <f t="shared" si="3"/>
        <v>9.7507993023912026E-2</v>
      </c>
      <c r="G43" s="122">
        <f t="shared" si="8"/>
        <v>7.9003786000260284E-3</v>
      </c>
      <c r="H43" s="122">
        <f t="shared" si="4"/>
        <v>9.3157521726866966E-3</v>
      </c>
      <c r="I43" s="122">
        <f t="shared" si="5"/>
        <v>9.5540057589176136E-3</v>
      </c>
      <c r="J43" s="122">
        <f t="shared" si="9"/>
        <v>-7.5893547076266912E-3</v>
      </c>
      <c r="K43" s="122">
        <f t="shared" si="6"/>
        <v>1.6905106880313388E-2</v>
      </c>
      <c r="Y43" s="126">
        <f>IF($Z$1, C43, -0.2)</f>
        <v>-0.2</v>
      </c>
      <c r="AB43" s="40">
        <v>5.3855874061539337</v>
      </c>
      <c r="AC43" s="40">
        <f t="shared" si="7"/>
        <v>6.4202635406399007E-3</v>
      </c>
      <c r="AD43" s="40">
        <f>IF($Z$2, $AA$2*(SIN(ATAN($AA$1))+SIN(AB43)), -0.2)</f>
        <v>-0.2</v>
      </c>
    </row>
    <row r="44" spans="2:30" x14ac:dyDescent="0.3">
      <c r="B44" s="12">
        <v>9.1470778981007639E-3</v>
      </c>
      <c r="C44" s="12">
        <f t="shared" si="0"/>
        <v>9.0424916055083585E-4</v>
      </c>
      <c r="D44" s="126">
        <f t="shared" si="1"/>
        <v>8.6984503112194859E-3</v>
      </c>
      <c r="E44" s="12">
        <f t="shared" si="2"/>
        <v>9.7713230525474787E-2</v>
      </c>
      <c r="F44" s="12">
        <f t="shared" si="3"/>
        <v>9.7404015426289972E-2</v>
      </c>
      <c r="G44" s="122">
        <f t="shared" si="8"/>
        <v>8.3011530165460392E-3</v>
      </c>
      <c r="H44" s="122">
        <f t="shared" si="4"/>
        <v>9.5614686282275672E-3</v>
      </c>
      <c r="I44" s="122">
        <f t="shared" si="5"/>
        <v>9.9930027796554886E-3</v>
      </c>
      <c r="J44" s="122">
        <f t="shared" si="9"/>
        <v>-7.7529703071258955E-3</v>
      </c>
      <c r="K44" s="122">
        <f t="shared" si="6"/>
        <v>1.7314438935353463E-2</v>
      </c>
      <c r="Y44" s="126">
        <f>IF($Z$1, C44, -0.2)</f>
        <v>-0.2</v>
      </c>
      <c r="AB44" s="40">
        <v>5.5138156777290277</v>
      </c>
      <c r="AC44" s="40">
        <f t="shared" si="7"/>
        <v>6.7965459888318595E-3</v>
      </c>
      <c r="AD44" s="40">
        <f>IF($Z$2, $AA$2*(SIN(ATAN($AA$1))+SIN(AB44)), -0.2)</f>
        <v>-0.2</v>
      </c>
    </row>
    <row r="45" spans="2:30" x14ac:dyDescent="0.3">
      <c r="B45" s="12">
        <v>9.5767821699537237E-3</v>
      </c>
      <c r="C45" s="12">
        <f t="shared" si="0"/>
        <v>9.4621387240402923E-4</v>
      </c>
      <c r="D45" s="126">
        <f t="shared" si="1"/>
        <v>8.9041134976104563E-3</v>
      </c>
      <c r="E45" s="12">
        <f t="shared" si="2"/>
        <v>9.7605804457511547E-2</v>
      </c>
      <c r="F45" s="12">
        <f t="shared" si="3"/>
        <v>9.7297604242465946E-2</v>
      </c>
      <c r="G45" s="122">
        <f t="shared" si="8"/>
        <v>8.711799540602751E-3</v>
      </c>
      <c r="H45" s="122">
        <f t="shared" si="4"/>
        <v>9.8082137724971111E-3</v>
      </c>
      <c r="I45" s="122">
        <f t="shared" si="5"/>
        <v>1.0441764799304696E-2</v>
      </c>
      <c r="J45" s="122">
        <f t="shared" si="9"/>
        <v>-7.9157860276890535E-3</v>
      </c>
      <c r="K45" s="122">
        <f t="shared" si="6"/>
        <v>1.7723999800186165E-2</v>
      </c>
      <c r="Y45" s="126">
        <f>IF($Z$1, C45, -0.2)</f>
        <v>-0.2</v>
      </c>
      <c r="AB45" s="40">
        <v>5.6420439493041217</v>
      </c>
      <c r="AC45" s="40">
        <f t="shared" si="7"/>
        <v>7.1260397310984446E-3</v>
      </c>
      <c r="AD45" s="40">
        <f>IF($Z$2, $AA$2*(SIN(ATAN($AA$1))+SIN(AB45)), -0.2)</f>
        <v>-0.2</v>
      </c>
    </row>
    <row r="46" spans="2:30" x14ac:dyDescent="0.3">
      <c r="B46" s="12">
        <v>1.0016300737007988E-2</v>
      </c>
      <c r="C46" s="12">
        <f t="shared" si="0"/>
        <v>9.890892886440252E-4</v>
      </c>
      <c r="D46" s="126">
        <f t="shared" si="1"/>
        <v>9.1098813478107023E-3</v>
      </c>
      <c r="E46" s="12">
        <f t="shared" si="2"/>
        <v>9.7495924815747981E-2</v>
      </c>
      <c r="F46" s="12">
        <f t="shared" si="3"/>
        <v>9.7188760377658404E-2</v>
      </c>
      <c r="G46" s="122">
        <f t="shared" si="8"/>
        <v>9.1323158328218291E-3</v>
      </c>
      <c r="H46" s="122">
        <f t="shared" si="4"/>
        <v>1.0055980093123824E-2</v>
      </c>
      <c r="I46" s="122">
        <f t="shared" si="5"/>
        <v>1.0900285641194147E-2</v>
      </c>
      <c r="J46" s="122">
        <f t="shared" si="9"/>
        <v>-8.0778015158357724E-3</v>
      </c>
      <c r="K46" s="122">
        <f t="shared" si="6"/>
        <v>1.8133781608959596E-2</v>
      </c>
      <c r="Y46" s="126">
        <f>IF($Z$1, C46, -0.2)</f>
        <v>-0.2</v>
      </c>
      <c r="AB46" s="40">
        <v>5.7702722208792157</v>
      </c>
      <c r="AC46" s="40">
        <f t="shared" si="7"/>
        <v>7.4033344893009879E-3</v>
      </c>
      <c r="AD46" s="40">
        <f>IF($Z$2, $AA$2*(SIN(ATAN($AA$1))+SIN(AB46)), -0.2)</f>
        <v>-0.2</v>
      </c>
    </row>
    <row r="47" spans="2:30" x14ac:dyDescent="0.3">
      <c r="B47" s="12">
        <v>1.0465629243989194E-2</v>
      </c>
      <c r="C47" s="12">
        <f t="shared" si="0"/>
        <v>1.032871749964839E-3</v>
      </c>
      <c r="D47" s="126">
        <f t="shared" si="1"/>
        <v>9.3157496973979986E-3</v>
      </c>
      <c r="E47" s="12">
        <f t="shared" si="2"/>
        <v>9.7383592689002679E-2</v>
      </c>
      <c r="F47" s="12">
        <f t="shared" si="3"/>
        <v>9.7077484758128163E-2</v>
      </c>
      <c r="G47" s="122">
        <f t="shared" si="8"/>
        <v>9.5626994629935107E-3</v>
      </c>
      <c r="H47" s="122">
        <f t="shared" si="4"/>
        <v>1.030475991986648E-2</v>
      </c>
      <c r="I47" s="122">
        <f t="shared" si="5"/>
        <v>1.1368559024984877E-2</v>
      </c>
      <c r="J47" s="122">
        <f t="shared" si="9"/>
        <v>-8.2390164199368007E-3</v>
      </c>
      <c r="K47" s="122">
        <f t="shared" si="6"/>
        <v>1.8543776339803281E-2</v>
      </c>
      <c r="Y47" s="126">
        <f>IF($Z$1, C47, -0.2)</f>
        <v>-0.2</v>
      </c>
      <c r="AB47" s="40">
        <v>5.8985004924543096</v>
      </c>
      <c r="AC47" s="40">
        <f t="shared" si="7"/>
        <v>7.6238770911760305E-3</v>
      </c>
      <c r="AD47" s="40">
        <f>IF($Z$2, $AA$2*(SIN(ATAN($AA$1))+SIN(AB47)), -0.2)</f>
        <v>-0.2</v>
      </c>
    </row>
    <row r="48" spans="2:30" x14ac:dyDescent="0.3">
      <c r="B48" s="12">
        <v>1.092476323841407E-2</v>
      </c>
      <c r="C48" s="12">
        <f t="shared" si="0"/>
        <v>1.0775575173644814E-3</v>
      </c>
      <c r="D48" s="126">
        <f t="shared" si="1"/>
        <v>9.5217143048445477E-3</v>
      </c>
      <c r="E48" s="12">
        <f t="shared" si="2"/>
        <v>9.726880919039646E-2</v>
      </c>
      <c r="F48" s="12">
        <f t="shared" si="3"/>
        <v>9.69637783311941E-2</v>
      </c>
      <c r="G48" s="122">
        <f t="shared" si="8"/>
        <v>1.0002947909917542E-2</v>
      </c>
      <c r="H48" s="122">
        <f t="shared" si="4"/>
        <v>1.0554545425092871E-2</v>
      </c>
      <c r="I48" s="122">
        <f t="shared" si="5"/>
        <v>1.1846578566910598E-2</v>
      </c>
      <c r="J48" s="122">
        <f t="shared" si="9"/>
        <v>-8.399430390363909E-3</v>
      </c>
      <c r="K48" s="122">
        <f t="shared" si="6"/>
        <v>1.895397581545678E-2</v>
      </c>
      <c r="Y48" s="126">
        <f>IF($Z$1, C48, -0.2)</f>
        <v>-0.2</v>
      </c>
      <c r="AB48" s="40">
        <v>6.0267287640294036</v>
      </c>
      <c r="AC48" s="40">
        <f t="shared" si="7"/>
        <v>7.7840462332980122E-3</v>
      </c>
      <c r="AD48" s="40">
        <f>IF($Z$2, $AA$2*(SIN(ATAN($AA$1))+SIN(AB48)), -0.2)</f>
        <v>-0.2</v>
      </c>
    </row>
    <row r="49" spans="2:30" x14ac:dyDescent="0.3">
      <c r="B49" s="12">
        <v>1.1393698170635291E-2</v>
      </c>
      <c r="C49" s="12">
        <f t="shared" si="0"/>
        <v>1.1231427723130867E-3</v>
      </c>
      <c r="D49" s="126">
        <f t="shared" si="1"/>
        <v>9.7277708518747688E-3</v>
      </c>
      <c r="E49" s="12">
        <f t="shared" si="2"/>
        <v>9.7151575457341155E-2</v>
      </c>
      <c r="F49" s="12">
        <f t="shared" si="3"/>
        <v>9.6847642065248707E-2</v>
      </c>
      <c r="G49" s="122">
        <f t="shared" si="8"/>
        <v>1.0453058561246901E-2</v>
      </c>
      <c r="H49" s="122">
        <f t="shared" si="4"/>
        <v>1.080532862426997E-2</v>
      </c>
      <c r="I49" s="122">
        <f t="shared" si="5"/>
        <v>1.2334337780023682E-2</v>
      </c>
      <c r="J49" s="122">
        <f t="shared" si="9"/>
        <v>-8.5590430796437956E-3</v>
      </c>
      <c r="K49" s="122">
        <f t="shared" si="6"/>
        <v>1.9364371703913766E-2</v>
      </c>
      <c r="Y49" s="126">
        <f>IF($Z$1, C49, -0.2)</f>
        <v>-0.2</v>
      </c>
      <c r="AB49" s="40">
        <v>6.1549570356044976</v>
      </c>
      <c r="AC49" s="40">
        <f t="shared" si="7"/>
        <v>7.8812119427814058E-3</v>
      </c>
      <c r="AD49" s="40">
        <f>IF($Z$2, $AA$2*(SIN(ATAN($AA$1))+SIN(AB49)), -0.2)</f>
        <v>-0.2</v>
      </c>
    </row>
    <row r="50" spans="2:30" x14ac:dyDescent="0.3">
      <c r="B50" s="12">
        <v>1.1872429393885775E-2</v>
      </c>
      <c r="C50" s="12">
        <f t="shared" si="0"/>
        <v>1.1696236169244771E-3</v>
      </c>
      <c r="D50" s="126">
        <f t="shared" si="1"/>
        <v>9.9339149438297004E-3</v>
      </c>
      <c r="E50" s="12">
        <f t="shared" si="2"/>
        <v>9.7031892651528534E-2</v>
      </c>
      <c r="F50" s="12">
        <f t="shared" si="3"/>
        <v>9.6729076949774576E-2</v>
      </c>
      <c r="G50" s="122">
        <f t="shared" si="8"/>
        <v>1.0913028713327765E-2</v>
      </c>
      <c r="H50" s="122">
        <f t="shared" si="4"/>
        <v>1.1057101376463957E-2</v>
      </c>
      <c r="I50" s="122">
        <f t="shared" si="5"/>
        <v>1.2831830074443785E-2</v>
      </c>
      <c r="J50" s="122">
        <f t="shared" si="9"/>
        <v>-8.7178541426150037E-3</v>
      </c>
      <c r="K50" s="122">
        <f t="shared" si="6"/>
        <v>1.9774955519078961E-2</v>
      </c>
      <c r="Y50" s="126">
        <f>IF($Z$1, C50, -0.2)</f>
        <v>-0.2</v>
      </c>
      <c r="AB50" s="40">
        <v>6.2831853071795916</v>
      </c>
      <c r="AC50" s="40">
        <f t="shared" si="7"/>
        <v>7.9137787613627834E-3</v>
      </c>
      <c r="AD50" s="40">
        <f>IF($Z$2, $AA$2*(SIN(ATAN($AA$1))+SIN(AB50)), -0.2)</f>
        <v>-0.2</v>
      </c>
    </row>
    <row r="51" spans="2:30" x14ac:dyDescent="0.3">
      <c r="B51" s="12">
        <v>1.2360952164325312E-2</v>
      </c>
      <c r="C51" s="12">
        <f t="shared" si="0"/>
        <v>1.2169960741314385E-3</v>
      </c>
      <c r="D51" s="126">
        <f t="shared" si="1"/>
        <v>1.0140142110039335E-2</v>
      </c>
      <c r="E51" s="12">
        <f t="shared" si="2"/>
        <v>9.690976195891865E-2</v>
      </c>
      <c r="F51" s="12">
        <f t="shared" si="3"/>
        <v>9.6608083995360569E-2</v>
      </c>
      <c r="G51" s="122">
        <f t="shared" si="8"/>
        <v>1.1382855571038551E-2</v>
      </c>
      <c r="H51" s="122">
        <f t="shared" si="4"/>
        <v>1.1309855384851757E-2</v>
      </c>
      <c r="I51" s="122">
        <f t="shared" si="5"/>
        <v>1.3339048757612073E-2</v>
      </c>
      <c r="J51" s="122">
        <f t="shared" si="9"/>
        <v>-8.8758632365888799E-3</v>
      </c>
      <c r="K51" s="122">
        <f t="shared" si="6"/>
        <v>2.0185718621440637E-2</v>
      </c>
      <c r="Y51" s="126">
        <f>IF($Z$1, C51, -0.2)</f>
        <v>-0.2</v>
      </c>
    </row>
    <row r="52" spans="2:30" x14ac:dyDescent="0.3">
      <c r="B52" s="12">
        <v>1.2859261641087194E-2</v>
      </c>
      <c r="C52" s="12">
        <f t="shared" si="0"/>
        <v>1.2652560878644772E-3</v>
      </c>
      <c r="D52" s="126">
        <f t="shared" si="1"/>
        <v>1.0346447804201778E-2</v>
      </c>
      <c r="E52" s="12">
        <f t="shared" si="2"/>
        <v>9.6785184589728179E-2</v>
      </c>
      <c r="F52" s="12">
        <f t="shared" si="3"/>
        <v>9.6484664233718806E-2</v>
      </c>
      <c r="G52" s="122">
        <f t="shared" si="8"/>
        <v>1.1862536247625807E-2</v>
      </c>
      <c r="H52" s="122">
        <f t="shared" si="4"/>
        <v>1.1563582197242692E-2</v>
      </c>
      <c r="I52" s="122">
        <f t="shared" si="5"/>
        <v>1.3855987034548581E-2</v>
      </c>
      <c r="J52" s="122">
        <f t="shared" si="9"/>
        <v>-9.0330700215137377E-3</v>
      </c>
      <c r="K52" s="122">
        <f t="shared" si="6"/>
        <v>2.059665221875643E-2</v>
      </c>
      <c r="Y52" s="126">
        <f>IF($Z$1, C52, -0.2)</f>
        <v>-0.2</v>
      </c>
    </row>
    <row r="53" spans="2:30" x14ac:dyDescent="0.3">
      <c r="B53" s="12">
        <v>1.3367352886326511E-2</v>
      </c>
      <c r="C53" s="12">
        <f t="shared" si="0"/>
        <v>1.3143995232342031E-3</v>
      </c>
      <c r="D53" s="126">
        <f t="shared" si="1"/>
        <v>1.0552827404769958E-2</v>
      </c>
      <c r="E53" s="12">
        <f t="shared" si="2"/>
        <v>9.665816177841835E-2</v>
      </c>
      <c r="F53" s="12">
        <f t="shared" si="3"/>
        <v>9.6358818717701578E-2</v>
      </c>
      <c r="G53" s="122">
        <f t="shared" si="8"/>
        <v>1.2352067764538587E-2</v>
      </c>
      <c r="H53" s="122">
        <f t="shared" si="4"/>
        <v>1.1818273206611203E-2</v>
      </c>
      <c r="I53" s="122">
        <f t="shared" si="5"/>
        <v>1.4382638008114436E-2</v>
      </c>
      <c r="J53" s="122">
        <f t="shared" si="9"/>
        <v>-9.1894741601427962E-3</v>
      </c>
      <c r="K53" s="122">
        <f t="shared" si="6"/>
        <v>2.1007747366753999E-2</v>
      </c>
      <c r="Y53" s="126">
        <f>IF($Z$1, C53, -0.2)</f>
        <v>-0.2</v>
      </c>
    </row>
    <row r="54" spans="2:30" x14ac:dyDescent="0.3">
      <c r="B54" s="12">
        <v>1.3885220865268999E-2</v>
      </c>
      <c r="C54" s="12">
        <f t="shared" si="0"/>
        <v>1.3644221667172369E-3</v>
      </c>
      <c r="D54" s="126">
        <f t="shared" si="1"/>
        <v>1.0759276215345309E-2</v>
      </c>
      <c r="E54" s="12">
        <f t="shared" si="2"/>
        <v>9.6528694783682728E-2</v>
      </c>
      <c r="F54" s="12">
        <f t="shared" si="3"/>
        <v>9.6230548521318751E-2</v>
      </c>
      <c r="G54" s="122">
        <f t="shared" si="8"/>
        <v>1.2851447051260281E-2</v>
      </c>
      <c r="H54" s="122">
        <f t="shared" si="4"/>
        <v>1.2073919651639915E-2</v>
      </c>
      <c r="I54" s="122">
        <f t="shared" si="5"/>
        <v>1.4918994679277717E-2</v>
      </c>
      <c r="J54" s="122">
        <f t="shared" si="9"/>
        <v>-9.345075318205439E-3</v>
      </c>
      <c r="K54" s="122">
        <f t="shared" si="6"/>
        <v>2.1418994969845354E-2</v>
      </c>
      <c r="Y54" s="126">
        <f>IF($Z$1, C54, -0.2)</f>
        <v>-0.2</v>
      </c>
    </row>
    <row r="55" spans="2:30" x14ac:dyDescent="0.3">
      <c r="B55" s="12">
        <v>1.4412860446260445E-2</v>
      </c>
      <c r="C55" s="12">
        <f t="shared" si="0"/>
        <v>1.4153197263456221E-3</v>
      </c>
      <c r="D55" s="126">
        <f t="shared" si="1"/>
        <v>1.0965789465078514E-2</v>
      </c>
      <c r="E55" s="12">
        <f t="shared" si="2"/>
        <v>9.6396784888434867E-2</v>
      </c>
      <c r="F55" s="12">
        <f t="shared" si="3"/>
        <v>9.6099854739755575E-2</v>
      </c>
      <c r="G55" s="122">
        <f t="shared" si="8"/>
        <v>1.3360670945137931E-2</v>
      </c>
      <c r="H55" s="122">
        <f t="shared" si="4"/>
        <v>1.2330512617273134E-2</v>
      </c>
      <c r="I55" s="122">
        <f t="shared" si="5"/>
        <v>1.5465049947382958E-2</v>
      </c>
      <c r="J55" s="122">
        <f t="shared" si="9"/>
        <v>-9.4998731645818887E-3</v>
      </c>
      <c r="K55" s="122">
        <f t="shared" si="6"/>
        <v>2.1830385781855022E-2</v>
      </c>
      <c r="Y55" s="126">
        <f>IF($Z$1, C55, -0.2)</f>
        <v>-0.2</v>
      </c>
    </row>
    <row r="56" spans="2:30" x14ac:dyDescent="0.3">
      <c r="B56" s="12">
        <v>1.4950266400818424E-2</v>
      </c>
      <c r="C56" s="12">
        <f t="shared" si="0"/>
        <v>1.4670878318999122E-3</v>
      </c>
      <c r="D56" s="126">
        <f t="shared" si="1"/>
        <v>1.1172362309077881E-2</v>
      </c>
      <c r="E56" s="12">
        <f t="shared" si="2"/>
        <v>9.6262433399795372E-2</v>
      </c>
      <c r="F56" s="12">
        <f t="shared" si="3"/>
        <v>9.5966738489390357E-2</v>
      </c>
      <c r="G56" s="122">
        <f t="shared" si="8"/>
        <v>1.387973619121079E-2</v>
      </c>
      <c r="H56" s="122">
        <f t="shared" si="4"/>
        <v>1.2588043035281566E-2</v>
      </c>
      <c r="I56" s="122">
        <f t="shared" si="5"/>
        <v>1.6020796610426057E-2</v>
      </c>
      <c r="J56" s="122">
        <f t="shared" si="9"/>
        <v>-9.6538673714817412E-3</v>
      </c>
      <c r="K56" s="122">
        <f t="shared" si="6"/>
        <v>2.2241910406763307E-2</v>
      </c>
      <c r="Y56" s="126">
        <f>IF($Z$1, C56, -0.2)</f>
        <v>-0.2</v>
      </c>
    </row>
    <row r="57" spans="2:30" x14ac:dyDescent="0.3">
      <c r="B57" s="12">
        <v>1.5497433403683258E-2</v>
      </c>
      <c r="C57" s="12">
        <f t="shared" si="0"/>
        <v>1.5197220351056257E-3</v>
      </c>
      <c r="D57" s="126">
        <f t="shared" si="1"/>
        <v>1.1378989828824123E-2</v>
      </c>
      <c r="E57" s="12">
        <f t="shared" si="2"/>
        <v>9.6125641649079163E-2</v>
      </c>
      <c r="F57" s="12">
        <f t="shared" si="3"/>
        <v>9.5831200907812983E-2</v>
      </c>
      <c r="G57" s="122">
        <f t="shared" si="8"/>
        <v>1.440863944203513E-2</v>
      </c>
      <c r="H57" s="122">
        <f t="shared" si="4"/>
        <v>1.2846501684836675E-2</v>
      </c>
      <c r="I57" s="122">
        <f t="shared" si="5"/>
        <v>1.6586227365331389E-2</v>
      </c>
      <c r="J57" s="122">
        <f t="shared" si="9"/>
        <v>-9.8070576146254227E-3</v>
      </c>
      <c r="K57" s="122">
        <f t="shared" si="6"/>
        <v>2.2653559299462098E-2</v>
      </c>
      <c r="Y57" s="126">
        <f>IF($Z$1, C57, -0.2)</f>
        <v>-0.2</v>
      </c>
    </row>
    <row r="58" spans="2:30" x14ac:dyDescent="0.3">
      <c r="B58" s="12">
        <v>1.605435603287142E-2</v>
      </c>
      <c r="C58" s="12">
        <f t="shared" si="0"/>
        <v>1.5732178098333673E-3</v>
      </c>
      <c r="D58" s="126">
        <f t="shared" si="1"/>
        <v>1.1585667032592784E-2</v>
      </c>
      <c r="E58" s="12">
        <f t="shared" si="2"/>
        <v>9.5986410991782123E-2</v>
      </c>
      <c r="F58" s="12">
        <f t="shared" si="3"/>
        <v>9.5693243153843213E-2</v>
      </c>
      <c r="G58" s="122">
        <f t="shared" si="8"/>
        <v>1.4947377257508493E-2</v>
      </c>
      <c r="H58" s="122">
        <f t="shared" si="4"/>
        <v>1.3105879193096264E-2</v>
      </c>
      <c r="I58" s="122">
        <f t="shared" si="5"/>
        <v>1.7161334808234348E-2</v>
      </c>
      <c r="J58" s="122">
        <f t="shared" si="9"/>
        <v>-9.9594435734295297E-3</v>
      </c>
      <c r="K58" s="122">
        <f t="shared" si="6"/>
        <v>2.3065322766525793E-2</v>
      </c>
      <c r="Y58" s="126">
        <f>IF($Z$1, C58, -0.2)</f>
        <v>-0.2</v>
      </c>
    </row>
    <row r="59" spans="2:30" x14ac:dyDescent="0.3">
      <c r="B59" s="12">
        <v>1.6621028769728818E-2</v>
      </c>
      <c r="C59" s="12">
        <f t="shared" si="0"/>
        <v>1.6275705523023623E-3</v>
      </c>
      <c r="D59" s="126">
        <f t="shared" si="1"/>
        <v>1.1792388855883245E-2</v>
      </c>
      <c r="E59" s="12">
        <f t="shared" si="2"/>
        <v>9.5844742807567773E-2</v>
      </c>
      <c r="F59" s="12">
        <f t="shared" si="3"/>
        <v>9.555286640754973E-2</v>
      </c>
      <c r="G59" s="122">
        <f t="shared" si="8"/>
        <v>1.5495946104690912E-2</v>
      </c>
      <c r="H59" s="122">
        <f t="shared" si="4"/>
        <v>1.3366166035799975E-2</v>
      </c>
      <c r="I59" s="122">
        <f t="shared" si="5"/>
        <v>1.7746111434766725E-2</v>
      </c>
      <c r="J59" s="122">
        <f t="shared" si="9"/>
        <v>-1.0111024931195251E-2</v>
      </c>
      <c r="K59" s="122">
        <f t="shared" si="6"/>
        <v>2.3477190966995225E-2</v>
      </c>
      <c r="Y59" s="126">
        <f>IF($Z$1, C59, -0.2)</f>
        <v>-0.2</v>
      </c>
    </row>
    <row r="60" spans="2:30" x14ac:dyDescent="0.3">
      <c r="B60" s="12">
        <v>1.719744599898565E-2</v>
      </c>
      <c r="C60" s="12">
        <f t="shared" si="0"/>
        <v>1.6827755812875613E-3</v>
      </c>
      <c r="D60" s="126">
        <f t="shared" si="1"/>
        <v>1.1999150161854957E-2</v>
      </c>
      <c r="E60" s="12">
        <f t="shared" si="2"/>
        <v>9.5700638500253565E-2</v>
      </c>
      <c r="F60" s="12">
        <f t="shared" si="3"/>
        <v>9.5410071870269036E-2</v>
      </c>
      <c r="G60" s="122">
        <f t="shared" si="8"/>
        <v>1.6054342357624769E-2</v>
      </c>
      <c r="H60" s="122">
        <f t="shared" si="4"/>
        <v>1.362735253787549E-2</v>
      </c>
      <c r="I60" s="122">
        <f t="shared" si="5"/>
        <v>1.834054964034653E-2</v>
      </c>
      <c r="J60" s="122">
        <f t="shared" si="9"/>
        <v>-1.0261801375300368E-2</v>
      </c>
      <c r="K60" s="122">
        <f t="shared" si="6"/>
        <v>2.3889153913175858E-2</v>
      </c>
      <c r="Y60" s="126">
        <f>IF($Z$1, C60, -0.2)</f>
        <v>-0.2</v>
      </c>
    </row>
    <row r="61" spans="2:30" x14ac:dyDescent="0.3">
      <c r="B61" s="12">
        <v>1.7783602008812238E-2</v>
      </c>
      <c r="C61" s="12">
        <f t="shared" si="0"/>
        <v>1.7388281383302446E-3</v>
      </c>
      <c r="D61" s="126">
        <f t="shared" si="1"/>
        <v>1.2205945741770596E-2</v>
      </c>
      <c r="E61" s="12">
        <f t="shared" si="2"/>
        <v>9.5554099497796918E-2</v>
      </c>
      <c r="F61" s="12">
        <f t="shared" si="3"/>
        <v>9.5264860764624898E-2</v>
      </c>
      <c r="G61" s="122">
        <f t="shared" si="8"/>
        <v>1.6622562297152782E-2</v>
      </c>
      <c r="H61" s="122">
        <f t="shared" si="4"/>
        <v>1.3889428874055103E-2</v>
      </c>
      <c r="I61" s="122">
        <f t="shared" si="5"/>
        <v>1.8944641720471694E-2</v>
      </c>
      <c r="J61" s="122">
        <f t="shared" si="9"/>
        <v>-1.0411772597394614E-2</v>
      </c>
      <c r="K61" s="122">
        <f t="shared" si="6"/>
        <v>2.4301201471449718E-2</v>
      </c>
      <c r="Y61" s="126">
        <f>IF($Z$1, C61, -0.2)</f>
        <v>-0.2</v>
      </c>
    </row>
    <row r="62" spans="2:30" x14ac:dyDescent="0.3">
      <c r="B62" s="12">
        <v>1.8379490990875214E-2</v>
      </c>
      <c r="C62" s="12">
        <f t="shared" si="0"/>
        <v>1.795723387952063E-3</v>
      </c>
      <c r="D62" s="126">
        <f t="shared" si="1"/>
        <v>1.2412770315445928E-2</v>
      </c>
      <c r="E62" s="12">
        <f t="shared" si="2"/>
        <v>9.5405127252281174E-2</v>
      </c>
      <c r="F62" s="12">
        <f t="shared" si="3"/>
        <v>9.5117234334548079E-2</v>
      </c>
      <c r="G62" s="122">
        <f t="shared" si="8"/>
        <v>1.7200602110733518E-2</v>
      </c>
      <c r="H62" s="122">
        <f t="shared" si="4"/>
        <v>1.415238506950238E-2</v>
      </c>
      <c r="I62" s="122">
        <f t="shared" si="5"/>
        <v>1.9558379871016909E-2</v>
      </c>
      <c r="J62" s="122">
        <f t="shared" si="9"/>
        <v>-1.0560938293598252E-2</v>
      </c>
      <c r="K62" s="122">
        <f t="shared" si="6"/>
        <v>2.4713323363100632E-2</v>
      </c>
      <c r="Y62" s="126">
        <f>IF($Z$1, C62, -0.2)</f>
        <v>-0.2</v>
      </c>
    </row>
    <row r="63" spans="2:30" x14ac:dyDescent="0.3">
      <c r="B63" s="12">
        <v>1.8985107040395466E-2</v>
      </c>
      <c r="C63" s="12">
        <f t="shared" si="0"/>
        <v>1.853456417872637E-3</v>
      </c>
      <c r="D63" s="126">
        <f t="shared" si="1"/>
        <v>1.2619618531706766E-2</v>
      </c>
      <c r="E63" s="12">
        <f t="shared" si="2"/>
        <v>9.5253723239901111E-2</v>
      </c>
      <c r="F63" s="12">
        <f t="shared" si="3"/>
        <v>9.496719384529613E-2</v>
      </c>
      <c r="G63" s="122">
        <f t="shared" si="8"/>
        <v>1.7788457892255898E-2</v>
      </c>
      <c r="H63" s="122">
        <f t="shared" si="4"/>
        <v>1.441621100044941E-2</v>
      </c>
      <c r="I63" s="122">
        <f t="shared" si="5"/>
        <v>2.0181756188535033E-2</v>
      </c>
      <c r="J63" s="122">
        <f t="shared" si="9"/>
        <v>-1.0709298164704135E-2</v>
      </c>
      <c r="K63" s="122">
        <f t="shared" si="6"/>
        <v>2.5125509165153544E-2</v>
      </c>
      <c r="Y63" s="126">
        <f>IF($Z$1, C63, -0.2)</f>
        <v>-0.2</v>
      </c>
    </row>
    <row r="64" spans="2:30" x14ac:dyDescent="0.3">
      <c r="B64" s="12">
        <v>1.9600444156206542E-2</v>
      </c>
      <c r="C64" s="12">
        <f t="shared" si="0"/>
        <v>1.9120222392305826E-3</v>
      </c>
      <c r="D64" s="126">
        <f t="shared" si="1"/>
        <v>1.2826484968852634E-2</v>
      </c>
      <c r="E64" s="12">
        <f t="shared" si="2"/>
        <v>9.5099888960948342E-2</v>
      </c>
      <c r="F64" s="12">
        <f t="shared" si="3"/>
        <v>9.4814740583473583E-2</v>
      </c>
      <c r="G64" s="122">
        <f t="shared" si="8"/>
        <v>1.8386125641851367E-2</v>
      </c>
      <c r="H64" s="122">
        <f t="shared" si="4"/>
        <v>1.4680896394844179E-2</v>
      </c>
      <c r="I64" s="122">
        <f t="shared" si="5"/>
        <v>2.0814762670561718E-2</v>
      </c>
      <c r="J64" s="122">
        <f t="shared" si="9"/>
        <v>-1.0856851916383014E-2</v>
      </c>
      <c r="K64" s="122">
        <f t="shared" si="6"/>
        <v>2.5537748311227192E-2</v>
      </c>
      <c r="Y64" s="126">
        <f>IF($Z$1, C64, -0.2)</f>
        <v>-0.2</v>
      </c>
    </row>
    <row r="65" spans="2:25" x14ac:dyDescent="0.3">
      <c r="B65" s="12">
        <v>2.0225496240813712E-2</v>
      </c>
      <c r="C65" s="12">
        <f t="shared" ref="C65:C128" si="10">IF($A$1=0, 0, IF(B65&lt;=$A$2, ($A$1/$A$2^2)*(2*$A$2*B65-B65^2), ($A$1/(1-$A$2)^2)*((1-2*$A$2)+2*$A$2*B65-B65^2)))</f>
        <v>1.9714157868079749E-3</v>
      </c>
      <c r="D65" s="126">
        <f t="shared" ref="D65:D128" si="11">IF(B65&lt;$N$1, ($A$3/0.2)*($O$1*SQRT(B65)+$P$1*B65+$Q$1*(B65^2)+$R$1*(B65^3)), ($A$3/0.2)*($S$1+$T$1*(1-B65)+$U$1*((1-B65)^2)+$V$1*((1-B65)^3)))</f>
        <v>1.3033364135127042E-2</v>
      </c>
      <c r="E65" s="12">
        <f t="shared" si="2"/>
        <v>9.494362593979655E-2</v>
      </c>
      <c r="F65" s="12">
        <f t="shared" si="3"/>
        <v>9.46598758570526E-2</v>
      </c>
      <c r="G65" s="122">
        <f t="shared" si="8"/>
        <v>1.8993601265704069E-2</v>
      </c>
      <c r="H65" s="122">
        <f t="shared" si="4"/>
        <v>1.4946430833007941E-2</v>
      </c>
      <c r="I65" s="122">
        <f t="shared" si="5"/>
        <v>2.1457391215923355E-2</v>
      </c>
      <c r="J65" s="122">
        <f t="shared" si="9"/>
        <v>-1.100359925939199E-2</v>
      </c>
      <c r="K65" s="122">
        <f t="shared" si="6"/>
        <v>2.595003009239993E-2</v>
      </c>
      <c r="Y65" s="126">
        <f>IF($Z$1, C65, -0.2)</f>
        <v>-0.2</v>
      </c>
    </row>
    <row r="66" spans="2:25" x14ac:dyDescent="0.3">
      <c r="B66" s="12">
        <v>2.0860257100455248E-2</v>
      </c>
      <c r="C66" s="12">
        <f t="shared" si="10"/>
        <v>2.031631919258388E-3</v>
      </c>
      <c r="D66" s="126">
        <f t="shared" si="11"/>
        <v>1.324025046919497E-2</v>
      </c>
      <c r="E66" s="12">
        <f t="shared" ref="E66:E129" si="12">IF($A$1=0, 0, IF(B66&lt;=$A$2, ($A$1/$A$2^2) *(2*$A$2-2*B66), ($A$1/(1-$A$2)^2)*(2*$A$2-2*B66)))</f>
        <v>9.4784935724886166E-2</v>
      </c>
      <c r="F66" s="12">
        <f t="shared" ref="F66:F129" si="13">IF($A$1=0, 0,  ATAN(E66))</f>
        <v>9.4502600995393385E-2</v>
      </c>
      <c r="G66" s="122">
        <f t="shared" ref="G66:G129" si="14">B66-D66*SIN(F66)</f>
        <v>1.9610880575860537E-2</v>
      </c>
      <c r="H66" s="122">
        <f t="shared" ref="H66:H129" si="15">C66+D66*COS(F66)</f>
        <v>1.5212803748303378E-2</v>
      </c>
      <c r="I66" s="122">
        <f t="shared" ref="I66:I129" si="16">B66+D66*SIN(F66)</f>
        <v>2.210963362504996E-2</v>
      </c>
      <c r="J66" s="122">
        <f t="shared" ref="J66:J129" si="17">C66-D66*COS(F66)</f>
        <v>-1.1149539909786604E-2</v>
      </c>
      <c r="K66" s="122">
        <f t="shared" ref="K66:K129" si="18">2*D66*COS(F66)</f>
        <v>2.6362343658089982E-2</v>
      </c>
      <c r="Y66" s="126">
        <f>IF($Z$1, C66, -0.2)</f>
        <v>-0.2</v>
      </c>
    </row>
    <row r="67" spans="2:25" x14ac:dyDescent="0.3">
      <c r="B67" s="12">
        <v>2.1504720445162939E-2</v>
      </c>
      <c r="C67" s="12">
        <f t="shared" si="10"/>
        <v>2.0926654193382174E-3</v>
      </c>
      <c r="D67" s="126">
        <f t="shared" si="11"/>
        <v>1.3447138340626458E-2</v>
      </c>
      <c r="E67" s="12">
        <f t="shared" si="12"/>
        <v>9.4623819888709243E-2</v>
      </c>
      <c r="F67" s="12">
        <f t="shared" si="13"/>
        <v>9.4342917349265421E-2</v>
      </c>
      <c r="G67" s="122">
        <f t="shared" si="14"/>
        <v>2.0237959290036012E-2</v>
      </c>
      <c r="H67" s="122">
        <f t="shared" si="15"/>
        <v>1.5480004427812142E-2</v>
      </c>
      <c r="I67" s="122">
        <f t="shared" si="16"/>
        <v>2.2771481600289866E-2</v>
      </c>
      <c r="J67" s="122">
        <f t="shared" si="17"/>
        <v>-1.1294673589135707E-2</v>
      </c>
      <c r="K67" s="122">
        <f t="shared" si="18"/>
        <v>2.6774678016947849E-2</v>
      </c>
      <c r="Y67" s="126">
        <f>IF($Z$1, C67, -0.2)</f>
        <v>-0.2</v>
      </c>
    </row>
    <row r="68" spans="2:25" x14ac:dyDescent="0.3">
      <c r="B68" s="12">
        <v>2.2158879888824812E-2</v>
      </c>
      <c r="C68" s="12">
        <f t="shared" si="10"/>
        <v>2.1545109941415604E-3</v>
      </c>
      <c r="D68" s="126">
        <f t="shared" si="11"/>
        <v>1.3654022050387233E-2</v>
      </c>
      <c r="E68" s="12">
        <f t="shared" si="12"/>
        <v>9.4460280027793775E-2</v>
      </c>
      <c r="F68" s="12">
        <f t="shared" si="13"/>
        <v>9.4180826290868588E-2</v>
      </c>
      <c r="G68" s="122">
        <f t="shared" si="14"/>
        <v>2.0874833031420372E-2</v>
      </c>
      <c r="H68" s="122">
        <f t="shared" si="15"/>
        <v>1.5748022013022979E-2</v>
      </c>
      <c r="I68" s="122">
        <f t="shared" si="16"/>
        <v>2.3442926746229251E-2</v>
      </c>
      <c r="J68" s="122">
        <f t="shared" si="17"/>
        <v>-1.1439000024739857E-2</v>
      </c>
      <c r="K68" s="122">
        <f t="shared" si="18"/>
        <v>2.7187022037762836E-2</v>
      </c>
      <c r="Y68" s="126">
        <f>IF($Z$1, C68, -0.2)</f>
        <v>-0.2</v>
      </c>
    </row>
    <row r="69" spans="2:25" x14ac:dyDescent="0.3">
      <c r="B69" s="12">
        <v>2.2822728949248527E-2</v>
      </c>
      <c r="C69" s="12">
        <f t="shared" si="10"/>
        <v>2.2171632753384941E-3</v>
      </c>
      <c r="D69" s="126">
        <f t="shared" si="11"/>
        <v>1.3860895831335884E-2</v>
      </c>
      <c r="E69" s="12">
        <f t="shared" si="12"/>
        <v>9.4294317762687846E-2</v>
      </c>
      <c r="F69" s="12">
        <f t="shared" si="13"/>
        <v>9.4016329213854583E-2</v>
      </c>
      <c r="G69" s="122">
        <f t="shared" si="14"/>
        <v>2.1521497328482218E-2</v>
      </c>
      <c r="H69" s="122">
        <f t="shared" si="15"/>
        <v>1.6016845500529855E-2</v>
      </c>
      <c r="I69" s="122">
        <f t="shared" si="16"/>
        <v>2.4123960570014837E-2</v>
      </c>
      <c r="J69" s="122">
        <f t="shared" si="17"/>
        <v>-1.1582518949852866E-2</v>
      </c>
      <c r="K69" s="122">
        <f t="shared" si="18"/>
        <v>2.7599364450382722E-2</v>
      </c>
      <c r="Y69" s="126">
        <f>IF($Z$1, C69, -0.2)</f>
        <v>-0.2</v>
      </c>
    </row>
    <row r="70" spans="2:25" x14ac:dyDescent="0.3">
      <c r="B70" s="12">
        <v>2.349626104822522E-2</v>
      </c>
      <c r="C70" s="12">
        <f t="shared" si="10"/>
        <v>2.2806168194167285E-3</v>
      </c>
      <c r="D70" s="126">
        <f t="shared" si="11"/>
        <v>1.406775384872742E-2</v>
      </c>
      <c r="E70" s="12">
        <f t="shared" si="12"/>
        <v>9.4125934737943673E-2</v>
      </c>
      <c r="F70" s="12">
        <f t="shared" si="13"/>
        <v>9.3849427533348809E-2</v>
      </c>
      <c r="G70" s="122">
        <f t="shared" si="14"/>
        <v>2.217794761477088E-2</v>
      </c>
      <c r="H70" s="122">
        <f t="shared" si="15"/>
        <v>1.6286463742739822E-2</v>
      </c>
      <c r="I70" s="122">
        <f t="shared" si="16"/>
        <v>2.481457448167956E-2</v>
      </c>
      <c r="J70" s="122">
        <f t="shared" si="17"/>
        <v>-1.1725230103906366E-2</v>
      </c>
      <c r="K70" s="122">
        <f t="shared" si="18"/>
        <v>2.8011693846646188E-2</v>
      </c>
      <c r="Y70" s="126">
        <f>IF($Z$1, C70, -0.2)</f>
        <v>-0.2</v>
      </c>
    </row>
    <row r="71" spans="2:25" x14ac:dyDescent="0.3">
      <c r="B71" s="12">
        <v>2.4179469511595331E-2</v>
      </c>
      <c r="C71" s="12">
        <f t="shared" si="10"/>
        <v>2.3448661079267618E-3</v>
      </c>
      <c r="D71" s="126">
        <f t="shared" si="11"/>
        <v>1.4274590200723672E-2</v>
      </c>
      <c r="E71" s="12">
        <f t="shared" si="12"/>
        <v>9.3955132622101145E-2</v>
      </c>
      <c r="F71" s="12">
        <f t="shared" si="13"/>
        <v>9.3680122685972145E-2</v>
      </c>
      <c r="G71" s="122">
        <f t="shared" si="14"/>
        <v>2.2844179228717978E-2</v>
      </c>
      <c r="H71" s="122">
        <f t="shared" si="15"/>
        <v>1.6556865448591314E-2</v>
      </c>
      <c r="I71" s="122">
        <f t="shared" si="16"/>
        <v>2.5514759794472684E-2</v>
      </c>
      <c r="J71" s="122">
        <f t="shared" si="17"/>
        <v>-1.1867133232737789E-2</v>
      </c>
      <c r="K71" s="122">
        <f t="shared" si="18"/>
        <v>2.8423998681329103E-2</v>
      </c>
      <c r="Y71" s="126">
        <f>IF($Z$1, C71, -0.2)</f>
        <v>-0.2</v>
      </c>
    </row>
    <row r="72" spans="2:25" x14ac:dyDescent="0.3">
      <c r="B72" s="12">
        <v>2.487234756931378E-2</v>
      </c>
      <c r="C72" s="12">
        <f t="shared" si="10"/>
        <v>2.4099055477302843E-3</v>
      </c>
      <c r="D72" s="126">
        <f t="shared" si="11"/>
        <v>1.4481398918909686E-2</v>
      </c>
      <c r="E72" s="12">
        <f t="shared" si="12"/>
        <v>9.3781913107671533E-2</v>
      </c>
      <c r="F72" s="12">
        <f t="shared" si="13"/>
        <v>9.3508416129863423E-2</v>
      </c>
      <c r="G72" s="122">
        <f t="shared" si="14"/>
        <v>2.3520187413435919E-2</v>
      </c>
      <c r="H72" s="122">
        <f t="shared" si="15"/>
        <v>1.6828039184281687E-2</v>
      </c>
      <c r="I72" s="122">
        <f t="shared" si="16"/>
        <v>2.622450772519164E-2</v>
      </c>
      <c r="J72" s="122">
        <f t="shared" si="17"/>
        <v>-1.200822808882112E-2</v>
      </c>
      <c r="K72" s="122">
        <f t="shared" si="18"/>
        <v>2.8836267273102806E-2</v>
      </c>
      <c r="Y72" s="126">
        <f>IF($Z$1, C72, -0.2)</f>
        <v>-0.2</v>
      </c>
    </row>
    <row r="73" spans="2:25" x14ac:dyDescent="0.3">
      <c r="B73" s="12">
        <v>2.5574888355518133E-2</v>
      </c>
      <c r="C73" s="12">
        <f t="shared" si="10"/>
        <v>2.4757294712521613E-3</v>
      </c>
      <c r="D73" s="126">
        <f t="shared" si="11"/>
        <v>1.4688173968817105E-2</v>
      </c>
      <c r="E73" s="12">
        <f t="shared" si="12"/>
        <v>9.3606277911120458E-2</v>
      </c>
      <c r="F73" s="12">
        <f t="shared" si="13"/>
        <v>9.3334309344701605E-2</v>
      </c>
      <c r="G73" s="122">
        <f t="shared" si="14"/>
        <v>2.4205967316517002E-2</v>
      </c>
      <c r="H73" s="122">
        <f t="shared" si="15"/>
        <v>1.7099973374005442E-2</v>
      </c>
      <c r="I73" s="122">
        <f t="shared" si="16"/>
        <v>2.6943809394519264E-2</v>
      </c>
      <c r="J73" s="122">
        <f t="shared" si="17"/>
        <v>-1.2148514431501119E-2</v>
      </c>
      <c r="K73" s="122">
        <f t="shared" si="18"/>
        <v>2.9248487805506561E-2</v>
      </c>
      <c r="Y73" s="126">
        <f>IF($Z$1, C73, -0.2)</f>
        <v>-0.2</v>
      </c>
    </row>
    <row r="74" spans="2:25" x14ac:dyDescent="0.3">
      <c r="B74" s="12">
        <v>2.6287084908595659E-2</v>
      </c>
      <c r="C74" s="12">
        <f t="shared" si="10"/>
        <v>2.5423321367356012E-3</v>
      </c>
      <c r="D74" s="126">
        <f t="shared" si="11"/>
        <v>1.4894909250453423E-2</v>
      </c>
      <c r="E74" s="12">
        <f t="shared" si="12"/>
        <v>9.3428228772851077E-2</v>
      </c>
      <c r="F74" s="12">
        <f t="shared" si="13"/>
        <v>9.3157803831728642E-2</v>
      </c>
      <c r="G74" s="122">
        <f t="shared" si="14"/>
        <v>2.4901513989829111E-2</v>
      </c>
      <c r="H74" s="122">
        <f t="shared" si="15"/>
        <v>1.7372656300701519E-2</v>
      </c>
      <c r="I74" s="122">
        <f t="shared" si="16"/>
        <v>2.7672655827362207E-2</v>
      </c>
      <c r="J74" s="122">
        <f t="shared" si="17"/>
        <v>-1.2287992027230316E-2</v>
      </c>
      <c r="K74" s="122">
        <f t="shared" si="18"/>
        <v>2.9660648327931836E-2</v>
      </c>
      <c r="Y74" s="126">
        <f>IF($Z$1, C74, -0.2)</f>
        <v>-0.2</v>
      </c>
    </row>
    <row r="75" spans="2:25" x14ac:dyDescent="0.3">
      <c r="B75" s="12">
        <v>2.7008930171253165E-2</v>
      </c>
      <c r="C75" s="12">
        <f t="shared" si="10"/>
        <v>2.6097077285008627E-3</v>
      </c>
      <c r="D75" s="126">
        <f t="shared" si="11"/>
        <v>1.510159859883798E-2</v>
      </c>
      <c r="E75" s="12">
        <f t="shared" si="12"/>
        <v>9.32477674571867E-2</v>
      </c>
      <c r="F75" s="12">
        <f t="shared" si="13"/>
        <v>9.2978901113772286E-2</v>
      </c>
      <c r="G75" s="122">
        <f t="shared" si="14"/>
        <v>2.5606822389311907E-2</v>
      </c>
      <c r="H75" s="122">
        <f t="shared" si="15"/>
        <v>1.7646076106810998E-2</v>
      </c>
      <c r="I75" s="122">
        <f t="shared" si="16"/>
        <v>2.8411037953194423E-2</v>
      </c>
      <c r="J75" s="122">
        <f t="shared" si="17"/>
        <v>-1.2426660649809273E-2</v>
      </c>
      <c r="K75" s="122">
        <f t="shared" si="18"/>
        <v>3.0072736756620273E-2</v>
      </c>
      <c r="Y75" s="126">
        <f>IF($Z$1, C75, -0.2)</f>
        <v>-0.2</v>
      </c>
    </row>
    <row r="76" spans="2:25" x14ac:dyDescent="0.3">
      <c r="B76" s="12">
        <v>2.7740416990586381E-2</v>
      </c>
      <c r="C76" s="12">
        <f t="shared" si="10"/>
        <v>2.677850357207186E-3</v>
      </c>
      <c r="D76" s="126">
        <f t="shared" si="11"/>
        <v>1.5308235784543954E-2</v>
      </c>
      <c r="E76" s="12">
        <f t="shared" si="12"/>
        <v>9.3064895752353397E-2</v>
      </c>
      <c r="F76" s="12">
        <f t="shared" si="13"/>
        <v>9.2797602735269338E-2</v>
      </c>
      <c r="G76" s="122">
        <f t="shared" si="14"/>
        <v>2.6321887374770335E-2</v>
      </c>
      <c r="H76" s="122">
        <f t="shared" si="15"/>
        <v>1.7920220795044104E-2</v>
      </c>
      <c r="I76" s="122">
        <f t="shared" si="16"/>
        <v>2.9158946606402426E-2</v>
      </c>
      <c r="J76" s="122">
        <f t="shared" si="17"/>
        <v>-1.2564520080629733E-2</v>
      </c>
      <c r="K76" s="122">
        <f t="shared" si="18"/>
        <v>3.0484740875673839E-2</v>
      </c>
      <c r="Y76" s="126">
        <f>IF($Z$1, C76, -0.2)</f>
        <v>-0.2</v>
      </c>
    </row>
    <row r="77" spans="2:25" x14ac:dyDescent="0.3">
      <c r="B77" s="12">
        <v>2.8481538118150684E-2</v>
      </c>
      <c r="C77" s="12">
        <f t="shared" si="10"/>
        <v>2.7467540601181094E-3</v>
      </c>
      <c r="D77" s="126">
        <f t="shared" si="11"/>
        <v>1.5514814514246605E-2</v>
      </c>
      <c r="E77" s="12">
        <f t="shared" si="12"/>
        <v>9.2879615470462321E-2</v>
      </c>
      <c r="F77" s="12">
        <f t="shared" si="13"/>
        <v>9.2613910262288976E-2</v>
      </c>
      <c r="G77" s="122">
        <f t="shared" si="14"/>
        <v>2.7046703709667309E-2</v>
      </c>
      <c r="H77" s="122">
        <f t="shared" si="15"/>
        <v>1.819507822915694E-2</v>
      </c>
      <c r="I77" s="122">
        <f t="shared" si="16"/>
        <v>2.9916372526634059E-2</v>
      </c>
      <c r="J77" s="122">
        <f t="shared" si="17"/>
        <v>-1.2701570108920722E-2</v>
      </c>
      <c r="K77" s="122">
        <f t="shared" si="18"/>
        <v>3.0896648338077662E-2</v>
      </c>
      <c r="Y77" s="126">
        <f>IF($Z$1, C77, -0.2)</f>
        <v>-0.2</v>
      </c>
    </row>
    <row r="78" spans="2:25" x14ac:dyDescent="0.3">
      <c r="B78" s="12">
        <v>2.923228621003382E-2</v>
      </c>
      <c r="C78" s="12">
        <f t="shared" si="10"/>
        <v>2.8164128013702153E-3</v>
      </c>
      <c r="D78" s="126">
        <f t="shared" si="11"/>
        <v>1.5721328431278086E-2</v>
      </c>
      <c r="E78" s="12">
        <f t="shared" si="12"/>
        <v>9.2691928447491537E-2</v>
      </c>
      <c r="F78" s="12">
        <f t="shared" si="13"/>
        <v>9.2427825282556178E-2</v>
      </c>
      <c r="G78" s="122">
        <f t="shared" si="14"/>
        <v>2.7781266060916208E-2</v>
      </c>
      <c r="H78" s="122">
        <f t="shared" si="15"/>
        <v>1.8470636134738351E-2</v>
      </c>
      <c r="I78" s="122">
        <f t="shared" si="16"/>
        <v>3.0683306359151431E-2</v>
      </c>
      <c r="J78" s="122">
        <f t="shared" si="17"/>
        <v>-1.2837810531997921E-2</v>
      </c>
      <c r="K78" s="122">
        <f t="shared" si="18"/>
        <v>3.1308446666736274E-2</v>
      </c>
      <c r="Y78" s="126">
        <f>IF($Z$1, C78, -0.2)</f>
        <v>-0.2</v>
      </c>
    </row>
    <row r="79" spans="2:25" x14ac:dyDescent="0.3">
      <c r="B79" s="12">
        <v>2.9992653826927507E-2</v>
      </c>
      <c r="C79" s="12">
        <f t="shared" si="10"/>
        <v>2.8868204722450118E-3</v>
      </c>
      <c r="D79" s="126">
        <f t="shared" si="11"/>
        <v>1.5927771116187751E-2</v>
      </c>
      <c r="E79" s="12">
        <f t="shared" si="12"/>
        <v>9.2501836543268115E-2</v>
      </c>
      <c r="F79" s="12">
        <f t="shared" si="13"/>
        <v>9.2239349405475804E-2</v>
      </c>
      <c r="G79" s="122">
        <f t="shared" si="14"/>
        <v>2.8525568998670241E-2</v>
      </c>
      <c r="H79" s="122">
        <f t="shared" si="15"/>
        <v>1.8746882100005548E-2</v>
      </c>
      <c r="I79" s="122">
        <f t="shared" si="16"/>
        <v>3.1459738655184769E-2</v>
      </c>
      <c r="J79" s="122">
        <f t="shared" si="17"/>
        <v>-1.2973241155515524E-2</v>
      </c>
      <c r="K79" s="122">
        <f t="shared" si="18"/>
        <v>3.1720123255521072E-2</v>
      </c>
      <c r="Y79" s="126">
        <f>IF($Z$1, C79, -0.2)</f>
        <v>-0.2</v>
      </c>
    </row>
    <row r="80" spans="2:25" x14ac:dyDescent="0.3">
      <c r="B80" s="12">
        <v>3.0762633434202158E-2</v>
      </c>
      <c r="C80" s="12">
        <f t="shared" si="10"/>
        <v>2.9579708914443284E-3</v>
      </c>
      <c r="D80" s="126">
        <f t="shared" si="11"/>
        <v>1.6134136087309195E-2</v>
      </c>
      <c r="E80" s="12">
        <f t="shared" si="12"/>
        <v>9.2309341641449452E-2</v>
      </c>
      <c r="F80" s="12">
        <f t="shared" si="13"/>
        <v>9.2048484262156324E-2</v>
      </c>
      <c r="G80" s="122">
        <f t="shared" si="14"/>
        <v>2.9279606996112824E-2</v>
      </c>
      <c r="H80" s="122">
        <f t="shared" si="15"/>
        <v>1.9023803576610102E-2</v>
      </c>
      <c r="I80" s="122">
        <f t="shared" si="16"/>
        <v>3.2245659872291492E-2</v>
      </c>
      <c r="J80" s="122">
        <f t="shared" si="17"/>
        <v>-1.3107861793721445E-2</v>
      </c>
      <c r="K80" s="122">
        <f t="shared" si="18"/>
        <v>3.2131665370331547E-2</v>
      </c>
      <c r="Y80" s="126">
        <f>IF($Z$1, C80, -0.2)</f>
        <v>-0.2</v>
      </c>
    </row>
    <row r="81" spans="2:25" x14ac:dyDescent="0.3">
      <c r="B81" s="12">
        <v>3.1542217401980821E-2</v>
      </c>
      <c r="C81" s="12">
        <f t="shared" si="10"/>
        <v>3.0298578053688536E-3</v>
      </c>
      <c r="D81" s="126">
        <f t="shared" si="11"/>
        <v>1.634041680133283E-2</v>
      </c>
      <c r="E81" s="12">
        <f t="shared" si="12"/>
        <v>9.2114445649504786E-2</v>
      </c>
      <c r="F81" s="12">
        <f t="shared" si="13"/>
        <v>9.1855231505434204E-2</v>
      </c>
      <c r="G81" s="122">
        <f t="shared" si="14"/>
        <v>3.0043374429245217E-2</v>
      </c>
      <c r="H81" s="122">
        <f t="shared" si="15"/>
        <v>1.9301387880452797E-2</v>
      </c>
      <c r="I81" s="122">
        <f t="shared" si="16"/>
        <v>3.3041060374716422E-2</v>
      </c>
      <c r="J81" s="122">
        <f t="shared" si="17"/>
        <v>-1.3241672269715092E-2</v>
      </c>
      <c r="K81" s="122">
        <f t="shared" si="18"/>
        <v>3.2543060150167891E-2</v>
      </c>
      <c r="Y81" s="126">
        <f>IF($Z$1, C81, -0.2)</f>
        <v>-0.2</v>
      </c>
    </row>
    <row r="82" spans="2:25" x14ac:dyDescent="0.3">
      <c r="B82" s="12">
        <v>3.2331398005215228E-2</v>
      </c>
      <c r="C82" s="12">
        <f t="shared" si="10"/>
        <v>3.102474888400068E-3</v>
      </c>
      <c r="D82" s="126">
        <f t="shared" si="11"/>
        <v>1.6546606653884809E-2</v>
      </c>
      <c r="E82" s="12">
        <f t="shared" si="12"/>
        <v>9.1917150498696185E-2</v>
      </c>
      <c r="F82" s="12">
        <f t="shared" si="13"/>
        <v>9.165959280989823E-2</v>
      </c>
      <c r="G82" s="122">
        <f t="shared" si="14"/>
        <v>3.0816865576674322E-2</v>
      </c>
      <c r="H82" s="122">
        <f t="shared" si="15"/>
        <v>1.9579622192508354E-2</v>
      </c>
      <c r="I82" s="122">
        <f t="shared" si="16"/>
        <v>3.3845930433756138E-2</v>
      </c>
      <c r="J82" s="122">
        <f t="shared" si="17"/>
        <v>-1.337467241570822E-2</v>
      </c>
      <c r="K82" s="122">
        <f t="shared" si="18"/>
        <v>3.2954294608216576E-2</v>
      </c>
      <c r="Y82" s="126">
        <f>IF($Z$1, C82, -0.2)</f>
        <v>-0.2</v>
      </c>
    </row>
    <row r="83" spans="2:25" x14ac:dyDescent="0.3">
      <c r="B83" s="12">
        <v>3.313016742376218E-2</v>
      </c>
      <c r="C83" s="12">
        <f t="shared" si="10"/>
        <v>3.1758157431854032E-3</v>
      </c>
      <c r="D83" s="126">
        <f t="shared" si="11"/>
        <v>1.6752698980111662E-2</v>
      </c>
      <c r="E83" s="12">
        <f t="shared" si="12"/>
        <v>9.1717458144059447E-2</v>
      </c>
      <c r="F83" s="12">
        <f t="shared" si="13"/>
        <v>9.1461569871914145E-2</v>
      </c>
      <c r="G83" s="122">
        <f t="shared" si="14"/>
        <v>3.1600074619398906E-2</v>
      </c>
      <c r="H83" s="122">
        <f t="shared" si="15"/>
        <v>1.9858493559659292E-2</v>
      </c>
      <c r="I83" s="122">
        <f t="shared" si="16"/>
        <v>3.4660260228125454E-2</v>
      </c>
      <c r="J83" s="122">
        <f t="shared" si="17"/>
        <v>-1.3506862073288484E-2</v>
      </c>
      <c r="K83" s="122">
        <f t="shared" si="18"/>
        <v>3.3365355632947777E-2</v>
      </c>
      <c r="Y83" s="126">
        <f>IF($Z$1, C83, -0.2)</f>
        <v>-0.2</v>
      </c>
    </row>
    <row r="84" spans="2:25" x14ac:dyDescent="0.3">
      <c r="B84" s="12">
        <v>3.3938517742461038E-2</v>
      </c>
      <c r="C84" s="12">
        <f t="shared" si="10"/>
        <v>3.2498739009266856E-3</v>
      </c>
      <c r="D84" s="126">
        <f t="shared" si="11"/>
        <v>1.695868705527093E-2</v>
      </c>
      <c r="E84" s="12">
        <f t="shared" si="12"/>
        <v>9.1515370564384732E-2</v>
      </c>
      <c r="F84" s="12">
        <f t="shared" si="13"/>
        <v>9.1261164409649417E-2</v>
      </c>
      <c r="G84" s="122">
        <f t="shared" si="14"/>
        <v>3.2392995640595126E-2</v>
      </c>
      <c r="H84" s="122">
        <f t="shared" si="15"/>
        <v>2.0137988895539249E-2</v>
      </c>
      <c r="I84" s="122">
        <f t="shared" si="16"/>
        <v>3.5484039844326951E-2</v>
      </c>
      <c r="J84" s="122">
        <f t="shared" si="17"/>
        <v>-1.3638241093685879E-2</v>
      </c>
      <c r="K84" s="122">
        <f t="shared" si="18"/>
        <v>3.377622998922513E-2</v>
      </c>
      <c r="Y84" s="126">
        <f>IF($Z$1, C84, -0.2)</f>
        <v>-0.2</v>
      </c>
    </row>
    <row r="85" spans="2:25" x14ac:dyDescent="0.3">
      <c r="B85" s="12">
        <v>3.475644095121222E-2</v>
      </c>
      <c r="C85" s="12">
        <f t="shared" si="10"/>
        <v>3.3246428216718335E-3</v>
      </c>
      <c r="D85" s="126">
        <f t="shared" si="11"/>
        <v>1.7164564095327579E-2</v>
      </c>
      <c r="E85" s="12">
        <f t="shared" si="12"/>
        <v>9.1310889762196937E-2</v>
      </c>
      <c r="F85" s="12">
        <f t="shared" si="13"/>
        <v>9.105837816309828E-2</v>
      </c>
      <c r="G85" s="122">
        <f t="shared" si="14"/>
        <v>3.3195622625401211E-2</v>
      </c>
      <c r="H85" s="122">
        <f t="shared" si="15"/>
        <v>2.0418094981385543E-2</v>
      </c>
      <c r="I85" s="122">
        <f t="shared" si="16"/>
        <v>3.6317259277023228E-2</v>
      </c>
      <c r="J85" s="122">
        <f t="shared" si="17"/>
        <v>-1.3768809338041876E-2</v>
      </c>
      <c r="K85" s="122">
        <f t="shared" si="18"/>
        <v>3.4186904319427419E-2</v>
      </c>
      <c r="Y85" s="126">
        <f>IF($Z$1, C85, -0.2)</f>
        <v>-0.2</v>
      </c>
    </row>
    <row r="86" spans="2:25" x14ac:dyDescent="0.3">
      <c r="B86" s="12">
        <v>3.5583928945056353E-2</v>
      </c>
      <c r="C86" s="12">
        <f t="shared" si="10"/>
        <v>3.4001158946097821E-3</v>
      </c>
      <c r="D86" s="126">
        <f t="shared" si="11"/>
        <v>1.7370323257556171E-2</v>
      </c>
      <c r="E86" s="12">
        <f t="shared" si="12"/>
        <v>9.1104017763735903E-2</v>
      </c>
      <c r="F86" s="12">
        <f t="shared" si="13"/>
        <v>9.0853212894106902E-2</v>
      </c>
      <c r="G86" s="122">
        <f t="shared" si="14"/>
        <v>3.4007949460701119E-2</v>
      </c>
      <c r="H86" s="122">
        <f t="shared" si="15"/>
        <v>2.069879846690089E-2</v>
      </c>
      <c r="I86" s="122">
        <f t="shared" si="16"/>
        <v>3.7159908429411588E-2</v>
      </c>
      <c r="J86" s="122">
        <f t="shared" si="17"/>
        <v>-1.3898566677681327E-2</v>
      </c>
      <c r="K86" s="122">
        <f t="shared" si="18"/>
        <v>3.4597365144582219E-2</v>
      </c>
      <c r="Y86" s="126">
        <f>IF($Z$1, C86, -0.2)</f>
        <v>-0.2</v>
      </c>
    </row>
    <row r="87" spans="2:25" x14ac:dyDescent="0.3">
      <c r="B87" s="12">
        <v>3.6420973524254996E-2</v>
      </c>
      <c r="C87" s="12">
        <f t="shared" si="10"/>
        <v>3.4762864383686884E-3</v>
      </c>
      <c r="D87" s="126">
        <f t="shared" si="11"/>
        <v>1.7575957641148908E-2</v>
      </c>
      <c r="E87" s="12">
        <f t="shared" si="12"/>
        <v>9.0894756618936243E-2</v>
      </c>
      <c r="F87" s="12">
        <f t="shared" si="13"/>
        <v>9.0645670386398675E-2</v>
      </c>
      <c r="G87" s="122">
        <f t="shared" si="14"/>
        <v>3.4829969934907973E-2</v>
      </c>
      <c r="H87" s="122">
        <f t="shared" si="15"/>
        <v>2.0980085871124581E-2</v>
      </c>
      <c r="I87" s="122">
        <f t="shared" si="16"/>
        <v>3.8011977113602019E-2</v>
      </c>
      <c r="J87" s="122">
        <f t="shared" si="17"/>
        <v>-1.4027512994387205E-2</v>
      </c>
      <c r="K87" s="122">
        <f t="shared" si="18"/>
        <v>3.5007598865511788E-2</v>
      </c>
      <c r="Y87" s="126">
        <f>IF($Z$1, C87, -0.2)</f>
        <v>-0.2</v>
      </c>
    </row>
    <row r="88" spans="2:25" x14ac:dyDescent="0.3">
      <c r="B88" s="12">
        <v>3.7267566394371454E-2</v>
      </c>
      <c r="C88" s="12">
        <f t="shared" si="10"/>
        <v>3.5531477013172842E-3</v>
      </c>
      <c r="D88" s="126">
        <f t="shared" si="11"/>
        <v>1.7781460287829138E-2</v>
      </c>
      <c r="E88" s="12">
        <f t="shared" si="12"/>
        <v>9.0683108401407128E-2</v>
      </c>
      <c r="F88" s="12">
        <f t="shared" si="13"/>
        <v>9.0435752445599815E-2</v>
      </c>
      <c r="G88" s="122">
        <f t="shared" si="14"/>
        <v>3.5661677737746103E-2</v>
      </c>
      <c r="H88" s="122">
        <f t="shared" si="15"/>
        <v>2.126194358331239E-2</v>
      </c>
      <c r="I88" s="122">
        <f t="shared" si="16"/>
        <v>3.8873455050996805E-2</v>
      </c>
      <c r="J88" s="122">
        <f t="shared" si="17"/>
        <v>-1.415564818067782E-2</v>
      </c>
      <c r="K88" s="122">
        <f t="shared" si="18"/>
        <v>3.541759176399021E-2</v>
      </c>
      <c r="Y88" s="126">
        <f>IF($Z$1, C88, -0.2)</f>
        <v>-0.2</v>
      </c>
    </row>
    <row r="89" spans="2:25" x14ac:dyDescent="0.3">
      <c r="B89" s="12">
        <v>3.8123699166353275E-2</v>
      </c>
      <c r="C89" s="12">
        <f t="shared" si="10"/>
        <v>3.6306928618695011E-3</v>
      </c>
      <c r="D89" s="126">
        <f t="shared" si="11"/>
        <v>1.7986824182470634E-2</v>
      </c>
      <c r="E89" s="12">
        <f t="shared" si="12"/>
        <v>9.0469075208411673E-2</v>
      </c>
      <c r="F89" s="12">
        <f t="shared" si="13"/>
        <v>9.0223460899265029E-2</v>
      </c>
      <c r="G89" s="122">
        <f t="shared" si="14"/>
        <v>3.6503066460032998E-2</v>
      </c>
      <c r="H89" s="122">
        <f t="shared" si="15"/>
        <v>2.1544357863825841E-2</v>
      </c>
      <c r="I89" s="122">
        <f t="shared" si="16"/>
        <v>3.9744331872673552E-2</v>
      </c>
      <c r="J89" s="122">
        <f t="shared" si="17"/>
        <v>-1.4282972140086839E-2</v>
      </c>
      <c r="K89" s="122">
        <f t="shared" si="18"/>
        <v>3.582733000391268E-2</v>
      </c>
      <c r="Y89" s="126">
        <f>IF($Z$1, C89, -0.2)</f>
        <v>-0.2</v>
      </c>
    </row>
    <row r="90" spans="2:25" x14ac:dyDescent="0.3">
      <c r="B90" s="12">
        <v>3.8989363356615403E-2</v>
      </c>
      <c r="C90" s="12">
        <f t="shared" si="10"/>
        <v>3.7089150287922669E-3</v>
      </c>
      <c r="D90" s="126">
        <f t="shared" si="11"/>
        <v>1.819204225372241E-2</v>
      </c>
      <c r="E90" s="12">
        <f t="shared" si="12"/>
        <v>9.0252659160846141E-2</v>
      </c>
      <c r="F90" s="12">
        <f t="shared" si="13"/>
        <v>9.0008797596903362E-2</v>
      </c>
      <c r="G90" s="122">
        <f t="shared" si="14"/>
        <v>3.7354129593460524E-2</v>
      </c>
      <c r="H90" s="122">
        <f t="shared" si="15"/>
        <v>2.1827314845030452E-2</v>
      </c>
      <c r="I90" s="122">
        <f t="shared" si="16"/>
        <v>4.0624597119770282E-2</v>
      </c>
      <c r="J90" s="122">
        <f t="shared" si="17"/>
        <v>-1.4409484787445918E-2</v>
      </c>
      <c r="K90" s="122">
        <f t="shared" si="18"/>
        <v>3.623679963247637E-2</v>
      </c>
      <c r="Y90" s="126">
        <f>IF($Z$1, C90, -0.2)</f>
        <v>-0.2</v>
      </c>
    </row>
    <row r="91" spans="2:25" x14ac:dyDescent="0.3">
      <c r="B91" s="12">
        <v>3.9864550387123776E-2</v>
      </c>
      <c r="C91" s="12">
        <f t="shared" si="10"/>
        <v>3.7878072415164356E-3</v>
      </c>
      <c r="D91" s="126">
        <f t="shared" si="11"/>
        <v>1.8397107374638896E-2</v>
      </c>
      <c r="E91" s="12">
        <f t="shared" si="12"/>
        <v>9.0033862403219048E-2</v>
      </c>
      <c r="F91" s="12">
        <f t="shared" si="13"/>
        <v>8.9791764410004304E-2</v>
      </c>
      <c r="G91" s="122">
        <f t="shared" si="14"/>
        <v>3.8214860530375025E-2</v>
      </c>
      <c r="H91" s="122">
        <f t="shared" si="15"/>
        <v>2.2110800532202681E-2</v>
      </c>
      <c r="I91" s="122">
        <f t="shared" si="16"/>
        <v>4.1514240243872527E-2</v>
      </c>
      <c r="J91" s="122">
        <f t="shared" si="17"/>
        <v>-1.4535186049169809E-2</v>
      </c>
      <c r="K91" s="122">
        <f t="shared" si="18"/>
        <v>3.664598658137249E-2</v>
      </c>
      <c r="Y91" s="126">
        <f>IF($Z$1, C91, -0.2)</f>
        <v>-0.2</v>
      </c>
    </row>
    <row r="92" spans="2:25" x14ac:dyDescent="0.3">
      <c r="B92" s="12">
        <v>4.0749251585480817E-2</v>
      </c>
      <c r="C92" s="12">
        <f t="shared" si="10"/>
        <v>3.8673624704509794E-3</v>
      </c>
      <c r="D92" s="126">
        <f t="shared" si="11"/>
        <v>1.8602012363315837E-2</v>
      </c>
      <c r="E92" s="12">
        <f t="shared" si="12"/>
        <v>8.9812687103629787E-2</v>
      </c>
      <c r="F92" s="12">
        <f t="shared" si="13"/>
        <v>8.9572363232063912E-2</v>
      </c>
      <c r="G92" s="122">
        <f t="shared" si="14"/>
        <v>3.908525256355791E-2</v>
      </c>
      <c r="H92" s="122">
        <f t="shared" si="15"/>
        <v>2.2394800804446179E-2</v>
      </c>
      <c r="I92" s="122">
        <f t="shared" si="16"/>
        <v>4.2413250607403724E-2</v>
      </c>
      <c r="J92" s="122">
        <f t="shared" si="17"/>
        <v>-1.466007586354422E-2</v>
      </c>
      <c r="K92" s="122">
        <f t="shared" si="18"/>
        <v>3.70548766679904E-2</v>
      </c>
      <c r="Y92" s="126">
        <f>IF($Z$1, C92, -0.2)</f>
        <v>-0.2</v>
      </c>
    </row>
    <row r="93" spans="2:25" x14ac:dyDescent="0.3">
      <c r="B93" s="12">
        <v>4.1643458185011473E-2</v>
      </c>
      <c r="C93" s="12">
        <f t="shared" si="10"/>
        <v>3.947573617300297E-3</v>
      </c>
      <c r="D93" s="126">
        <f t="shared" si="11"/>
        <v>1.8806749983531407E-2</v>
      </c>
      <c r="E93" s="12">
        <f t="shared" si="12"/>
        <v>8.9589135453747124E-2</v>
      </c>
      <c r="F93" s="12">
        <f t="shared" si="13"/>
        <v>8.9350595978611114E-2</v>
      </c>
      <c r="G93" s="122">
        <f t="shared" si="14"/>
        <v>3.996529888600539E-2</v>
      </c>
      <c r="H93" s="122">
        <f t="shared" si="15"/>
        <v>2.2679301415616658E-2</v>
      </c>
      <c r="I93" s="122">
        <f t="shared" si="16"/>
        <v>4.3321617484017555E-2</v>
      </c>
      <c r="J93" s="122">
        <f t="shared" si="17"/>
        <v>-1.4784154181016064E-2</v>
      </c>
      <c r="K93" s="122">
        <f t="shared" si="18"/>
        <v>3.7463455596632722E-2</v>
      </c>
      <c r="Y93" s="126">
        <f>IF($Z$1, C93, -0.2)</f>
        <v>-0.2</v>
      </c>
    </row>
    <row r="94" spans="2:25" x14ac:dyDescent="0.3">
      <c r="B94" s="12">
        <v>4.2547161324849481E-2</v>
      </c>
      <c r="C94" s="12">
        <f t="shared" si="10"/>
        <v>4.028433515384601E-3</v>
      </c>
      <c r="D94" s="126">
        <f t="shared" si="11"/>
        <v>1.9011312945392607E-2</v>
      </c>
      <c r="E94" s="12">
        <f t="shared" si="12"/>
        <v>8.9363209668787622E-2</v>
      </c>
      <c r="F94" s="12">
        <f t="shared" si="13"/>
        <v>8.9126464587234319E-2</v>
      </c>
      <c r="G94" s="122">
        <f t="shared" si="14"/>
        <v>4.0854992590707136E-2</v>
      </c>
      <c r="H94" s="122">
        <f t="shared" si="15"/>
        <v>2.2964287995255416E-2</v>
      </c>
      <c r="I94" s="122">
        <f t="shared" si="16"/>
        <v>4.4239330058991826E-2</v>
      </c>
      <c r="J94" s="122">
        <f t="shared" si="17"/>
        <v>-1.4907420964486214E-2</v>
      </c>
      <c r="K94" s="122">
        <f t="shared" si="18"/>
        <v>3.787170895974163E-2</v>
      </c>
      <c r="Y94" s="126">
        <f>IF($Z$1, C94, -0.2)</f>
        <v>-0.2</v>
      </c>
    </row>
    <row r="95" spans="2:25" x14ac:dyDescent="0.3">
      <c r="B95" s="12">
        <v>4.346035205002563E-2</v>
      </c>
      <c r="C95" s="12">
        <f t="shared" si="10"/>
        <v>4.1099349299635419E-3</v>
      </c>
      <c r="D95" s="126">
        <f t="shared" si="11"/>
        <v>1.9215693905987104E-2</v>
      </c>
      <c r="E95" s="12">
        <f t="shared" si="12"/>
        <v>8.9134911987493584E-2</v>
      </c>
      <c r="F95" s="12">
        <f t="shared" si="13"/>
        <v>8.8899971017607951E-2</v>
      </c>
      <c r="G95" s="122">
        <f t="shared" si="14"/>
        <v>4.1754326670425661E-2</v>
      </c>
      <c r="H95" s="122">
        <f t="shared" si="15"/>
        <v>2.3249746049531853E-2</v>
      </c>
      <c r="I95" s="122">
        <f t="shared" si="16"/>
        <v>4.51663774296256E-2</v>
      </c>
      <c r="J95" s="122">
        <f t="shared" si="17"/>
        <v>-1.5029876189604767E-2</v>
      </c>
      <c r="K95" s="122">
        <f t="shared" si="18"/>
        <v>3.8279622239136619E-2</v>
      </c>
      <c r="Y95" s="126">
        <f>IF($Z$1, C95, -0.2)</f>
        <v>-0.2</v>
      </c>
    </row>
    <row r="96" spans="2:25" x14ac:dyDescent="0.3">
      <c r="B96" s="12">
        <v>4.4383021311556581E-2</v>
      </c>
      <c r="C96" s="12">
        <f t="shared" si="10"/>
        <v>4.1920705585628965E-3</v>
      </c>
      <c r="D96" s="126">
        <f t="shared" si="11"/>
        <v>1.9419885470040237E-2</v>
      </c>
      <c r="E96" s="12">
        <f t="shared" si="12"/>
        <v>8.8904244672110846E-2</v>
      </c>
      <c r="F96" s="12">
        <f t="shared" si="13"/>
        <v>8.8671117251519202E-2</v>
      </c>
      <c r="G96" s="122">
        <f t="shared" si="14"/>
        <v>4.2663294017475019E-2</v>
      </c>
      <c r="H96" s="122">
        <f t="shared" si="15"/>
        <v>2.3535660962194557E-2</v>
      </c>
      <c r="I96" s="122">
        <f t="shared" si="16"/>
        <v>4.6102748605638143E-2</v>
      </c>
      <c r="J96" s="122">
        <f t="shared" si="17"/>
        <v>-1.5151519845068764E-2</v>
      </c>
      <c r="K96" s="122">
        <f t="shared" si="18"/>
        <v>3.868718080726332E-2</v>
      </c>
      <c r="Y96" s="126">
        <f>IF($Z$1, C96, -0.2)</f>
        <v>-0.2</v>
      </c>
    </row>
    <row r="97" spans="2:25" x14ac:dyDescent="0.3">
      <c r="B97" s="12">
        <v>4.5315159966534124E-2</v>
      </c>
      <c r="C97" s="12">
        <f t="shared" si="10"/>
        <v>4.2748330313043398E-3</v>
      </c>
      <c r="D97" s="126">
        <f t="shared" si="11"/>
        <v>1.9623880190577113E-2</v>
      </c>
      <c r="E97" s="12">
        <f t="shared" si="12"/>
        <v>8.8671210008366461E-2</v>
      </c>
      <c r="F97" s="12">
        <f t="shared" si="13"/>
        <v>8.8439905292895041E-2</v>
      </c>
      <c r="G97" s="122">
        <f t="shared" si="14"/>
        <v>4.3581887423498805E-2</v>
      </c>
      <c r="H97" s="122">
        <f t="shared" si="15"/>
        <v>2.3822017995530895E-2</v>
      </c>
      <c r="I97" s="122">
        <f t="shared" si="16"/>
        <v>4.7048432509569443E-2</v>
      </c>
      <c r="J97" s="122">
        <f t="shared" si="17"/>
        <v>-1.5272351932922215E-2</v>
      </c>
      <c r="K97" s="122">
        <f t="shared" si="18"/>
        <v>3.909436992845311E-2</v>
      </c>
      <c r="Y97" s="126">
        <f>IF($Z$1, C97, -0.2)</f>
        <v>-0.2</v>
      </c>
    </row>
    <row r="98" spans="2:25" x14ac:dyDescent="0.3">
      <c r="B98" s="12">
        <v>4.625675877821589E-2</v>
      </c>
      <c r="C98" s="12">
        <f t="shared" si="10"/>
        <v>4.3582149112383313E-3</v>
      </c>
      <c r="D98" s="126">
        <f t="shared" si="11"/>
        <v>1.9827670569589846E-2</v>
      </c>
      <c r="E98" s="12">
        <f t="shared" si="12"/>
        <v>8.8435810305446019E-2</v>
      </c>
      <c r="F98" s="12">
        <f t="shared" si="13"/>
        <v>8.8206337167829177E-2</v>
      </c>
      <c r="G98" s="122">
        <f t="shared" si="14"/>
        <v>4.4510099579248508E-2</v>
      </c>
      <c r="H98" s="122">
        <f t="shared" si="15"/>
        <v>2.4108802291335205E-2</v>
      </c>
      <c r="I98" s="122">
        <f t="shared" si="16"/>
        <v>4.8003417977183271E-2</v>
      </c>
      <c r="J98" s="122">
        <f t="shared" si="17"/>
        <v>-1.5392372468858544E-2</v>
      </c>
      <c r="K98" s="122">
        <f t="shared" si="18"/>
        <v>3.9501174760193748E-2</v>
      </c>
      <c r="Y98" s="126">
        <f>IF($Z$1, C98, -0.2)</f>
        <v>-0.2</v>
      </c>
    </row>
    <row r="99" spans="2:25" x14ac:dyDescent="0.3">
      <c r="B99" s="12">
        <v>4.7207808416117381E-2</v>
      </c>
      <c r="C99" s="12">
        <f t="shared" si="10"/>
        <v>4.4422086946801324E-3</v>
      </c>
      <c r="D99" s="126">
        <f t="shared" si="11"/>
        <v>2.0031249058710031E-2</v>
      </c>
      <c r="E99" s="12">
        <f t="shared" si="12"/>
        <v>8.8198047895970647E-2</v>
      </c>
      <c r="F99" s="12">
        <f t="shared" si="13"/>
        <v>8.7970414924609178E-2</v>
      </c>
      <c r="G99" s="122">
        <f t="shared" si="14"/>
        <v>4.5447923074362052E-2</v>
      </c>
      <c r="H99" s="122">
        <f t="shared" si="15"/>
        <v>2.4395998871885722E-2</v>
      </c>
      <c r="I99" s="122">
        <f t="shared" si="16"/>
        <v>4.8967693757872709E-2</v>
      </c>
      <c r="J99" s="122">
        <f t="shared" si="17"/>
        <v>-1.5511581482525457E-2</v>
      </c>
      <c r="K99" s="122">
        <f t="shared" si="18"/>
        <v>3.9907580354411179E-2</v>
      </c>
      <c r="Y99" s="126">
        <f>IF($Z$1, C99, -0.2)</f>
        <v>-0.2</v>
      </c>
    </row>
    <row r="100" spans="2:25" x14ac:dyDescent="0.3">
      <c r="B100" s="12">
        <v>4.8168299456103791E-2</v>
      </c>
      <c r="C100" s="12">
        <f t="shared" si="10"/>
        <v>4.5268068115487678E-3</v>
      </c>
      <c r="D100" s="126">
        <f t="shared" si="11"/>
        <v>2.0234608059885823E-2</v>
      </c>
      <c r="E100" s="12">
        <f t="shared" si="12"/>
        <v>8.7957925135974044E-2</v>
      </c>
      <c r="F100" s="12">
        <f t="shared" si="13"/>
        <v>8.7732140633743835E-2</v>
      </c>
      <c r="G100" s="122">
        <f t="shared" si="14"/>
        <v>4.6395350397141266E-2</v>
      </c>
      <c r="H100" s="122">
        <f t="shared" si="15"/>
        <v>2.4683592640929407E-2</v>
      </c>
      <c r="I100" s="122">
        <f t="shared" si="16"/>
        <v>4.9941248515066317E-2</v>
      </c>
      <c r="J100" s="122">
        <f t="shared" si="17"/>
        <v>-1.5629979017831874E-2</v>
      </c>
      <c r="K100" s="122">
        <f t="shared" si="18"/>
        <v>4.0313571658761281E-2</v>
      </c>
      <c r="Y100" s="126">
        <f>IF($Z$1, C100, -0.2)</f>
        <v>-0.2</v>
      </c>
    </row>
    <row r="101" spans="2:25" x14ac:dyDescent="0.3">
      <c r="B101" s="12">
        <v>4.9138222380483598E-2</v>
      </c>
      <c r="C101" s="12">
        <f t="shared" si="10"/>
        <v>4.612001625709127E-3</v>
      </c>
      <c r="D101" s="126">
        <f t="shared" si="11"/>
        <v>2.0437739926064284E-2</v>
      </c>
      <c r="E101" s="12">
        <f t="shared" si="12"/>
        <v>8.7715444404879092E-2</v>
      </c>
      <c r="F101" s="12">
        <f t="shared" si="13"/>
        <v>8.7491516387990492E-2</v>
      </c>
      <c r="G101" s="122">
        <f t="shared" si="14"/>
        <v>4.7352373934330047E-2</v>
      </c>
      <c r="H101" s="122">
        <f t="shared" si="15"/>
        <v>2.4971568384675614E-2</v>
      </c>
      <c r="I101" s="122">
        <f t="shared" si="16"/>
        <v>5.0924070826637149E-2</v>
      </c>
      <c r="J101" s="122">
        <f t="shared" si="17"/>
        <v>-1.5747565133257358E-2</v>
      </c>
      <c r="K101" s="122">
        <f t="shared" si="18"/>
        <v>4.0719133517932972E-2</v>
      </c>
      <c r="Y101" s="126">
        <f>IF($Z$1, C101, -0.2)</f>
        <v>-0.2</v>
      </c>
    </row>
    <row r="102" spans="2:25" x14ac:dyDescent="0.3">
      <c r="B102" s="12">
        <v>5.0117567578102928E-2</v>
      </c>
      <c r="C102" s="12">
        <f t="shared" si="10"/>
        <v>4.6977854353170779E-3</v>
      </c>
      <c r="D102" s="126">
        <f t="shared" si="11"/>
        <v>2.0640636961878435E-2</v>
      </c>
      <c r="E102" s="12">
        <f t="shared" si="12"/>
        <v>8.747060810547426E-2</v>
      </c>
      <c r="F102" s="12">
        <f t="shared" si="13"/>
        <v>8.7248544302382589E-2</v>
      </c>
      <c r="G102" s="122">
        <f t="shared" si="14"/>
        <v>4.8318985970892507E-2</v>
      </c>
      <c r="H102" s="122">
        <f t="shared" si="15"/>
        <v>2.5259910772797798E-2</v>
      </c>
      <c r="I102" s="122">
        <f t="shared" si="16"/>
        <v>5.191614918531335E-2</v>
      </c>
      <c r="J102" s="122">
        <f t="shared" si="17"/>
        <v>-1.5864339902163644E-2</v>
      </c>
      <c r="K102" s="122">
        <f t="shared" si="18"/>
        <v>4.1124250674961442E-2</v>
      </c>
      <c r="Y102" s="126">
        <f>IF($Z$1, C102, -0.2)</f>
        <v>-0.2</v>
      </c>
    </row>
    <row r="103" spans="2:25" x14ac:dyDescent="0.3">
      <c r="B103" s="12">
        <v>5.1106325344440817E-2</v>
      </c>
      <c r="C103" s="12">
        <f t="shared" si="10"/>
        <v>4.7841504731676024E-3</v>
      </c>
      <c r="D103" s="126">
        <f t="shared" si="11"/>
        <v>2.0843291424339168E-2</v>
      </c>
      <c r="E103" s="12">
        <f t="shared" si="12"/>
        <v>8.7223418663889787E-2</v>
      </c>
      <c r="F103" s="12">
        <f t="shared" si="13"/>
        <v>8.7003226514257223E-2</v>
      </c>
      <c r="G103" s="122">
        <f t="shared" si="14"/>
        <v>4.9295178689791136E-2</v>
      </c>
      <c r="H103" s="122">
        <f t="shared" si="15"/>
        <v>2.5548604359443592E-2</v>
      </c>
      <c r="I103" s="122">
        <f t="shared" si="16"/>
        <v>5.2917471999090498E-2</v>
      </c>
      <c r="J103" s="122">
        <f t="shared" si="17"/>
        <v>-1.5980303413108386E-2</v>
      </c>
      <c r="K103" s="122">
        <f t="shared" si="18"/>
        <v>4.1528907772551978E-2</v>
      </c>
      <c r="Y103" s="126">
        <f>IF($Z$1, C103, -0.2)</f>
        <v>-0.2</v>
      </c>
    </row>
    <row r="104" spans="2:25" x14ac:dyDescent="0.3">
      <c r="B104" s="12">
        <v>5.2104485881705465E-2</v>
      </c>
      <c r="C104" s="12">
        <f t="shared" si="10"/>
        <v>4.8710889070459401E-3</v>
      </c>
      <c r="D104" s="126">
        <f t="shared" si="11"/>
        <v>2.1045695523531915E-2</v>
      </c>
      <c r="E104" s="12">
        <f t="shared" si="12"/>
        <v>8.6973878529573626E-2</v>
      </c>
      <c r="F104" s="12">
        <f t="shared" si="13"/>
        <v>8.6755565183282826E-2</v>
      </c>
      <c r="G104" s="122">
        <f t="shared" si="14"/>
        <v>5.0280944171765179E-2</v>
      </c>
      <c r="H104" s="122">
        <f t="shared" si="15"/>
        <v>2.5837633584252992E-2</v>
      </c>
      <c r="I104" s="122">
        <f t="shared" si="16"/>
        <v>5.392802759164575E-2</v>
      </c>
      <c r="J104" s="122">
        <f t="shared" si="17"/>
        <v>-1.609545577016111E-2</v>
      </c>
      <c r="K104" s="122">
        <f t="shared" si="18"/>
        <v>4.1933089354414102E-2</v>
      </c>
      <c r="Y104" s="126">
        <f>IF($Z$1, C104, -0.2)</f>
        <v>-0.2</v>
      </c>
    </row>
    <row r="105" spans="2:25" x14ac:dyDescent="0.3">
      <c r="B105" s="12">
        <v>5.3112039298931046E-2</v>
      </c>
      <c r="C105" s="12">
        <f t="shared" si="10"/>
        <v>4.9585928400817042E-3</v>
      </c>
      <c r="D105" s="126">
        <f t="shared" si="11"/>
        <v>2.1247841423317891E-2</v>
      </c>
      <c r="E105" s="12">
        <f t="shared" si="12"/>
        <v>8.672199017526723E-2</v>
      </c>
      <c r="F105" s="12">
        <f t="shared" si="13"/>
        <v>8.6505562491487054E-2</v>
      </c>
      <c r="G105" s="122">
        <f t="shared" si="14"/>
        <v>5.1276274395108928E-2</v>
      </c>
      <c r="H105" s="122">
        <f t="shared" si="15"/>
        <v>2.6126982773384582E-2</v>
      </c>
      <c r="I105" s="122">
        <f t="shared" si="16"/>
        <v>5.4947804202753164E-2</v>
      </c>
      <c r="J105" s="122">
        <f t="shared" si="17"/>
        <v>-1.6209797093221175E-2</v>
      </c>
      <c r="K105" s="122">
        <f t="shared" si="18"/>
        <v>4.2336779866605757E-2</v>
      </c>
      <c r="Y105" s="126">
        <f>IF($Z$1, C105, -0.2)</f>
        <v>-0.2</v>
      </c>
    </row>
    <row r="106" spans="2:25" x14ac:dyDescent="0.3">
      <c r="B106" s="12">
        <v>5.4128975612075858E-2</v>
      </c>
      <c r="C106" s="12">
        <f t="shared" si="10"/>
        <v>5.046654311105998E-3</v>
      </c>
      <c r="D106" s="126">
        <f t="shared" si="11"/>
        <v>2.1449721242040091E-2</v>
      </c>
      <c r="E106" s="12">
        <f t="shared" si="12"/>
        <v>8.6467756096981027E-2</v>
      </c>
      <c r="F106" s="12">
        <f t="shared" si="13"/>
        <v>8.6253220643284598E-2</v>
      </c>
      <c r="G106" s="122">
        <f t="shared" si="14"/>
        <v>5.2281161235450582E-2</v>
      </c>
      <c r="H106" s="122">
        <f t="shared" si="15"/>
        <v>2.6416636140549905E-2</v>
      </c>
      <c r="I106" s="122">
        <f t="shared" si="16"/>
        <v>5.5976789988701134E-2</v>
      </c>
      <c r="J106" s="122">
        <f t="shared" si="17"/>
        <v>-1.6323327518337913E-2</v>
      </c>
      <c r="K106" s="122">
        <f t="shared" si="18"/>
        <v>4.2739963658887818E-2</v>
      </c>
      <c r="Y106" s="126">
        <f>IF($Z$1, C106, -0.2)</f>
        <v>-0.2</v>
      </c>
    </row>
    <row r="107" spans="2:25" x14ac:dyDescent="0.3">
      <c r="B107" s="12">
        <v>5.5155284744121347E-2</v>
      </c>
      <c r="C107" s="12">
        <f t="shared" si="10"/>
        <v>5.1352652950114961E-3</v>
      </c>
      <c r="D107" s="126">
        <f t="shared" si="11"/>
        <v>2.1651327053233783E-2</v>
      </c>
      <c r="E107" s="12">
        <f t="shared" si="12"/>
        <v>8.6211178813969655E-2</v>
      </c>
      <c r="F107" s="12">
        <f t="shared" si="13"/>
        <v>8.5998541865505151E-2</v>
      </c>
      <c r="G107" s="122">
        <f t="shared" si="14"/>
        <v>5.3295596465531489E-2</v>
      </c>
      <c r="H107" s="122">
        <f t="shared" si="15"/>
        <v>2.6706577788055783E-2</v>
      </c>
      <c r="I107" s="122">
        <f t="shared" si="16"/>
        <v>5.7014973022711204E-2</v>
      </c>
      <c r="J107" s="122">
        <f t="shared" si="17"/>
        <v>-1.6436047198032794E-2</v>
      </c>
      <c r="K107" s="122">
        <f t="shared" si="18"/>
        <v>4.3142624986088576E-2</v>
      </c>
      <c r="Y107" s="126">
        <f>IF($Z$1, C107, -0.2)</f>
        <v>-0.2</v>
      </c>
    </row>
    <row r="108" spans="2:25" x14ac:dyDescent="0.3">
      <c r="B108" s="12">
        <v>5.6190956525171698E-2</v>
      </c>
      <c r="C108" s="12">
        <f t="shared" si="10"/>
        <v>5.2244177031154516E-3</v>
      </c>
      <c r="D108" s="126">
        <f t="shared" si="11"/>
        <v>2.1852650886341477E-2</v>
      </c>
      <c r="E108" s="12">
        <f t="shared" si="12"/>
        <v>8.5952260868707067E-2</v>
      </c>
      <c r="F108" s="12">
        <f t="shared" si="13"/>
        <v>8.5741528407421524E-2</v>
      </c>
      <c r="G108" s="122">
        <f t="shared" si="14"/>
        <v>5.4319571754985314E-2</v>
      </c>
      <c r="H108" s="122">
        <f t="shared" si="15"/>
        <v>2.6996791707854469E-2</v>
      </c>
      <c r="I108" s="122">
        <f t="shared" si="16"/>
        <v>5.8062341295358082E-2</v>
      </c>
      <c r="J108" s="122">
        <f t="shared" si="17"/>
        <v>-1.6547956301623569E-2</v>
      </c>
      <c r="K108" s="122">
        <f t="shared" si="18"/>
        <v>4.3544748009478038E-2</v>
      </c>
      <c r="Y108" s="126">
        <f>IF($Z$1, C108, -0.2)</f>
        <v>-0.2</v>
      </c>
    </row>
    <row r="109" spans="2:25" x14ac:dyDescent="0.3">
      <c r="B109" s="12">
        <v>5.7235980692555199E-2</v>
      </c>
      <c r="C109" s="12">
        <f t="shared" si="10"/>
        <v>5.3141033835257005E-3</v>
      </c>
      <c r="D109" s="126">
        <f t="shared" si="11"/>
        <v>2.2053684727432452E-2</v>
      </c>
      <c r="E109" s="12">
        <f t="shared" si="12"/>
        <v>8.5691004826861192E-2</v>
      </c>
      <c r="F109" s="12">
        <f t="shared" si="13"/>
        <v>8.5482182540777593E-2</v>
      </c>
      <c r="G109" s="122">
        <f t="shared" si="14"/>
        <v>5.5353078670118579E-2</v>
      </c>
      <c r="H109" s="122">
        <f t="shared" si="15"/>
        <v>2.7287261782601869E-2</v>
      </c>
      <c r="I109" s="122">
        <f t="shared" si="16"/>
        <v>5.911888271499182E-2</v>
      </c>
      <c r="J109" s="122">
        <f t="shared" si="17"/>
        <v>-1.6659055015550466E-2</v>
      </c>
      <c r="K109" s="122">
        <f t="shared" si="18"/>
        <v>4.3946316798152335E-2</v>
      </c>
      <c r="Y109" s="126">
        <f>IF($Z$1, C109, -0.2)</f>
        <v>-0.2</v>
      </c>
    </row>
    <row r="110" spans="2:25" x14ac:dyDescent="0.3">
      <c r="B110" s="12">
        <v>5.8290346890925049E-2</v>
      </c>
      <c r="C110" s="12">
        <f t="shared" si="10"/>
        <v>5.4043141215094582E-3</v>
      </c>
      <c r="D110" s="126">
        <f t="shared" si="11"/>
        <v>2.2254420519926377E-2</v>
      </c>
      <c r="E110" s="12">
        <f t="shared" si="12"/>
        <v>8.5427413277268729E-2</v>
      </c>
      <c r="F110" s="12">
        <f t="shared" si="13"/>
        <v>8.5220506559816722E-2</v>
      </c>
      <c r="G110" s="122">
        <f t="shared" si="14"/>
        <v>5.6396108673690167E-2</v>
      </c>
      <c r="H110" s="122">
        <f t="shared" si="15"/>
        <v>2.7577971786723086E-2</v>
      </c>
      <c r="I110" s="122">
        <f t="shared" si="16"/>
        <v>6.0184585108159931E-2</v>
      </c>
      <c r="J110" s="122">
        <f t="shared" si="17"/>
        <v>-1.6769343543704168E-2</v>
      </c>
      <c r="K110" s="122">
        <f t="shared" si="18"/>
        <v>4.4347315330427253E-2</v>
      </c>
      <c r="Y110" s="126">
        <f>IF($Z$1, C110, -0.2)</f>
        <v>-0.2</v>
      </c>
    </row>
    <row r="111" spans="2:25" x14ac:dyDescent="0.3">
      <c r="B111" s="12">
        <v>5.9354044672362938E-2</v>
      </c>
      <c r="C111" s="12">
        <f t="shared" si="10"/>
        <v>5.495041639865186E-3</v>
      </c>
      <c r="D111" s="126">
        <f t="shared" si="11"/>
        <v>2.2454850165321606E-2</v>
      </c>
      <c r="E111" s="12">
        <f t="shared" si="12"/>
        <v>8.5161488831909257E-2</v>
      </c>
      <c r="F111" s="12">
        <f t="shared" si="13"/>
        <v>8.4956502781309756E-2</v>
      </c>
      <c r="G111" s="122">
        <f t="shared" si="14"/>
        <v>5.7448653124693244E-2</v>
      </c>
      <c r="H111" s="122">
        <f t="shared" si="15"/>
        <v>2.7868905387486265E-2</v>
      </c>
      <c r="I111" s="122">
        <f t="shared" si="16"/>
        <v>6.1259436220032631E-2</v>
      </c>
      <c r="J111" s="122">
        <f t="shared" si="17"/>
        <v>-1.6878822107755889E-2</v>
      </c>
      <c r="K111" s="122">
        <f t="shared" si="18"/>
        <v>4.4747727495242154E-2</v>
      </c>
      <c r="Y111" s="126">
        <f>IF($Z$1, C111, -0.2)</f>
        <v>-0.2</v>
      </c>
    </row>
    <row r="112" spans="2:25" x14ac:dyDescent="0.3">
      <c r="B112" s="12">
        <v>6.0427063496481526E-2</v>
      </c>
      <c r="C112" s="12">
        <f t="shared" si="10"/>
        <v>5.5862775992971759E-3</v>
      </c>
      <c r="D112" s="126">
        <f t="shared" si="11"/>
        <v>2.2654965523927307E-2</v>
      </c>
      <c r="E112" s="12">
        <f t="shared" si="12"/>
        <v>8.489323412587961E-2</v>
      </c>
      <c r="F112" s="12">
        <f t="shared" si="13"/>
        <v>8.4690173544583594E-2</v>
      </c>
      <c r="G112" s="122">
        <f t="shared" si="14"/>
        <v>5.8510703278135782E-2</v>
      </c>
      <c r="H112" s="122">
        <f t="shared" si="15"/>
        <v>2.8160046146083438E-2</v>
      </c>
      <c r="I112" s="122">
        <f t="shared" si="16"/>
        <v>6.2343423714827269E-2</v>
      </c>
      <c r="J112" s="122">
        <f t="shared" si="17"/>
        <v>-1.6987490947489088E-2</v>
      </c>
      <c r="K112" s="122">
        <f t="shared" si="18"/>
        <v>4.5147537093572526E-2</v>
      </c>
      <c r="Y112" s="126">
        <f>IF($Z$1, C112, -0.2)</f>
        <v>-0.2</v>
      </c>
    </row>
    <row r="113" spans="2:25" x14ac:dyDescent="0.3">
      <c r="B113" s="12">
        <v>6.1509392730530021E-2</v>
      </c>
      <c r="C113" s="12">
        <f t="shared" si="10"/>
        <v>5.6780135987931791E-3</v>
      </c>
      <c r="D113" s="126">
        <f t="shared" si="11"/>
        <v>2.2854758415600182E-2</v>
      </c>
      <c r="E113" s="12">
        <f t="shared" si="12"/>
        <v>8.4622651817367486E-2</v>
      </c>
      <c r="F113" s="12">
        <f t="shared" si="13"/>
        <v>8.442152121154925E-2</v>
      </c>
      <c r="G113" s="122">
        <f t="shared" si="14"/>
        <v>5.958225028482389E-2</v>
      </c>
      <c r="H113" s="122">
        <f t="shared" si="15"/>
        <v>2.8451377518719567E-2</v>
      </c>
      <c r="I113" s="122">
        <f t="shared" si="16"/>
        <v>6.3436535176236153E-2</v>
      </c>
      <c r="J113" s="122">
        <f t="shared" si="17"/>
        <v>-1.7095350321133213E-2</v>
      </c>
      <c r="K113" s="122">
        <f t="shared" si="18"/>
        <v>4.554672783985278E-2</v>
      </c>
      <c r="Y113" s="126">
        <f>IF($Z$1, C113, -0.2)</f>
        <v>-0.2</v>
      </c>
    </row>
    <row r="114" spans="2:25" x14ac:dyDescent="0.3">
      <c r="B114" s="12">
        <v>6.2601021649498656E-2</v>
      </c>
      <c r="C114" s="12">
        <f t="shared" si="10"/>
        <v>5.77024117600474E-3</v>
      </c>
      <c r="D114" s="126">
        <f t="shared" si="11"/>
        <v>2.3054220620484935E-2</v>
      </c>
      <c r="E114" s="12">
        <f t="shared" si="12"/>
        <v>8.4349744587625328E-2</v>
      </c>
      <c r="F114" s="12">
        <f t="shared" si="13"/>
        <v>8.4150548166730441E-2</v>
      </c>
      <c r="G114" s="122">
        <f t="shared" si="14"/>
        <v>6.0663285191143904E-2</v>
      </c>
      <c r="H114" s="122">
        <f t="shared" si="15"/>
        <v>2.8742882857708558E-2</v>
      </c>
      <c r="I114" s="122">
        <f t="shared" si="16"/>
        <v>6.4538758107853408E-2</v>
      </c>
      <c r="J114" s="122">
        <f t="shared" si="17"/>
        <v>-1.7202400505699076E-2</v>
      </c>
      <c r="K114" s="122">
        <f t="shared" si="18"/>
        <v>4.5945283363407634E-2</v>
      </c>
      <c r="Y114" s="126">
        <f>IF($Z$1, C114, -0.2)</f>
        <v>-0.2</v>
      </c>
    </row>
    <row r="115" spans="2:25" x14ac:dyDescent="0.3">
      <c r="B115" s="12">
        <v>6.3701939436225374E-2</v>
      </c>
      <c r="C115" s="12">
        <f t="shared" si="10"/>
        <v>5.8629518076304702E-3</v>
      </c>
      <c r="D115" s="126">
        <f t="shared" si="11"/>
        <v>2.3253343879758994E-2</v>
      </c>
      <c r="E115" s="12">
        <f t="shared" si="12"/>
        <v>8.4074515140943648E-2</v>
      </c>
      <c r="F115" s="12">
        <f t="shared" si="13"/>
        <v>8.3877256817292009E-2</v>
      </c>
      <c r="G115" s="122">
        <f t="shared" si="14"/>
        <v>6.1753798938846506E-2</v>
      </c>
      <c r="H115" s="122">
        <f t="shared" si="15"/>
        <v>2.9034545412576971E-2</v>
      </c>
      <c r="I115" s="122">
        <f t="shared" si="16"/>
        <v>6.5650079933604236E-2</v>
      </c>
      <c r="J115" s="122">
        <f t="shared" si="17"/>
        <v>-1.7308641797316029E-2</v>
      </c>
      <c r="K115" s="122">
        <f t="shared" si="18"/>
        <v>4.6343187209893E-2</v>
      </c>
      <c r="Y115" s="126">
        <f>IF($Z$1, C115, -0.2)</f>
        <v>-0.2</v>
      </c>
    </row>
    <row r="116" spans="2:25" x14ac:dyDescent="0.3">
      <c r="B116" s="12">
        <v>6.4812135181502861E-2</v>
      </c>
      <c r="C116" s="12">
        <f t="shared" si="10"/>
        <v>5.9561369098021094E-3</v>
      </c>
      <c r="D116" s="126">
        <f t="shared" si="11"/>
        <v>2.3452119896381126E-2</v>
      </c>
      <c r="E116" s="12">
        <f t="shared" si="12"/>
        <v>8.3796966204624276E-2</v>
      </c>
      <c r="F116" s="12">
        <f t="shared" si="13"/>
        <v>8.3601649593068303E-2</v>
      </c>
      <c r="G116" s="122">
        <f t="shared" si="14"/>
        <v>6.2853782364831148E-2</v>
      </c>
      <c r="H116" s="122">
        <f t="shared" si="15"/>
        <v>2.9326348331175034E-2</v>
      </c>
      <c r="I116" s="122">
        <f t="shared" si="16"/>
        <v>6.6770487998174574E-2</v>
      </c>
      <c r="J116" s="122">
        <f t="shared" si="17"/>
        <v>-1.7414074511570815E-2</v>
      </c>
      <c r="K116" s="122">
        <f t="shared" si="18"/>
        <v>4.6740422842745849E-2</v>
      </c>
      <c r="Y116" s="126">
        <f>IF($Z$1, C116, -0.2)</f>
        <v>-0.2</v>
      </c>
    </row>
    <row r="117" spans="2:25" x14ac:dyDescent="0.3">
      <c r="B117" s="12">
        <v>6.5931597884186899E-2</v>
      </c>
      <c r="C117" s="12">
        <f t="shared" si="10"/>
        <v>6.0497878384734236E-3</v>
      </c>
      <c r="D117" s="126">
        <f t="shared" si="11"/>
        <v>2.3650540335844027E-2</v>
      </c>
      <c r="E117" s="12">
        <f t="shared" si="12"/>
        <v>8.3517100528953267E-2</v>
      </c>
      <c r="F117" s="12">
        <f t="shared" si="13"/>
        <v>8.3323728946591721E-2</v>
      </c>
      <c r="G117" s="122">
        <f t="shared" si="14"/>
        <v>6.3963226200931755E-2</v>
      </c>
      <c r="H117" s="122">
        <f t="shared" si="15"/>
        <v>2.9618274660794974E-2</v>
      </c>
      <c r="I117" s="122">
        <f t="shared" si="16"/>
        <v>6.7899969567442042E-2</v>
      </c>
      <c r="J117" s="122">
        <f t="shared" si="17"/>
        <v>-1.7518698983848127E-2</v>
      </c>
      <c r="K117" s="122">
        <f t="shared" si="18"/>
        <v>4.7136973644643101E-2</v>
      </c>
      <c r="Y117" s="126">
        <f>IF($Z$1, C117, -0.2)</f>
        <v>-0.2</v>
      </c>
    </row>
    <row r="118" spans="2:25" x14ac:dyDescent="0.3">
      <c r="B118" s="12">
        <v>6.7060316451305058E-2</v>
      </c>
      <c r="C118" s="12">
        <f t="shared" si="10"/>
        <v>6.1438958898118569E-3</v>
      </c>
      <c r="D118" s="126">
        <f t="shared" si="11"/>
        <v>2.3848596826930676E-2</v>
      </c>
      <c r="E118" s="12">
        <f t="shared" si="12"/>
        <v>8.3234920887173727E-2</v>
      </c>
      <c r="F118" s="12">
        <f t="shared" si="13"/>
        <v>8.3043497353121248E-2</v>
      </c>
      <c r="G118" s="122">
        <f t="shared" si="14"/>
        <v>6.5082121073702842E-2</v>
      </c>
      <c r="H118" s="122">
        <f t="shared" si="15"/>
        <v>2.991030734929646E-2</v>
      </c>
      <c r="I118" s="122">
        <f t="shared" si="16"/>
        <v>6.9038511828907273E-2</v>
      </c>
      <c r="J118" s="122">
        <f t="shared" si="17"/>
        <v>-1.7622515569672748E-2</v>
      </c>
      <c r="K118" s="122">
        <f t="shared" si="18"/>
        <v>4.7532822918969209E-2</v>
      </c>
      <c r="Y118" s="126">
        <f>IF($Z$1, C118, -0.2)</f>
        <v>-0.2</v>
      </c>
    </row>
    <row r="119" spans="2:25" x14ac:dyDescent="0.3">
      <c r="B119" s="12">
        <v>6.8198279698166608E-2</v>
      </c>
      <c r="C119" s="12">
        <f t="shared" si="10"/>
        <v>6.2384523005929891E-3</v>
      </c>
      <c r="D119" s="126">
        <f t="shared" si="11"/>
        <v>2.4046280962474478E-2</v>
      </c>
      <c r="E119" s="12">
        <f t="shared" si="12"/>
        <v>8.295043007545834E-2</v>
      </c>
      <c r="F119" s="12">
        <f t="shared" si="13"/>
        <v>8.2760957310671027E-2</v>
      </c>
      <c r="G119" s="122">
        <f t="shared" si="14"/>
        <v>6.6210457504206885E-2</v>
      </c>
      <c r="H119" s="122">
        <f t="shared" si="15"/>
        <v>3.0202429246239212E-2</v>
      </c>
      <c r="I119" s="122">
        <f t="shared" si="16"/>
        <v>7.0186101892126332E-2</v>
      </c>
      <c r="J119" s="122">
        <f t="shared" si="17"/>
        <v>-1.7725524645053232E-2</v>
      </c>
      <c r="K119" s="122">
        <f t="shared" si="18"/>
        <v>4.7927953891292445E-2</v>
      </c>
      <c r="Y119" s="126">
        <f>IF($Z$1, C119, -0.2)</f>
        <v>-0.2</v>
      </c>
    </row>
    <row r="120" spans="2:25" x14ac:dyDescent="0.3">
      <c r="B120" s="12">
        <v>6.9345476348473767E-2</v>
      </c>
      <c r="C120" s="12">
        <f t="shared" si="10"/>
        <v>6.3334482485977832E-3</v>
      </c>
      <c r="D120" s="126">
        <f t="shared" si="11"/>
        <v>2.424358430012321E-2</v>
      </c>
      <c r="E120" s="12">
        <f t="shared" si="12"/>
        <v>8.266363091288155E-2</v>
      </c>
      <c r="F120" s="12">
        <f t="shared" si="13"/>
        <v>8.2476111340038766E-2</v>
      </c>
      <c r="G120" s="122">
        <f t="shared" si="14"/>
        <v>6.7348225907803316E-2</v>
      </c>
      <c r="H120" s="122">
        <f t="shared" si="15"/>
        <v>3.0494623104022803E-2</v>
      </c>
      <c r="I120" s="122">
        <f t="shared" si="16"/>
        <v>7.1342726789144217E-2</v>
      </c>
      <c r="J120" s="122">
        <f t="shared" si="17"/>
        <v>-1.7827726606827236E-2</v>
      </c>
      <c r="K120" s="122">
        <f t="shared" si="18"/>
        <v>4.8322349710850039E-2</v>
      </c>
      <c r="Y120" s="126">
        <f>IF($Z$1, C120, -0.2)</f>
        <v>-0.2</v>
      </c>
    </row>
    <row r="121" spans="2:25" x14ac:dyDescent="0.3">
      <c r="B121" s="12">
        <v>7.050189503443316E-2</v>
      </c>
      <c r="C121" s="12">
        <f t="shared" si="10"/>
        <v>6.4288748530125358E-3</v>
      </c>
      <c r="D121" s="126">
        <f t="shared" si="11"/>
        <v>2.4440498363106519E-2</v>
      </c>
      <c r="E121" s="12">
        <f t="shared" si="12"/>
        <v>8.2374526241391702E-2</v>
      </c>
      <c r="F121" s="12">
        <f t="shared" si="13"/>
        <v>8.2188961984834413E-2</v>
      </c>
      <c r="G121" s="122">
        <f t="shared" si="14"/>
        <v>6.8495416593937833E-2</v>
      </c>
      <c r="H121" s="122">
        <f t="shared" si="15"/>
        <v>3.0786871579033332E-2</v>
      </c>
      <c r="I121" s="122">
        <f t="shared" si="16"/>
        <v>7.2508373474928486E-2</v>
      </c>
      <c r="J121" s="122">
        <f t="shared" si="17"/>
        <v>-1.7929121873008259E-2</v>
      </c>
      <c r="K121" s="122">
        <f t="shared" si="18"/>
        <v>4.8715993452041591E-2</v>
      </c>
      <c r="Y121" s="126">
        <f>IF($Z$1, C121, -0.2)</f>
        <v>-0.2</v>
      </c>
    </row>
    <row r="122" spans="2:25" x14ac:dyDescent="0.3">
      <c r="B122" s="12">
        <v>7.1667524296868401E-2</v>
      </c>
      <c r="C122" s="12">
        <f t="shared" si="10"/>
        <v>6.5247231748315603E-3</v>
      </c>
      <c r="D122" s="126">
        <f t="shared" si="11"/>
        <v>2.4637014641006965E-2</v>
      </c>
      <c r="E122" s="12">
        <f t="shared" si="12"/>
        <v>8.2083118925782891E-2</v>
      </c>
      <c r="F122" s="12">
        <f t="shared" si="13"/>
        <v>8.1899511811508646E-2</v>
      </c>
      <c r="G122" s="122">
        <f t="shared" si="14"/>
        <v>6.9652019765933132E-2</v>
      </c>
      <c r="H122" s="122">
        <f t="shared" si="15"/>
        <v>3.1079157232796958E-2</v>
      </c>
      <c r="I122" s="122">
        <f t="shared" si="16"/>
        <v>7.368302882780367E-2</v>
      </c>
      <c r="J122" s="122">
        <f t="shared" si="17"/>
        <v>-1.8029710883133834E-2</v>
      </c>
      <c r="K122" s="122">
        <f t="shared" si="18"/>
        <v>4.9108868115930793E-2</v>
      </c>
      <c r="Y122" s="126">
        <f>IF($Z$1, C122, -0.2)</f>
        <v>-0.2</v>
      </c>
    </row>
    <row r="123" spans="2:25" x14ac:dyDescent="0.3">
      <c r="B123" s="12">
        <v>7.2842352585333559E-2</v>
      </c>
      <c r="C123" s="12">
        <f t="shared" si="10"/>
        <v>6.6209842172625984E-3</v>
      </c>
      <c r="D123" s="126">
        <f t="shared" si="11"/>
        <v>2.483312459053464E-2</v>
      </c>
      <c r="E123" s="12">
        <f t="shared" si="12"/>
        <v>8.1789411853666602E-2</v>
      </c>
      <c r="F123" s="12">
        <f t="shared" si="13"/>
        <v>8.1607763409381501E-2</v>
      </c>
      <c r="G123" s="122">
        <f t="shared" si="14"/>
        <v>7.0818025520780981E-2</v>
      </c>
      <c r="H123" s="122">
        <f t="shared" si="15"/>
        <v>3.1371462533140382E-2</v>
      </c>
      <c r="I123" s="122">
        <f t="shared" si="16"/>
        <v>7.4866679649886136E-2</v>
      </c>
      <c r="J123" s="122">
        <f t="shared" si="17"/>
        <v>-1.8129494098615181E-2</v>
      </c>
      <c r="K123" s="122">
        <f t="shared" si="18"/>
        <v>4.9500956631755563E-2</v>
      </c>
      <c r="Y123" s="126">
        <f>IF($Z$1, C123, -0.2)</f>
        <v>-0.2</v>
      </c>
    </row>
    <row r="124" spans="2:25" x14ac:dyDescent="0.3">
      <c r="B124" s="12">
        <v>7.4026368258227948E-2</v>
      </c>
      <c r="C124" s="12">
        <f t="shared" si="10"/>
        <v>6.7176489261349462E-3</v>
      </c>
      <c r="D124" s="126">
        <f t="shared" si="11"/>
        <v>2.5028819636305221E-2</v>
      </c>
      <c r="E124" s="12">
        <f t="shared" si="12"/>
        <v>8.1493407935443005E-2</v>
      </c>
      <c r="F124" s="12">
        <f t="shared" si="13"/>
        <v>8.1313719390670822E-2</v>
      </c>
      <c r="G124" s="122">
        <f t="shared" si="14"/>
        <v>7.1993423848935867E-2</v>
      </c>
      <c r="H124" s="122">
        <f t="shared" si="15"/>
        <v>3.1663769855358112E-2</v>
      </c>
      <c r="I124" s="122">
        <f t="shared" si="16"/>
        <v>7.6059312667520029E-2</v>
      </c>
      <c r="J124" s="122">
        <f t="shared" si="17"/>
        <v>-1.8228472003088216E-2</v>
      </c>
      <c r="K124" s="122">
        <f t="shared" si="18"/>
        <v>4.9892241858446325E-2</v>
      </c>
      <c r="Y124" s="126">
        <f>IF($Z$1, C124, -0.2)</f>
        <v>-0.2</v>
      </c>
    </row>
    <row r="125" spans="2:25" x14ac:dyDescent="0.3">
      <c r="B125" s="12">
        <v>7.5219559582911377E-2</v>
      </c>
      <c r="C125" s="12">
        <f t="shared" si="10"/>
        <v>6.8147081903102416E-3</v>
      </c>
      <c r="D125" s="126">
        <f t="shared" si="11"/>
        <v>2.5224091171621381E-2</v>
      </c>
      <c r="E125" s="12">
        <f t="shared" si="12"/>
        <v>8.1195110104272147E-2</v>
      </c>
      <c r="F125" s="12">
        <f t="shared" si="13"/>
        <v>8.1017382390520712E-2</v>
      </c>
      <c r="G125" s="122">
        <f t="shared" si="14"/>
        <v>7.317820463410965E-2</v>
      </c>
      <c r="H125" s="122">
        <f t="shared" si="15"/>
        <v>3.195606148338638E-2</v>
      </c>
      <c r="I125" s="122">
        <f t="shared" si="16"/>
        <v>7.7260914531713104E-2</v>
      </c>
      <c r="J125" s="122">
        <f t="shared" si="17"/>
        <v>-1.8326645102765896E-2</v>
      </c>
      <c r="K125" s="122">
        <f t="shared" si="18"/>
        <v>5.0282706586152276E-2</v>
      </c>
      <c r="Y125" s="126">
        <f>IF($Z$1, C125, -0.2)</f>
        <v>-0.2</v>
      </c>
    </row>
    <row r="126" spans="2:25" x14ac:dyDescent="0.3">
      <c r="B126" s="12">
        <v>7.6421914735820273E-2</v>
      </c>
      <c r="C126" s="12">
        <f t="shared" si="10"/>
        <v>6.912152842095903E-3</v>
      </c>
      <c r="D126" s="126">
        <f t="shared" si="11"/>
        <v>2.5418930559257417E-2</v>
      </c>
      <c r="E126" s="12">
        <f t="shared" si="12"/>
        <v>8.0894521316044923E-2</v>
      </c>
      <c r="F126" s="12">
        <f t="shared" si="13"/>
        <v>8.071875506703019E-2</v>
      </c>
      <c r="G126" s="122">
        <f t="shared" si="14"/>
        <v>7.4372357653067614E-2</v>
      </c>
      <c r="H126" s="122">
        <f t="shared" si="15"/>
        <v>3.2248319610983595E-2</v>
      </c>
      <c r="I126" s="122">
        <f t="shared" si="16"/>
        <v>7.8471471818572933E-2</v>
      </c>
      <c r="J126" s="122">
        <f t="shared" si="17"/>
        <v>-1.8424013926791792E-2</v>
      </c>
      <c r="K126" s="122">
        <f t="shared" si="18"/>
        <v>5.0672333537775387E-2</v>
      </c>
      <c r="Y126" s="126">
        <f>IF($Z$1, C126, -0.2)</f>
        <v>-0.2</v>
      </c>
    </row>
    <row r="127" spans="2:25" x14ac:dyDescent="0.3">
      <c r="B127" s="12">
        <v>7.7633421802584812E-2</v>
      </c>
      <c r="C127" s="12">
        <f t="shared" si="10"/>
        <v>7.0099736576612233E-3</v>
      </c>
      <c r="D127" s="126">
        <f t="shared" si="11"/>
        <v>2.5613329132247214E-2</v>
      </c>
      <c r="E127" s="12">
        <f t="shared" si="12"/>
        <v>8.0591644549353789E-2</v>
      </c>
      <c r="F127" s="12">
        <f t="shared" si="13"/>
        <v>8.0417840101281529E-2</v>
      </c>
      <c r="G127" s="122">
        <f t="shared" si="14"/>
        <v>7.5575872575426098E-2</v>
      </c>
      <c r="H127" s="122">
        <f t="shared" si="15"/>
        <v>3.2540526342917417E-2</v>
      </c>
      <c r="I127" s="122">
        <f t="shared" si="16"/>
        <v>7.9690971029743526E-2</v>
      </c>
      <c r="J127" s="122">
        <f t="shared" si="17"/>
        <v>-1.8520579027594974E-2</v>
      </c>
      <c r="K127" s="122">
        <f t="shared" si="18"/>
        <v>5.1061105370512394E-2</v>
      </c>
      <c r="Y127" s="126">
        <f>IF($Z$1, C127, -0.2)</f>
        <v>-0.2</v>
      </c>
    </row>
    <row r="128" spans="2:25" x14ac:dyDescent="0.3">
      <c r="B128" s="12">
        <v>7.8854068778147268E-2</v>
      </c>
      <c r="C128" s="12">
        <f t="shared" si="10"/>
        <v>7.1081613574561272E-3</v>
      </c>
      <c r="D128" s="126">
        <f t="shared" si="11"/>
        <v>2.5807278194675338E-2</v>
      </c>
      <c r="E128" s="12">
        <f t="shared" si="12"/>
        <v>8.0286482805463175E-2</v>
      </c>
      <c r="F128" s="12">
        <f t="shared" si="13"/>
        <v>8.0114640197368678E-2</v>
      </c>
      <c r="G128" s="122">
        <f t="shared" si="14"/>
        <v>7.6788738963451952E-2</v>
      </c>
      <c r="H128" s="122">
        <f t="shared" si="15"/>
        <v>3.2832663696158344E-2</v>
      </c>
      <c r="I128" s="122">
        <f t="shared" si="16"/>
        <v>8.0919398592842584E-2</v>
      </c>
      <c r="J128" s="122">
        <f t="shared" si="17"/>
        <v>-1.8616340981246086E-2</v>
      </c>
      <c r="K128" s="122">
        <f t="shared" si="18"/>
        <v>5.1449004677404431E-2</v>
      </c>
      <c r="Y128" s="126">
        <f>IF($Z$1, C128, -0.2)</f>
        <v>-0.2</v>
      </c>
    </row>
    <row r="129" spans="2:25" x14ac:dyDescent="0.3">
      <c r="B129" s="12">
        <v>8.0083843566880586E-2</v>
      </c>
      <c r="C129" s="12">
        <f t="shared" ref="C129:C192" si="19">IF($A$1=0, 0, IF(B129&lt;=$A$2, ($A$1/$A$2^2)*(2*$A$2*B129-B129^2), ($A$1/(1-$A$2)^2)*((1-2*$A$2)+2*$A$2*B129-B129^2)))</f>
        <v>7.2067066066324823E-3</v>
      </c>
      <c r="D129" s="126">
        <f t="shared" ref="D129:D192" si="20">IF(B129&lt;$N$1, ($A$3/0.2)*($O$1*SQRT(B129)+$P$1*B129+$Q$1*(B129^2)+$R$1*(B129^3)), ($A$3/0.2)*($S$1+$T$1*(1-B129)+$U$1*((1-B129)^2)+$V$1*((1-B129)^3)))</f>
        <v>2.6000769022471164E-2</v>
      </c>
      <c r="E129" s="12">
        <f t="shared" si="12"/>
        <v>7.9979039108279845E-2</v>
      </c>
      <c r="F129" s="12">
        <f t="shared" si="13"/>
        <v>7.9809158082425724E-2</v>
      </c>
      <c r="G129" s="122">
        <f t="shared" si="14"/>
        <v>7.801094627186303E-2</v>
      </c>
      <c r="H129" s="122">
        <f t="shared" si="15"/>
        <v>3.3124713601079506E-2</v>
      </c>
      <c r="I129" s="122">
        <f t="shared" si="16"/>
        <v>8.2156740861898142E-2</v>
      </c>
      <c r="J129" s="122">
        <f t="shared" si="17"/>
        <v>-1.8711300387814545E-2</v>
      </c>
      <c r="K129" s="122">
        <f t="shared" si="18"/>
        <v>5.183601398889405E-2</v>
      </c>
      <c r="Y129" s="126">
        <f>IF($Z$1, C129, -0.2)</f>
        <v>-0.2</v>
      </c>
    </row>
    <row r="130" spans="2:25" x14ac:dyDescent="0.3">
      <c r="B130" s="12">
        <v>8.1322733982708617E-2</v>
      </c>
      <c r="C130" s="12">
        <f t="shared" si="19"/>
        <v>7.3056000154680606E-3</v>
      </c>
      <c r="D130" s="126">
        <f t="shared" si="20"/>
        <v>2.6193792864206117E-2</v>
      </c>
      <c r="E130" s="12">
        <f t="shared" ref="E130:E193" si="21">IF($A$1=0, 0, IF(B130&lt;=$A$2, ($A$1/$A$2^2) *(2*$A$2-2*B130), ($A$1/(1-$A$2)^2)*(2*$A$2-2*B130)))</f>
        <v>7.9669316504322837E-2</v>
      </c>
      <c r="F130" s="12">
        <f t="shared" ref="F130:F193" si="22">IF($A$1=0, 0,  ATAN(E130))</f>
        <v>7.9501396506655109E-2</v>
      </c>
      <c r="G130" s="122">
        <f t="shared" ref="G130:G193" si="23">B130-D130*SIN(F130)</f>
        <v>7.9242483847630996E-2</v>
      </c>
      <c r="H130" s="122">
        <f t="shared" ref="H130:H193" si="24">C130+D130*COS(F130)</f>
        <v>3.3416657902662995E-2</v>
      </c>
      <c r="I130" s="122">
        <f t="shared" ref="I130:I193" si="25">B130+D130*SIN(F130)</f>
        <v>8.3402984117786239E-2</v>
      </c>
      <c r="J130" s="122">
        <f t="shared" ref="J130:J193" si="26">C130-D130*COS(F130)</f>
        <v>-1.8805457871726876E-2</v>
      </c>
      <c r="K130" s="122">
        <f t="shared" ref="K130:K193" si="27">2*D130*COS(F130)</f>
        <v>5.2222115774389871E-2</v>
      </c>
      <c r="Y130" s="126">
        <f>IF($Z$1, C130, -0.2)</f>
        <v>-0.2</v>
      </c>
    </row>
    <row r="131" spans="2:25" x14ac:dyDescent="0.3">
      <c r="B131" s="12">
        <v>8.2570727749226691E-2</v>
      </c>
      <c r="C131" s="12">
        <f t="shared" si="19"/>
        <v>7.4048321397930539E-3</v>
      </c>
      <c r="D131" s="126">
        <f t="shared" si="20"/>
        <v>2.6386340941893748E-2</v>
      </c>
      <c r="E131" s="12">
        <f t="shared" si="21"/>
        <v>7.9357318062693319E-2</v>
      </c>
      <c r="F131" s="12">
        <f t="shared" si="22"/>
        <v>7.9191358243355908E-2</v>
      </c>
      <c r="G131" s="122">
        <f t="shared" si="23"/>
        <v>8.0483340929785291E-2</v>
      </c>
      <c r="H131" s="122">
        <f t="shared" si="24"/>
        <v>3.3708478361712181E-2</v>
      </c>
      <c r="I131" s="122">
        <f t="shared" si="25"/>
        <v>8.4658114568668091E-2</v>
      </c>
      <c r="J131" s="122">
        <f t="shared" si="26"/>
        <v>-1.8898814082126077E-2</v>
      </c>
      <c r="K131" s="122">
        <f t="shared" si="27"/>
        <v>5.2607292443838258E-2</v>
      </c>
      <c r="Y131" s="126">
        <f>IF($Z$1, C131, -0.2)</f>
        <v>-0.2</v>
      </c>
    </row>
    <row r="132" spans="2:25" x14ac:dyDescent="0.3">
      <c r="B132" s="12">
        <v>8.3827812499823295E-2</v>
      </c>
      <c r="C132" s="12">
        <f t="shared" si="19"/>
        <v>7.504393481419137E-3</v>
      </c>
      <c r="D132" s="126">
        <f t="shared" si="20"/>
        <v>2.6578404451792766E-2</v>
      </c>
      <c r="E132" s="12">
        <f t="shared" si="21"/>
        <v>7.9043046875044168E-2</v>
      </c>
      <c r="F132" s="12">
        <f t="shared" si="22"/>
        <v>7.8879046088952146E-2</v>
      </c>
      <c r="G132" s="122">
        <f t="shared" si="23"/>
        <v>8.1733506649219273E-2</v>
      </c>
      <c r="H132" s="122">
        <f t="shared" si="24"/>
        <v>3.4000156656070347E-2</v>
      </c>
      <c r="I132" s="122">
        <f t="shared" si="25"/>
        <v>8.5922118350427318E-2</v>
      </c>
      <c r="J132" s="122">
        <f t="shared" si="26"/>
        <v>-1.8991369693232077E-2</v>
      </c>
      <c r="K132" s="122">
        <f t="shared" si="27"/>
        <v>5.2991526349302424E-2</v>
      </c>
      <c r="Y132" s="126">
        <f>IF($Z$1, C132, -0.2)</f>
        <v>-0.2</v>
      </c>
    </row>
    <row r="133" spans="2:25" x14ac:dyDescent="0.3">
      <c r="B133" s="12">
        <v>8.5093975777802311E-2</v>
      </c>
      <c r="C133" s="12">
        <f t="shared" si="19"/>
        <v>7.6042744885710788E-3</v>
      </c>
      <c r="D133" s="126">
        <f t="shared" si="20"/>
        <v>2.676997456521283E-2</v>
      </c>
      <c r="E133" s="12">
        <f t="shared" si="21"/>
        <v>7.8726506055549414E-2</v>
      </c>
      <c r="F133" s="12">
        <f t="shared" si="22"/>
        <v>7.8564462863020906E-2</v>
      </c>
      <c r="G133" s="122">
        <f t="shared" si="23"/>
        <v>8.2992970028497592E-2</v>
      </c>
      <c r="H133" s="122">
        <f t="shared" si="24"/>
        <v>3.4291674381845251E-2</v>
      </c>
      <c r="I133" s="122">
        <f t="shared" si="25"/>
        <v>8.7194981527107029E-2</v>
      </c>
      <c r="J133" s="122">
        <f t="shared" si="26"/>
        <v>-1.9083125404703097E-2</v>
      </c>
      <c r="K133" s="122">
        <f t="shared" si="27"/>
        <v>5.3374799786548348E-2</v>
      </c>
      <c r="Y133" s="126">
        <f>IF($Z$1, C133, -0.2)</f>
        <v>-0.2</v>
      </c>
    </row>
    <row r="134" spans="2:25" x14ac:dyDescent="0.3">
      <c r="B134" s="12">
        <v>8.6369205036507135E-2</v>
      </c>
      <c r="C134" s="12">
        <f t="shared" si="19"/>
        <v>7.7044655563209361E-3</v>
      </c>
      <c r="D134" s="126">
        <f t="shared" si="20"/>
        <v>2.6961042429323127E-2</v>
      </c>
      <c r="E134" s="12">
        <f t="shared" si="21"/>
        <v>7.8407698740873208E-2</v>
      </c>
      <c r="F134" s="12">
        <f t="shared" si="22"/>
        <v>7.8247611408320275E-2</v>
      </c>
      <c r="G134" s="122">
        <f t="shared" si="23"/>
        <v>8.4261719981666691E-2</v>
      </c>
      <c r="H134" s="122">
        <f t="shared" si="24"/>
        <v>3.4583013054639851E-2</v>
      </c>
      <c r="I134" s="122">
        <f t="shared" si="25"/>
        <v>8.8476690091347579E-2</v>
      </c>
      <c r="J134" s="122">
        <f t="shared" si="26"/>
        <v>-1.9174081941997982E-2</v>
      </c>
      <c r="K134" s="122">
        <f t="shared" si="27"/>
        <v>5.3757094996637833E-2</v>
      </c>
      <c r="Y134" s="126">
        <f>IF($Z$1, C134, -0.2)</f>
        <v>-0.2</v>
      </c>
    </row>
    <row r="135" spans="2:25" x14ac:dyDescent="0.3">
      <c r="B135" s="12">
        <v>8.7653487639444361E-2</v>
      </c>
      <c r="C135" s="12">
        <f t="shared" si="19"/>
        <v>7.8049570270246563E-3</v>
      </c>
      <c r="D135" s="126">
        <f t="shared" si="20"/>
        <v>2.7151599167963534E-2</v>
      </c>
      <c r="E135" s="12">
        <f t="shared" si="21"/>
        <v>7.8086628090138901E-2</v>
      </c>
      <c r="F135" s="12">
        <f t="shared" si="22"/>
        <v>7.7928494590817479E-2</v>
      </c>
      <c r="G135" s="122">
        <f t="shared" si="23"/>
        <v>8.5539745314065802E-2</v>
      </c>
      <c r="H135" s="122">
        <f t="shared" si="24"/>
        <v>3.487415411078873E-2</v>
      </c>
      <c r="I135" s="122">
        <f t="shared" si="25"/>
        <v>8.976722996482292E-2</v>
      </c>
      <c r="J135" s="122">
        <f t="shared" si="26"/>
        <v>-1.9264240056739414E-2</v>
      </c>
      <c r="K135" s="122">
        <f t="shared" si="27"/>
        <v>5.4138394167528144E-2</v>
      </c>
      <c r="Y135" s="126">
        <f>IF($Z$1, C135, -0.2)</f>
        <v>-0.2</v>
      </c>
    </row>
    <row r="136" spans="2:25" x14ac:dyDescent="0.3">
      <c r="B136" s="12">
        <v>8.8946810860409342E-2</v>
      </c>
      <c r="C136" s="12">
        <f t="shared" si="19"/>
        <v>7.9057391907612542E-3</v>
      </c>
      <c r="D136" s="126">
        <f t="shared" si="20"/>
        <v>2.7341635882458436E-2</v>
      </c>
      <c r="E136" s="12">
        <f t="shared" si="21"/>
        <v>7.7763297284897656E-2</v>
      </c>
      <c r="F136" s="12">
        <f t="shared" si="22"/>
        <v>7.76071152997167E-2</v>
      </c>
      <c r="G136" s="122">
        <f t="shared" si="23"/>
        <v>8.6827034722140997E-2</v>
      </c>
      <c r="H136" s="122">
        <f t="shared" si="24"/>
        <v>3.5165078908600475E-2</v>
      </c>
      <c r="I136" s="122">
        <f t="shared" si="25"/>
        <v>9.1066586998677687E-2</v>
      </c>
      <c r="J136" s="122">
        <f t="shared" si="26"/>
        <v>-1.9353600527077963E-2</v>
      </c>
      <c r="K136" s="122">
        <f t="shared" si="27"/>
        <v>5.4518679435678438E-2</v>
      </c>
      <c r="Y136" s="126">
        <f>IF($Z$1, C136, -0.2)</f>
        <v>-0.2</v>
      </c>
    </row>
    <row r="137" spans="2:25" x14ac:dyDescent="0.3">
      <c r="B137" s="12">
        <v>9.0249161883612206E-2</v>
      </c>
      <c r="C137" s="12">
        <f t="shared" si="19"/>
        <v>8.0068022857744149E-3</v>
      </c>
      <c r="D137" s="126">
        <f t="shared" si="20"/>
        <v>2.7531143652433036E-2</v>
      </c>
      <c r="E137" s="12">
        <f t="shared" si="21"/>
        <v>7.743770952909694E-2</v>
      </c>
      <c r="F137" s="12">
        <f t="shared" si="22"/>
        <v>7.7283476447486926E-2</v>
      </c>
      <c r="G137" s="122">
        <f t="shared" si="23"/>
        <v>8.8123576793260869E-2</v>
      </c>
      <c r="H137" s="122">
        <f t="shared" si="24"/>
        <v>3.5455768729605777E-2</v>
      </c>
      <c r="I137" s="122">
        <f t="shared" si="25"/>
        <v>9.2374746973963542E-2</v>
      </c>
      <c r="J137" s="122">
        <f t="shared" si="26"/>
        <v>-1.9442164158056944E-2</v>
      </c>
      <c r="K137" s="122">
        <f t="shared" si="27"/>
        <v>5.4897932887662718E-2</v>
      </c>
      <c r="Y137" s="126">
        <f>IF($Z$1, C137, -0.2)</f>
        <v>-0.2</v>
      </c>
    </row>
    <row r="138" spans="2:25" x14ac:dyDescent="0.3">
      <c r="B138" s="12">
        <v>9.1560527803804637E-2</v>
      </c>
      <c r="C138" s="12">
        <f t="shared" si="19"/>
        <v>8.1081364989165523E-3</v>
      </c>
      <c r="D138" s="126">
        <f t="shared" si="20"/>
        <v>2.7720113536632073E-2</v>
      </c>
      <c r="E138" s="12">
        <f t="shared" si="21"/>
        <v>7.7109868049048833E-2</v>
      </c>
      <c r="F138" s="12">
        <f t="shared" si="22"/>
        <v>7.6957580969889694E-2</v>
      </c>
      <c r="G138" s="122">
        <f t="shared" si="23"/>
        <v>8.9429360005534253E-2</v>
      </c>
      <c r="H138" s="122">
        <f t="shared" si="24"/>
        <v>3.574620477981108E-2</v>
      </c>
      <c r="I138" s="122">
        <f t="shared" si="25"/>
        <v>9.369169560207502E-2</v>
      </c>
      <c r="J138" s="122">
        <f t="shared" si="26"/>
        <v>-1.9529931781977972E-2</v>
      </c>
      <c r="K138" s="122">
        <f t="shared" si="27"/>
        <v>5.5276136561789049E-2</v>
      </c>
      <c r="Y138" s="126">
        <f>IF($Z$1, C138, -0.2)</f>
        <v>-0.2</v>
      </c>
    </row>
    <row r="139" spans="2:25" x14ac:dyDescent="0.3">
      <c r="B139" s="12">
        <v>9.2880895626408333E-2</v>
      </c>
      <c r="C139" s="12">
        <f t="shared" si="19"/>
        <v>8.2097319660953631E-3</v>
      </c>
      <c r="D139" s="126">
        <f t="shared" si="20"/>
        <v>2.7908536573740983E-2</v>
      </c>
      <c r="E139" s="12">
        <f t="shared" si="21"/>
        <v>7.6779776093397908E-2</v>
      </c>
      <c r="F139" s="12">
        <f t="shared" si="22"/>
        <v>7.6629431826006525E-2</v>
      </c>
      <c r="G139" s="122">
        <f t="shared" si="23"/>
        <v>9.0744372727630945E-2</v>
      </c>
      <c r="H139" s="122">
        <f t="shared" si="24"/>
        <v>3.6036368190958006E-2</v>
      </c>
      <c r="I139" s="122">
        <f t="shared" si="25"/>
        <v>9.5017418525185721E-2</v>
      </c>
      <c r="J139" s="122">
        <f t="shared" si="26"/>
        <v>-1.9616904258767283E-2</v>
      </c>
      <c r="K139" s="122">
        <f t="shared" si="27"/>
        <v>5.5653272449725288E-2</v>
      </c>
      <c r="Y139" s="126">
        <f>IF($Z$1, C139, -0.2)</f>
        <v>-0.2</v>
      </c>
    </row>
    <row r="140" spans="2:25" x14ac:dyDescent="0.3">
      <c r="B140" s="12">
        <v>9.4210252267643013E-2</v>
      </c>
      <c r="C140" s="12">
        <f t="shared" si="19"/>
        <v>8.3115787727226827E-3</v>
      </c>
      <c r="D140" s="126">
        <f t="shared" si="20"/>
        <v>2.8096403783209312E-2</v>
      </c>
      <c r="E140" s="12">
        <f t="shared" si="21"/>
        <v>7.6447436933089238E-2</v>
      </c>
      <c r="F140" s="12">
        <f t="shared" si="22"/>
        <v>7.6299031998266667E-2</v>
      </c>
      <c r="G140" s="122">
        <f t="shared" si="23"/>
        <v>9.2068603218603232E-2</v>
      </c>
      <c r="H140" s="122">
        <f t="shared" si="24"/>
        <v>3.632624002178806E-2</v>
      </c>
      <c r="I140" s="122">
        <f t="shared" si="25"/>
        <v>9.6351901316682795E-2</v>
      </c>
      <c r="J140" s="122">
        <f t="shared" si="26"/>
        <v>-1.9703082476342698E-2</v>
      </c>
      <c r="K140" s="122">
        <f t="shared" si="27"/>
        <v>5.6029322498130758E-2</v>
      </c>
      <c r="Y140" s="126">
        <f>IF($Z$1, C140, -0.2)</f>
        <v>-0.2</v>
      </c>
    </row>
    <row r="141" spans="2:25" x14ac:dyDescent="0.3">
      <c r="B141" s="12">
        <v>9.5548584554656757E-2</v>
      </c>
      <c r="C141" s="12">
        <f t="shared" si="19"/>
        <v>8.4136669541658767E-3</v>
      </c>
      <c r="D141" s="126">
        <f t="shared" si="20"/>
        <v>2.8283706166076353E-2</v>
      </c>
      <c r="E141" s="12">
        <f t="shared" si="21"/>
        <v>7.6112853861335802E-2</v>
      </c>
      <c r="F141" s="12">
        <f t="shared" si="22"/>
        <v>7.5966384492474226E-2</v>
      </c>
      <c r="G141" s="122">
        <f t="shared" si="23"/>
        <v>9.3402039627711334E-2</v>
      </c>
      <c r="H141" s="122">
        <f t="shared" si="24"/>
        <v>3.6615801259312894E-2</v>
      </c>
      <c r="I141" s="122">
        <f t="shared" si="25"/>
        <v>9.769512948160218E-2</v>
      </c>
      <c r="J141" s="122">
        <f t="shared" si="26"/>
        <v>-1.9788467350981144E-2</v>
      </c>
      <c r="K141" s="122">
        <f t="shared" si="27"/>
        <v>5.6404268610294038E-2</v>
      </c>
      <c r="Y141" s="126">
        <f>IF($Z$1, C141, -0.2)</f>
        <v>-0.2</v>
      </c>
    </row>
    <row r="142" spans="2:25" x14ac:dyDescent="0.3">
      <c r="B142" s="12">
        <v>9.6895879225656123E-2</v>
      </c>
      <c r="C142" s="12">
        <f t="shared" si="19"/>
        <v>8.5159864962014945E-3</v>
      </c>
      <c r="D142" s="126">
        <f t="shared" si="20"/>
        <v>2.8470434705798953E-2</v>
      </c>
      <c r="E142" s="12">
        <f t="shared" si="21"/>
        <v>7.5776030193585961E-2</v>
      </c>
      <c r="F142" s="12">
        <f t="shared" si="22"/>
        <v>7.563149233783556E-2</v>
      </c>
      <c r="G142" s="122">
        <f t="shared" si="23"/>
        <v>9.4744669994250061E-2</v>
      </c>
      <c r="H142" s="122">
        <f t="shared" si="24"/>
        <v>3.6905032820089778E-2</v>
      </c>
      <c r="I142" s="122">
        <f t="shared" si="25"/>
        <v>9.9047088457062185E-2</v>
      </c>
      <c r="J142" s="122">
        <f t="shared" si="26"/>
        <v>-1.9873059827686786E-2</v>
      </c>
      <c r="K142" s="122">
        <f t="shared" si="27"/>
        <v>5.6778092647776564E-2</v>
      </c>
      <c r="Y142" s="126">
        <f>IF($Z$1, C142, -0.2)</f>
        <v>-0.2</v>
      </c>
    </row>
    <row r="143" spans="2:25" x14ac:dyDescent="0.3">
      <c r="B143" s="12">
        <v>9.8252122930037711E-2</v>
      </c>
      <c r="C143" s="12">
        <f t="shared" si="19"/>
        <v>8.6185273354713651E-3</v>
      </c>
      <c r="D143" s="126">
        <f t="shared" si="20"/>
        <v>2.8656580369081416E-2</v>
      </c>
      <c r="E143" s="12">
        <f t="shared" si="21"/>
        <v>7.5436969267490564E-2</v>
      </c>
      <c r="F143" s="12">
        <f t="shared" si="22"/>
        <v>7.5294358586986354E-2</v>
      </c>
      <c r="G143" s="122">
        <f t="shared" si="23"/>
        <v>9.6096482247378365E-2</v>
      </c>
      <c r="H143" s="122">
        <f t="shared" si="24"/>
        <v>3.7193915551502414E-2</v>
      </c>
      <c r="I143" s="122">
        <f t="shared" si="25"/>
        <v>0.10040776361269706</v>
      </c>
      <c r="J143" s="122">
        <f t="shared" si="26"/>
        <v>-1.9956860880559688E-2</v>
      </c>
      <c r="K143" s="122">
        <f t="shared" si="27"/>
        <v>5.7150776432062102E-2</v>
      </c>
      <c r="Y143" s="126">
        <f>IF($Z$1, C143, -0.2)</f>
        <v>-0.2</v>
      </c>
    </row>
    <row r="144" spans="2:25" x14ac:dyDescent="0.3">
      <c r="B144" s="12">
        <v>9.9617302228520166E-2</v>
      </c>
      <c r="C144" s="12">
        <f t="shared" si="19"/>
        <v>8.721279359940973E-3</v>
      </c>
      <c r="D144" s="126">
        <f t="shared" si="20"/>
        <v>2.884213410670728E-2</v>
      </c>
      <c r="E144" s="12">
        <f t="shared" si="21"/>
        <v>7.509567444286995E-2</v>
      </c>
      <c r="F144" s="12">
        <f t="shared" si="22"/>
        <v>7.4954986316018629E-2</v>
      </c>
      <c r="G144" s="122">
        <f t="shared" si="23"/>
        <v>9.7457464205951153E-2</v>
      </c>
      <c r="H144" s="122">
        <f t="shared" si="24"/>
        <v>3.7482430233046739E-2</v>
      </c>
      <c r="I144" s="122">
        <f t="shared" si="25"/>
        <v>0.10177714025108918</v>
      </c>
      <c r="J144" s="122">
        <f t="shared" si="26"/>
        <v>-2.0039871513164796E-2</v>
      </c>
      <c r="K144" s="122">
        <f t="shared" si="27"/>
        <v>5.7522301746211535E-2</v>
      </c>
      <c r="Y144" s="126">
        <f>IF($Z$1, C144, -0.2)</f>
        <v>-0.2</v>
      </c>
    </row>
    <row r="145" spans="2:25" x14ac:dyDescent="0.3">
      <c r="B145" s="12">
        <v>0.10099140359327796</v>
      </c>
      <c r="C145" s="12">
        <f t="shared" si="19"/>
        <v>8.8242324093602501E-3</v>
      </c>
      <c r="D145" s="126">
        <f t="shared" si="20"/>
        <v>2.9027086854373274E-2</v>
      </c>
      <c r="E145" s="12">
        <f t="shared" si="21"/>
        <v>7.4752149101680501E-2</v>
      </c>
      <c r="F145" s="12">
        <f t="shared" si="22"/>
        <v>7.4613378624507468E-2</v>
      </c>
      <c r="G145" s="122">
        <f t="shared" si="23"/>
        <v>9.8827603578354323E-2</v>
      </c>
      <c r="H145" s="122">
        <f t="shared" si="24"/>
        <v>3.7770557577622044E-2</v>
      </c>
      <c r="I145" s="122">
        <f t="shared" si="25"/>
        <v>0.1031552036082016</v>
      </c>
      <c r="J145" s="122">
        <f t="shared" si="26"/>
        <v>-2.0122092758901547E-2</v>
      </c>
      <c r="K145" s="122">
        <f t="shared" si="27"/>
        <v>5.7892650336523591E-2</v>
      </c>
      <c r="Y145" s="126">
        <f>IF($Z$1, C145, -0.2)</f>
        <v>-0.2</v>
      </c>
    </row>
    <row r="146" spans="2:25" x14ac:dyDescent="0.3">
      <c r="B146" s="12">
        <v>0.10237441340807496</v>
      </c>
      <c r="C146" s="12">
        <f t="shared" si="19"/>
        <v>8.9273762757265656E-3</v>
      </c>
      <c r="D146" s="126">
        <f t="shared" si="20"/>
        <v>2.9211429533524923E-2</v>
      </c>
      <c r="E146" s="12">
        <f t="shared" si="21"/>
        <v>7.4406396647981252E-2</v>
      </c>
      <c r="F146" s="12">
        <f t="shared" si="22"/>
        <v>7.4269538635537799E-2</v>
      </c>
      <c r="G146" s="122">
        <f t="shared" si="23"/>
        <v>0.10020688796234151</v>
      </c>
      <c r="H146" s="122">
        <f t="shared" si="24"/>
        <v>3.8058278232826863E-2</v>
      </c>
      <c r="I146" s="122">
        <f t="shared" si="25"/>
        <v>0.10454193885380841</v>
      </c>
      <c r="J146" s="122">
        <f t="shared" si="26"/>
        <v>-2.0203525681373735E-2</v>
      </c>
      <c r="K146" s="122">
        <f t="shared" si="27"/>
        <v>5.8261803914200598E-2</v>
      </c>
      <c r="Y146" s="126">
        <f>IF($Z$1, C146, -0.2)</f>
        <v>-0.2</v>
      </c>
    </row>
    <row r="147" spans="2:25" x14ac:dyDescent="0.3">
      <c r="B147" s="12">
        <v>0.1037663179683993</v>
      </c>
      <c r="C147" s="12">
        <f t="shared" si="19"/>
        <v>9.0307007037500608E-3</v>
      </c>
      <c r="D147" s="126">
        <f t="shared" si="20"/>
        <v>2.9395153052193944E-2</v>
      </c>
      <c r="E147" s="12">
        <f t="shared" si="21"/>
        <v>7.4058420507900166E-2</v>
      </c>
      <c r="F147" s="12">
        <f t="shared" si="22"/>
        <v>7.392346949573092E-2</v>
      </c>
      <c r="G147" s="122">
        <f t="shared" si="23"/>
        <v>0.10159530484487372</v>
      </c>
      <c r="H147" s="122">
        <f t="shared" si="24"/>
        <v>3.8345572782259744E-2</v>
      </c>
      <c r="I147" s="122">
        <f t="shared" si="25"/>
        <v>0.10593733109192488</v>
      </c>
      <c r="J147" s="122">
        <f t="shared" si="26"/>
        <v>-2.0284171374759623E-2</v>
      </c>
      <c r="K147" s="122">
        <f t="shared" si="27"/>
        <v>5.8629744157019367E-2</v>
      </c>
      <c r="Y147" s="126">
        <f>IF($Z$1, C147, -0.2)</f>
        <v>-0.2</v>
      </c>
    </row>
    <row r="148" spans="2:25" x14ac:dyDescent="0.3">
      <c r="B148" s="12">
        <v>0.10516710348159974</v>
      </c>
      <c r="C148" s="12">
        <f t="shared" si="19"/>
        <v>9.1341953913212839E-3</v>
      </c>
      <c r="D148" s="126">
        <f t="shared" si="20"/>
        <v>2.9578248305837551E-2</v>
      </c>
      <c r="E148" s="12">
        <f t="shared" si="21"/>
        <v>7.3708224129600056E-2</v>
      </c>
      <c r="F148" s="12">
        <f t="shared" si="22"/>
        <v>7.357517437527071E-2</v>
      </c>
      <c r="G148" s="122">
        <f t="shared" si="23"/>
        <v>0.10299284160196259</v>
      </c>
      <c r="H148" s="122">
        <f t="shared" si="24"/>
        <v>3.8632421746825081E-2</v>
      </c>
      <c r="I148" s="122">
        <f t="shared" si="25"/>
        <v>0.1073413653612369</v>
      </c>
      <c r="J148" s="122">
        <f t="shared" si="26"/>
        <v>-2.036403096418251E-2</v>
      </c>
      <c r="K148" s="122">
        <f t="shared" si="27"/>
        <v>5.8996452711007591E-2</v>
      </c>
      <c r="Y148" s="126">
        <f>IF($Z$1, C148, -0.2)</f>
        <v>-0.2</v>
      </c>
    </row>
    <row r="149" spans="2:25" x14ac:dyDescent="0.3">
      <c r="B149" s="12">
        <v>0.10657675606702155</v>
      </c>
      <c r="C149" s="12">
        <f t="shared" si="19"/>
        <v>9.2378499899809768E-3</v>
      </c>
      <c r="D149" s="126">
        <f t="shared" si="20"/>
        <v>2.9760706178179074E-2</v>
      </c>
      <c r="E149" s="12">
        <f t="shared" si="21"/>
        <v>7.3355810983244604E-2</v>
      </c>
      <c r="F149" s="12">
        <f t="shared" si="22"/>
        <v>7.3224656467930041E-2</v>
      </c>
      <c r="G149" s="122">
        <f t="shared" si="23"/>
        <v>0.10439948549851473</v>
      </c>
      <c r="H149" s="122">
        <f t="shared" si="24"/>
        <v>3.8918805586043242E-2</v>
      </c>
      <c r="I149" s="122">
        <f t="shared" si="25"/>
        <v>0.10875402663552837</v>
      </c>
      <c r="J149" s="122">
        <f t="shared" si="26"/>
        <v>-2.0443105606081292E-2</v>
      </c>
      <c r="K149" s="122">
        <f t="shared" si="27"/>
        <v>5.9361911192124535E-2</v>
      </c>
      <c r="Y149" s="126">
        <f>IF($Z$1, C149, -0.2)</f>
        <v>-0.2</v>
      </c>
    </row>
    <row r="150" spans="2:25" x14ac:dyDescent="0.3">
      <c r="B150" s="12">
        <v>0.10799526175614471</v>
      </c>
      <c r="C150" s="12">
        <f t="shared" si="19"/>
        <v>9.3416541053921928E-3</v>
      </c>
      <c r="D150" s="126">
        <f t="shared" si="20"/>
        <v>2.9942517542050462E-2</v>
      </c>
      <c r="E150" s="12">
        <f t="shared" si="21"/>
        <v>7.3001184560963814E-2</v>
      </c>
      <c r="F150" s="12">
        <f t="shared" si="22"/>
        <v>7.2871918991096588E-2</v>
      </c>
      <c r="G150" s="122">
        <f t="shared" si="23"/>
        <v>0.10581522368818064</v>
      </c>
      <c r="H150" s="122">
        <f t="shared" si="24"/>
        <v>3.9204704699365794E-2</v>
      </c>
      <c r="I150" s="122">
        <f t="shared" si="25"/>
        <v>0.11017529982410879</v>
      </c>
      <c r="J150" s="122">
        <f t="shared" si="26"/>
        <v>-2.0521396488581409E-2</v>
      </c>
      <c r="K150" s="122">
        <f t="shared" si="27"/>
        <v>5.9726101187947203E-2</v>
      </c>
      <c r="Y150" s="126">
        <f>IF($Z$1, C150, -0.2)</f>
        <v>-0.2</v>
      </c>
    </row>
    <row r="151" spans="2:25" x14ac:dyDescent="0.3">
      <c r="B151" s="12">
        <v>0.10942260649272206</v>
      </c>
      <c r="C151" s="12">
        <f t="shared" si="19"/>
        <v>9.4455972978145682E-3</v>
      </c>
      <c r="D151" s="126">
        <f t="shared" si="20"/>
        <v>3.0123673260236052E-2</v>
      </c>
      <c r="E151" s="12">
        <f t="shared" si="21"/>
        <v>7.2644348376819476E-2</v>
      </c>
      <c r="F151" s="12">
        <f t="shared" si="22"/>
        <v>7.2516965185798768E-2</v>
      </c>
      <c r="G151" s="122">
        <f t="shared" si="23"/>
        <v>0.10724004321320547</v>
      </c>
      <c r="H151" s="122">
        <f t="shared" si="24"/>
        <v>3.9490099427494901E-2</v>
      </c>
      <c r="I151" s="122">
        <f t="shared" si="25"/>
        <v>0.11160516977223865</v>
      </c>
      <c r="J151" s="122">
        <f t="shared" si="26"/>
        <v>-2.0598904831865768E-2</v>
      </c>
      <c r="K151" s="122">
        <f t="shared" si="27"/>
        <v>6.0089004259360673E-2</v>
      </c>
      <c r="Y151" s="126">
        <f>IF($Z$1, C151, -0.2)</f>
        <v>-0.2</v>
      </c>
    </row>
    <row r="152" spans="2:25" x14ac:dyDescent="0.3">
      <c r="B152" s="12">
        <v>0.11085877613291861</v>
      </c>
      <c r="C152" s="12">
        <f t="shared" si="19"/>
        <v>9.5496690825807896E-3</v>
      </c>
      <c r="D152" s="126">
        <f t="shared" si="20"/>
        <v>3.0304164186317813E-2</v>
      </c>
      <c r="E152" s="12">
        <f t="shared" si="21"/>
        <v>7.2285305966770338E-2</v>
      </c>
      <c r="F152" s="12">
        <f t="shared" si="22"/>
        <v>7.2159798316731263E-2</v>
      </c>
      <c r="G152" s="122">
        <f t="shared" si="23"/>
        <v>0.10867393100428301</v>
      </c>
      <c r="H152" s="122">
        <f t="shared" si="24"/>
        <v>3.9774970053707351E-2</v>
      </c>
      <c r="I152" s="122">
        <f t="shared" si="25"/>
        <v>0.11304362126155422</v>
      </c>
      <c r="J152" s="122">
        <f t="shared" si="26"/>
        <v>-2.0675631888545775E-2</v>
      </c>
      <c r="K152" s="122">
        <f t="shared" si="27"/>
        <v>6.0450601942253129E-2</v>
      </c>
      <c r="Y152" s="126">
        <f>IF($Z$1, C152, -0.2)</f>
        <v>-0.2</v>
      </c>
    </row>
    <row r="153" spans="2:25" x14ac:dyDescent="0.3">
      <c r="B153" s="12">
        <v>0.11230375644545154</v>
      </c>
      <c r="C153" s="12">
        <f t="shared" si="19"/>
        <v>9.6538589305752397E-3</v>
      </c>
      <c r="D153" s="126">
        <f t="shared" si="20"/>
        <v>3.0483981165521937E-2</v>
      </c>
      <c r="E153" s="12">
        <f t="shared" si="21"/>
        <v>7.1924060888637106E-2</v>
      </c>
      <c r="F153" s="12">
        <f t="shared" si="22"/>
        <v>7.1800421672280609E-2</v>
      </c>
      <c r="G153" s="122">
        <f t="shared" si="23"/>
        <v>0.11011687388041259</v>
      </c>
      <c r="H153" s="122">
        <f t="shared" si="24"/>
        <v>4.0059296805182887E-2</v>
      </c>
      <c r="I153" s="122">
        <f t="shared" si="25"/>
        <v>0.11449063901049049</v>
      </c>
      <c r="J153" s="122">
        <f t="shared" si="26"/>
        <v>-2.0751578944032404E-2</v>
      </c>
      <c r="K153" s="122">
        <f t="shared" si="27"/>
        <v>6.0810875749215287E-2</v>
      </c>
      <c r="Y153" s="126">
        <f>IF($Z$1, C153, -0.2)</f>
        <v>-0.2</v>
      </c>
    </row>
    <row r="154" spans="2:25" x14ac:dyDescent="0.3">
      <c r="B154" s="12">
        <v>0.11375753311173153</v>
      </c>
      <c r="C154" s="12">
        <f t="shared" si="19"/>
        <v>9.7581562687148148E-3</v>
      </c>
      <c r="D154" s="126">
        <f t="shared" si="20"/>
        <v>3.0663115035566728E-2</v>
      </c>
      <c r="E154" s="12">
        <f t="shared" si="21"/>
        <v>7.1560616722067108E-2</v>
      </c>
      <c r="F154" s="12">
        <f t="shared" si="22"/>
        <v>7.1438838564550272E-2</v>
      </c>
      <c r="G154" s="122">
        <f t="shared" si="23"/>
        <v>0.11156885854875946</v>
      </c>
      <c r="H154" s="122">
        <f t="shared" si="24"/>
        <v>4.034305985433688E-2</v>
      </c>
      <c r="I154" s="122">
        <f t="shared" si="25"/>
        <v>0.11594620767470361</v>
      </c>
      <c r="J154" s="122">
        <f t="shared" si="26"/>
        <v>-2.0826747316907247E-2</v>
      </c>
      <c r="K154" s="122">
        <f t="shared" si="27"/>
        <v>6.1169807171244123E-2</v>
      </c>
      <c r="Y154" s="126">
        <f>IF($Z$1, C154, -0.2)</f>
        <v>-0.2</v>
      </c>
    </row>
    <row r="155" spans="2:25" x14ac:dyDescent="0.3">
      <c r="B155" s="12">
        <v>0.11522009172600445</v>
      </c>
      <c r="C155" s="12">
        <f t="shared" si="19"/>
        <v>9.8625504804318344E-3</v>
      </c>
      <c r="D155" s="126">
        <f t="shared" si="20"/>
        <v>3.0841556627511556E-2</v>
      </c>
      <c r="E155" s="12">
        <f t="shared" si="21"/>
        <v>7.119497706849888E-2</v>
      </c>
      <c r="F155" s="12">
        <f t="shared" si="22"/>
        <v>7.1075052329385727E-2</v>
      </c>
      <c r="G155" s="122">
        <f t="shared" si="23"/>
        <v>0.11302987160451777</v>
      </c>
      <c r="H155" s="122">
        <f t="shared" si="24"/>
        <v>4.0626239320157104E-2</v>
      </c>
      <c r="I155" s="122">
        <f t="shared" si="25"/>
        <v>0.11741031184749112</v>
      </c>
      <c r="J155" s="122">
        <f t="shared" si="26"/>
        <v>-2.0901138359293431E-2</v>
      </c>
      <c r="K155" s="122">
        <f t="shared" si="27"/>
        <v>6.1527377679450532E-2</v>
      </c>
      <c r="Y155" s="126">
        <f>IF($Z$1, C155, -0.2)</f>
        <v>-0.2</v>
      </c>
    </row>
    <row r="156" spans="2:25" x14ac:dyDescent="0.3">
      <c r="B156" s="12">
        <v>0.11669141779549419</v>
      </c>
      <c r="C156" s="12">
        <f t="shared" si="19"/>
        <v>9.9670309061590957E-3</v>
      </c>
      <c r="D156" s="126">
        <f t="shared" si="20"/>
        <v>3.1019296766607054E-2</v>
      </c>
      <c r="E156" s="12">
        <f t="shared" si="21"/>
        <v>7.0827145551126444E-2</v>
      </c>
      <c r="F156" s="12">
        <f t="shared" si="22"/>
        <v>7.0709066326399214E-2</v>
      </c>
      <c r="G156" s="122">
        <f t="shared" si="23"/>
        <v>0.11449989953077712</v>
      </c>
      <c r="H156" s="122">
        <f t="shared" si="24"/>
        <v>4.0908815269544645E-2</v>
      </c>
      <c r="I156" s="122">
        <f t="shared" si="25"/>
        <v>0.11888293606021126</v>
      </c>
      <c r="J156" s="122">
        <f t="shared" si="26"/>
        <v>-2.097475345722645E-2</v>
      </c>
      <c r="K156" s="122">
        <f t="shared" si="27"/>
        <v>6.1883568726771095E-2</v>
      </c>
      <c r="Y156" s="126">
        <f>IF($Z$1, C156, -0.2)</f>
        <v>-0.2</v>
      </c>
    </row>
    <row r="157" spans="2:25" x14ac:dyDescent="0.3">
      <c r="B157" s="12">
        <v>0.11817149674054617</v>
      </c>
      <c r="C157" s="12">
        <f t="shared" si="19"/>
        <v>1.0071586843817001E-2</v>
      </c>
      <c r="D157" s="126">
        <f t="shared" si="20"/>
        <v>3.1196326273146238E-2</v>
      </c>
      <c r="E157" s="12">
        <f t="shared" si="21"/>
        <v>7.045712581486345E-2</v>
      </c>
      <c r="F157" s="12">
        <f t="shared" si="22"/>
        <v>7.0340883938994375E-2</v>
      </c>
      <c r="G157" s="122">
        <f t="shared" si="23"/>
        <v>0.11597892869839195</v>
      </c>
      <c r="H157" s="122">
        <f t="shared" si="24"/>
        <v>4.1190767718658781E-2</v>
      </c>
      <c r="I157" s="122">
        <f t="shared" si="25"/>
        <v>0.12036406478270038</v>
      </c>
      <c r="J157" s="122">
        <f t="shared" si="26"/>
        <v>-2.1047594031024776E-2</v>
      </c>
      <c r="K157" s="122">
        <f t="shared" si="27"/>
        <v>6.2238361749683557E-2</v>
      </c>
      <c r="Y157" s="126">
        <f>IF($Z$1, C157, -0.2)</f>
        <v>-0.2</v>
      </c>
    </row>
    <row r="158" spans="2:25" x14ac:dyDescent="0.3">
      <c r="B158" s="12">
        <v>0.11966031389477194</v>
      </c>
      <c r="C158" s="12">
        <f t="shared" si="19"/>
        <v>1.0176207549302775E-2</v>
      </c>
      <c r="D158" s="126">
        <f t="shared" si="20"/>
        <v>3.1372635963316672E-2</v>
      </c>
      <c r="E158" s="12">
        <f t="shared" si="21"/>
        <v>7.0084921526307006E-2</v>
      </c>
      <c r="F158" s="12">
        <f t="shared" si="22"/>
        <v>6.9970508574390508E-2</v>
      </c>
      <c r="G158" s="122">
        <f t="shared" si="23"/>
        <v>0.11746694536585472</v>
      </c>
      <c r="H158" s="122">
        <f t="shared" si="24"/>
        <v>4.1472076634265831E-2</v>
      </c>
      <c r="I158" s="122">
        <f t="shared" si="25"/>
        <v>0.12185368242368916</v>
      </c>
      <c r="J158" s="122">
        <f t="shared" si="26"/>
        <v>-2.1119661535660278E-2</v>
      </c>
      <c r="K158" s="122">
        <f t="shared" si="27"/>
        <v>6.2591738169926109E-2</v>
      </c>
      <c r="Y158" s="126">
        <f>IF($Z$1, C158, -0.2)</f>
        <v>-0.2</v>
      </c>
    </row>
    <row r="159" spans="2:25" x14ac:dyDescent="0.3">
      <c r="B159" s="12">
        <v>0.12115785450519423</v>
      </c>
      <c r="C159" s="12">
        <f t="shared" si="19"/>
        <v>1.0280882236981696E-2</v>
      </c>
      <c r="D159" s="126">
        <f t="shared" si="20"/>
        <v>3.1548216650053425E-2</v>
      </c>
      <c r="E159" s="12">
        <f t="shared" si="21"/>
        <v>6.9710536373701434E-2</v>
      </c>
      <c r="F159" s="12">
        <f t="shared" si="22"/>
        <v>6.9597943663646786E-2</v>
      </c>
      <c r="G159" s="122">
        <f t="shared" si="23"/>
        <v>0.11896393567917184</v>
      </c>
      <c r="H159" s="122">
        <f t="shared" si="24"/>
        <v>4.1752721935091698E-2</v>
      </c>
      <c r="I159" s="122">
        <f t="shared" si="25"/>
        <v>0.12335177333121662</v>
      </c>
      <c r="J159" s="122">
        <f t="shared" si="26"/>
        <v>-2.1190957461128306E-2</v>
      </c>
      <c r="K159" s="122">
        <f t="shared" si="27"/>
        <v>6.2943679396220004E-2</v>
      </c>
      <c r="Y159" s="126">
        <f>IF($Z$1, C159, -0.2)</f>
        <v>-0.2</v>
      </c>
    </row>
    <row r="160" spans="2:25" x14ac:dyDescent="0.3">
      <c r="B160" s="12">
        <v>0.12266410373239378</v>
      </c>
      <c r="C160" s="12">
        <f t="shared" si="19"/>
        <v>1.0385600080180444E-2</v>
      </c>
      <c r="D160" s="126">
        <f t="shared" si="20"/>
        <v>3.1723059143892986E-2</v>
      </c>
      <c r="E160" s="12">
        <f t="shared" si="21"/>
        <v>6.9333974066901546E-2</v>
      </c>
      <c r="F160" s="12">
        <f t="shared" si="22"/>
        <v>6.9223192661685903E-2</v>
      </c>
      <c r="G160" s="122">
        <f t="shared" si="23"/>
        <v>0.12046988567174391</v>
      </c>
      <c r="H160" s="122">
        <f t="shared" si="24"/>
        <v>4.2032683493178402E-2</v>
      </c>
      <c r="I160" s="122">
        <f t="shared" si="25"/>
        <v>0.12485832179304365</v>
      </c>
      <c r="J160" s="122">
        <f t="shared" si="26"/>
        <v>-2.1261483332817511E-2</v>
      </c>
      <c r="K160" s="122">
        <f t="shared" si="27"/>
        <v>6.3294166825995909E-2</v>
      </c>
      <c r="Y160" s="126">
        <f>IF($Z$1, C160, -0.2)</f>
        <v>-0.2</v>
      </c>
    </row>
    <row r="161" spans="2:25" x14ac:dyDescent="0.3">
      <c r="B161" s="12">
        <v>0.12417904665065549</v>
      </c>
      <c r="C161" s="12">
        <f t="shared" si="19"/>
        <v>1.0490350211682339E-2</v>
      </c>
      <c r="D161" s="126">
        <f t="shared" si="20"/>
        <v>3.189715425382765E-2</v>
      </c>
      <c r="E161" s="12">
        <f t="shared" si="21"/>
        <v>6.8955238337336119E-2</v>
      </c>
      <c r="F161" s="12">
        <f t="shared" si="22"/>
        <v>6.8846259047317906E-2</v>
      </c>
      <c r="G161" s="122">
        <f t="shared" si="23"/>
        <v>0.1219847812642481</v>
      </c>
      <c r="H161" s="122">
        <f t="shared" si="24"/>
        <v>4.2311941135243808E-2</v>
      </c>
      <c r="I161" s="122">
        <f t="shared" si="25"/>
        <v>0.12637331203706287</v>
      </c>
      <c r="J161" s="122">
        <f t="shared" si="26"/>
        <v>-2.1331240711879126E-2</v>
      </c>
      <c r="K161" s="122">
        <f t="shared" si="27"/>
        <v>6.3643181847122934E-2</v>
      </c>
      <c r="Y161" s="126">
        <f>IF($Z$1, C161, -0.2)</f>
        <v>-0.2</v>
      </c>
    </row>
    <row r="162" spans="2:25" x14ac:dyDescent="0.3">
      <c r="B162" s="12">
        <v>0.12570266824811704</v>
      </c>
      <c r="C162" s="12">
        <f t="shared" si="19"/>
        <v>1.0595121724224681E-2</v>
      </c>
      <c r="D162" s="126">
        <f t="shared" si="20"/>
        <v>3.2070492788160883E-2</v>
      </c>
      <c r="E162" s="12">
        <f t="shared" si="21"/>
        <v>6.8574332937970731E-2</v>
      </c>
      <c r="F162" s="12">
        <f t="shared" si="22"/>
        <v>6.8467146323263367E-2</v>
      </c>
      <c r="G162" s="122">
        <f t="shared" si="23"/>
        <v>0.12350860826452538</v>
      </c>
      <c r="H162" s="122">
        <f t="shared" si="24"/>
        <v>4.259047464404541E-2</v>
      </c>
      <c r="I162" s="122">
        <f t="shared" si="25"/>
        <v>0.1278967282317087</v>
      </c>
      <c r="J162" s="122">
        <f t="shared" si="26"/>
        <v>-2.1400231195596052E-2</v>
      </c>
      <c r="K162" s="122">
        <f t="shared" si="27"/>
        <v>6.3990705839641462E-2</v>
      </c>
      <c r="Y162" s="126">
        <f>IF($Z$1, C162, -0.2)</f>
        <v>-0.2</v>
      </c>
    </row>
    <row r="163" spans="2:25" x14ac:dyDescent="0.3">
      <c r="B163" s="12">
        <v>0.1272349534269176</v>
      </c>
      <c r="C163" s="12">
        <f t="shared" si="19"/>
        <v>1.0699903670998023E-2</v>
      </c>
      <c r="D163" s="126">
        <f t="shared" si="20"/>
        <v>3.2243065555363021E-2</v>
      </c>
      <c r="E163" s="12">
        <f t="shared" si="21"/>
        <v>6.8191261643270593E-2</v>
      </c>
      <c r="F163" s="12">
        <f t="shared" si="22"/>
        <v>6.8085858016176434E-2</v>
      </c>
      <c r="G163" s="122">
        <f t="shared" si="23"/>
        <v>0.12504135236747077</v>
      </c>
      <c r="H163" s="122">
        <f t="shared" si="24"/>
        <v>4.2868263759747206E-2</v>
      </c>
      <c r="I163" s="122">
        <f t="shared" si="25"/>
        <v>0.12942855448636442</v>
      </c>
      <c r="J163" s="122">
        <f t="shared" si="26"/>
        <v>-2.1468456417751157E-2</v>
      </c>
      <c r="K163" s="122">
        <f t="shared" si="27"/>
        <v>6.4336720177498363E-2</v>
      </c>
      <c r="Y163" s="126">
        <f>IF($Z$1, C163, -0.2)</f>
        <v>-0.2</v>
      </c>
    </row>
    <row r="164" spans="2:25" x14ac:dyDescent="0.3">
      <c r="B164" s="12">
        <v>0.12877588700334663</v>
      </c>
      <c r="C164" s="12">
        <f t="shared" si="19"/>
        <v>1.0804685066147325E-2</v>
      </c>
      <c r="D164" s="126">
        <f t="shared" si="20"/>
        <v>3.2414863364927514E-2</v>
      </c>
      <c r="E164" s="12">
        <f t="shared" si="21"/>
        <v>6.7806028249163333E-2</v>
      </c>
      <c r="F164" s="12">
        <f t="shared" si="22"/>
        <v>6.7702397676667858E-2</v>
      </c>
      <c r="G164" s="122">
        <f t="shared" si="23"/>
        <v>0.1265829991549263</v>
      </c>
      <c r="H164" s="122">
        <f t="shared" si="24"/>
        <v>4.3145288181289911E-2</v>
      </c>
      <c r="I164" s="122">
        <f t="shared" si="25"/>
        <v>0.13096877485176697</v>
      </c>
      <c r="J164" s="122">
        <f t="shared" si="26"/>
        <v>-2.153591804899526E-2</v>
      </c>
      <c r="K164" s="122">
        <f t="shared" si="27"/>
        <v>6.4681206230285171E-2</v>
      </c>
      <c r="Y164" s="126">
        <f>IF($Z$1, C164, -0.2)</f>
        <v>-0.2</v>
      </c>
    </row>
    <row r="165" spans="2:25" x14ac:dyDescent="0.3">
      <c r="B165" s="12">
        <v>0.13032545370799575</v>
      </c>
      <c r="C165" s="12">
        <f t="shared" si="19"/>
        <v>1.0909454885275206E-2</v>
      </c>
      <c r="D165" s="126">
        <f t="shared" si="20"/>
        <v>3.2585877028227704E-2</v>
      </c>
      <c r="E165" s="12">
        <f t="shared" si="21"/>
        <v>6.7418636573001053E-2</v>
      </c>
      <c r="F165" s="12">
        <f t="shared" si="22"/>
        <v>6.7316768879327152E-2</v>
      </c>
      <c r="G165" s="122">
        <f t="shared" si="23"/>
        <v>0.12813353409557998</v>
      </c>
      <c r="H165" s="122">
        <f t="shared" si="24"/>
        <v>4.3421527567764781E-2</v>
      </c>
      <c r="I165" s="122">
        <f t="shared" si="25"/>
        <v>0.13251737332041152</v>
      </c>
      <c r="J165" s="122">
        <f t="shared" si="26"/>
        <v>-2.1602617797214368E-2</v>
      </c>
      <c r="K165" s="122">
        <f t="shared" si="27"/>
        <v>6.502414536497915E-2</v>
      </c>
      <c r="Y165" s="126">
        <f>IF($Z$1, C165, -0.2)</f>
        <v>-0.2</v>
      </c>
    </row>
    <row r="166" spans="2:25" x14ac:dyDescent="0.3">
      <c r="B166" s="12">
        <v>0.13188363818590843</v>
      </c>
      <c r="C166" s="12">
        <f t="shared" si="19"/>
        <v>1.1014202065946891E-2</v>
      </c>
      <c r="D166" s="126">
        <f t="shared" si="20"/>
        <v>3.2756097359373834E-2</v>
      </c>
      <c r="E166" s="12">
        <f t="shared" si="21"/>
        <v>6.7029090453522885E-2</v>
      </c>
      <c r="F166" s="12">
        <f t="shared" si="22"/>
        <v>6.6928975222745157E-2</v>
      </c>
      <c r="G166" s="122">
        <f t="shared" si="23"/>
        <v>0.12969294254486546</v>
      </c>
      <c r="H166" s="122">
        <f t="shared" si="24"/>
        <v>4.3696961539790177E-2</v>
      </c>
      <c r="I166" s="122">
        <f t="shared" si="25"/>
        <v>0.13407433382695139</v>
      </c>
      <c r="J166" s="122">
        <f t="shared" si="26"/>
        <v>-2.1668557407896392E-2</v>
      </c>
      <c r="K166" s="122">
        <f t="shared" si="27"/>
        <v>6.5365518947686566E-2</v>
      </c>
      <c r="Y166" s="126">
        <f>IF($Z$1, C166, -0.2)</f>
        <v>-0.2</v>
      </c>
    </row>
    <row r="167" spans="2:25" x14ac:dyDescent="0.3">
      <c r="B167" s="12">
        <v>0.13345042499673354</v>
      </c>
      <c r="C167" s="12">
        <f t="shared" si="19"/>
        <v>1.1118915508197252E-2</v>
      </c>
      <c r="D167" s="126">
        <f t="shared" si="20"/>
        <v>3.2925515176070431E-2</v>
      </c>
      <c r="E167" s="12">
        <f t="shared" si="21"/>
        <v>6.6637393750816606E-2</v>
      </c>
      <c r="F167" s="12">
        <f t="shared" si="22"/>
        <v>6.6539020329535736E-2</v>
      </c>
      <c r="G167" s="122">
        <f t="shared" si="23"/>
        <v>0.1312612097448683</v>
      </c>
      <c r="H167" s="122">
        <f t="shared" si="24"/>
        <v>4.3971569680891498E-2</v>
      </c>
      <c r="I167" s="122">
        <f t="shared" si="25"/>
        <v>0.13563964024859879</v>
      </c>
      <c r="J167" s="122">
        <f t="shared" si="26"/>
        <v>-2.1733738664496998E-2</v>
      </c>
      <c r="K167" s="122">
        <f t="shared" si="27"/>
        <v>6.57053083453885E-2</v>
      </c>
      <c r="Y167" s="126">
        <f>IF($Z$1, C167, -0.2)</f>
        <v>-0.2</v>
      </c>
    </row>
    <row r="168" spans="2:25" x14ac:dyDescent="0.3">
      <c r="B168" s="12">
        <v>0.13502579861487751</v>
      </c>
      <c r="C168" s="12">
        <f t="shared" si="19"/>
        <v>1.1223584075039568E-2</v>
      </c>
      <c r="D168" s="126">
        <f t="shared" si="20"/>
        <v>3.3094121300473761E-2</v>
      </c>
      <c r="E168" s="12">
        <f t="shared" si="21"/>
        <v>6.6243550346280614E-2</v>
      </c>
      <c r="F168" s="12">
        <f t="shared" si="22"/>
        <v>6.6146907846357489E-2</v>
      </c>
      <c r="G168" s="122">
        <f t="shared" si="23"/>
        <v>0.13283832082423416</v>
      </c>
      <c r="H168" s="122">
        <f t="shared" si="24"/>
        <v>4.4245331538883957E-2</v>
      </c>
      <c r="I168" s="122">
        <f t="shared" si="25"/>
        <v>0.13721327640552086</v>
      </c>
      <c r="J168" s="122">
        <f t="shared" si="26"/>
        <v>-2.1798163388804824E-2</v>
      </c>
      <c r="K168" s="122">
        <f t="shared" si="27"/>
        <v>6.6043494927688781E-2</v>
      </c>
      <c r="Y168" s="126">
        <f>IF($Z$1, C168, -0.2)</f>
        <v>-0.2</v>
      </c>
    </row>
    <row r="169" spans="2:25" x14ac:dyDescent="0.3">
      <c r="B169" s="12">
        <v>0.13660974342965859</v>
      </c>
      <c r="C169" s="12">
        <f t="shared" si="19"/>
        <v>1.1328196592976214E-2</v>
      </c>
      <c r="D169" s="126">
        <f t="shared" si="20"/>
        <v>3.3261906560049563E-2</v>
      </c>
      <c r="E169" s="12">
        <f t="shared" si="21"/>
        <v>6.5847564142585344E-2</v>
      </c>
      <c r="F169" s="12">
        <f t="shared" si="22"/>
        <v>6.575264144393507E-2</v>
      </c>
      <c r="G169" s="122">
        <f t="shared" si="23"/>
        <v>0.13442426079808187</v>
      </c>
      <c r="H169" s="122">
        <f t="shared" si="24"/>
        <v>4.4518226627258267E-2</v>
      </c>
      <c r="I169" s="122">
        <f t="shared" si="25"/>
        <v>0.13879522606123532</v>
      </c>
      <c r="J169" s="122">
        <f t="shared" si="26"/>
        <v>-2.1861833441305836E-2</v>
      </c>
      <c r="K169" s="122">
        <f t="shared" si="27"/>
        <v>6.6380060068564103E-2</v>
      </c>
      <c r="Y169" s="126">
        <f>IF($Z$1, C169, -0.2)</f>
        <v>-0.2</v>
      </c>
    </row>
    <row r="170" spans="2:25" x14ac:dyDescent="0.3">
      <c r="B170" s="12">
        <v>0.13820224374546131</v>
      </c>
      <c r="C170" s="12">
        <f t="shared" si="19"/>
        <v>1.1432741852511141E-2</v>
      </c>
      <c r="D170" s="126">
        <f t="shared" si="20"/>
        <v>3.3428861788430686E-2</v>
      </c>
      <c r="E170" s="12">
        <f t="shared" si="21"/>
        <v>6.5449439063634665E-2</v>
      </c>
      <c r="F170" s="12">
        <f t="shared" si="22"/>
        <v>6.5356224817080158E-2</v>
      </c>
      <c r="G170" s="122">
        <f t="shared" si="23"/>
        <v>0.13601901456791984</v>
      </c>
      <c r="H170" s="122">
        <f t="shared" si="24"/>
        <v>4.4790234426569119E-2</v>
      </c>
      <c r="I170" s="122">
        <f t="shared" si="25"/>
        <v>0.14038547292300277</v>
      </c>
      <c r="J170" s="122">
        <f t="shared" si="26"/>
        <v>-2.1924750721546836E-2</v>
      </c>
      <c r="K170" s="122">
        <f t="shared" si="27"/>
        <v>6.6714985148115954E-2</v>
      </c>
      <c r="Y170" s="126">
        <f>IF($Z$1, C170, -0.2)</f>
        <v>-0.2</v>
      </c>
    </row>
    <row r="171" spans="2:25" x14ac:dyDescent="0.3">
      <c r="B171" s="12">
        <v>0.13980328378189188</v>
      </c>
      <c r="C171" s="12">
        <f t="shared" si="19"/>
        <v>1.1537208608664163E-2</v>
      </c>
      <c r="D171" s="126">
        <f t="shared" si="20"/>
        <v>3.3594977826274776E-2</v>
      </c>
      <c r="E171" s="12">
        <f t="shared" si="21"/>
        <v>6.504917905452702E-2</v>
      </c>
      <c r="F171" s="12">
        <f t="shared" si="22"/>
        <v>6.4957661684712259E-2</v>
      </c>
      <c r="G171" s="122">
        <f t="shared" si="23"/>
        <v>0.13762256692156677</v>
      </c>
      <c r="H171" s="122">
        <f t="shared" si="24"/>
        <v>4.506133438582631E-2</v>
      </c>
      <c r="I171" s="122">
        <f t="shared" si="25"/>
        <v>0.141984000642217</v>
      </c>
      <c r="J171" s="122">
        <f t="shared" si="26"/>
        <v>-2.1986917168497988E-2</v>
      </c>
      <c r="K171" s="122">
        <f t="shared" si="27"/>
        <v>6.7048251554324298E-2</v>
      </c>
      <c r="Y171" s="126">
        <f>IF($Z$1, C171, -0.2)</f>
        <v>-0.2</v>
      </c>
    </row>
    <row r="172" spans="2:25" x14ac:dyDescent="0.3">
      <c r="B172" s="12">
        <v>0.14141284767393503</v>
      </c>
      <c r="C172" s="12">
        <f t="shared" si="19"/>
        <v>1.1641585581487058E-2</v>
      </c>
      <c r="D172" s="126">
        <f t="shared" si="20"/>
        <v>3.3760245522121826E-2</v>
      </c>
      <c r="E172" s="12">
        <f t="shared" si="21"/>
        <v>6.4646788081516235E-2</v>
      </c>
      <c r="F172" s="12">
        <f t="shared" si="22"/>
        <v>6.4556955789878842E-2</v>
      </c>
      <c r="G172" s="122">
        <f t="shared" si="23"/>
        <v>0.13923490253307663</v>
      </c>
      <c r="H172" s="122">
        <f t="shared" si="24"/>
        <v>4.533150592388855E-2</v>
      </c>
      <c r="I172" s="122">
        <f t="shared" si="25"/>
        <v>0.14359079281479342</v>
      </c>
      <c r="J172" s="122">
        <f t="shared" si="26"/>
        <v>-2.2048334760914438E-2</v>
      </c>
      <c r="K172" s="122">
        <f t="shared" si="27"/>
        <v>6.7379840684802988E-2</v>
      </c>
      <c r="Y172" s="126">
        <f>IF($Z$1, C172, -0.2)</f>
        <v>-0.2</v>
      </c>
    </row>
    <row r="173" spans="2:25" x14ac:dyDescent="0.3">
      <c r="B173" s="12">
        <v>0.143030919472111</v>
      </c>
      <c r="C173" s="12">
        <f t="shared" si="19"/>
        <v>1.1745861456581408E-2</v>
      </c>
      <c r="D173" s="126">
        <f t="shared" si="20"/>
        <v>3.392465573325161E-2</v>
      </c>
      <c r="E173" s="12">
        <f t="shared" si="21"/>
        <v>6.4242270131972243E-2</v>
      </c>
      <c r="F173" s="12">
        <f t="shared" si="22"/>
        <v>6.4154110899775477E-2</v>
      </c>
      <c r="G173" s="122">
        <f t="shared" si="23"/>
        <v>0.14085600596266742</v>
      </c>
      <c r="H173" s="122">
        <f t="shared" si="24"/>
        <v>4.560072843085973E-2</v>
      </c>
      <c r="I173" s="122">
        <f t="shared" si="25"/>
        <v>0.14520583298155457</v>
      </c>
      <c r="J173" s="122">
        <f t="shared" si="26"/>
        <v>-2.2109005517696914E-2</v>
      </c>
      <c r="K173" s="122">
        <f t="shared" si="27"/>
        <v>6.7709733948556644E-2</v>
      </c>
      <c r="Y173" s="126">
        <f>IF($Z$1, C173, -0.2)</f>
        <v>-0.2</v>
      </c>
    </row>
    <row r="174" spans="2:25" x14ac:dyDescent="0.3">
      <c r="B174" s="12">
        <v>0.14465748314263338</v>
      </c>
      <c r="C174" s="12">
        <f t="shared" si="19"/>
        <v>1.1850024885618177E-2</v>
      </c>
      <c r="D174" s="126">
        <f t="shared" si="20"/>
        <v>3.4088199326540732E-2</v>
      </c>
      <c r="E174" s="12">
        <f t="shared" si="21"/>
        <v>6.3835629214341646E-2</v>
      </c>
      <c r="F174" s="12">
        <f t="shared" si="22"/>
        <v>6.3749130805765483E-2</v>
      </c>
      <c r="G174" s="122">
        <f t="shared" si="23"/>
        <v>0.14248586165665383</v>
      </c>
      <c r="H174" s="122">
        <f t="shared" si="24"/>
        <v>4.5868981269487505E-2</v>
      </c>
      <c r="I174" s="122">
        <f t="shared" si="25"/>
        <v>0.14682910462861293</v>
      </c>
      <c r="J174" s="122">
        <f t="shared" si="26"/>
        <v>-2.2168931498251152E-2</v>
      </c>
      <c r="K174" s="122">
        <f t="shared" si="27"/>
        <v>6.8037912767738656E-2</v>
      </c>
      <c r="Y174" s="126">
        <f>IF($Z$1, C174, -0.2)</f>
        <v>-0.2</v>
      </c>
    </row>
    <row r="175" spans="2:25" x14ac:dyDescent="0.3">
      <c r="B175" s="12">
        <v>0.14629252256756808</v>
      </c>
      <c r="C175" s="12">
        <f t="shared" si="19"/>
        <v>1.1954064486859003E-2</v>
      </c>
      <c r="D175" s="126">
        <f t="shared" si="20"/>
        <v>3.4250867179319418E-2</v>
      </c>
      <c r="E175" s="12">
        <f t="shared" si="21"/>
        <v>6.3426869358107971E-2</v>
      </c>
      <c r="F175" s="12">
        <f t="shared" si="22"/>
        <v>6.3342019323399321E-2</v>
      </c>
      <c r="G175" s="122">
        <f t="shared" si="23"/>
        <v>0.14412445394738452</v>
      </c>
      <c r="H175" s="122">
        <f t="shared" si="24"/>
        <v>4.6136243776564265E-2</v>
      </c>
      <c r="I175" s="122">
        <f t="shared" si="25"/>
        <v>0.14846059118775165</v>
      </c>
      <c r="J175" s="122">
        <f t="shared" si="26"/>
        <v>-2.2228114802846255E-2</v>
      </c>
      <c r="K175" s="122">
        <f t="shared" si="27"/>
        <v>6.836435857941052E-2</v>
      </c>
      <c r="Y175" s="126">
        <f>IF($Z$1, C175, -0.2)</f>
        <v>-0.2</v>
      </c>
    </row>
    <row r="176" spans="2:25" x14ac:dyDescent="0.3">
      <c r="B176" s="12">
        <v>0.14793602154499341</v>
      </c>
      <c r="C176" s="12">
        <f t="shared" si="19"/>
        <v>1.2057968845679244E-2</v>
      </c>
      <c r="D176" s="126">
        <f t="shared" si="20"/>
        <v>3.4412650180227961E-2</v>
      </c>
      <c r="E176" s="12">
        <f t="shared" si="21"/>
        <v>6.3015994613751639E-2</v>
      </c>
      <c r="F176" s="12">
        <f t="shared" si="22"/>
        <v>6.2932780292433349E-2</v>
      </c>
      <c r="G176" s="122">
        <f t="shared" si="23"/>
        <v>0.14577176705318384</v>
      </c>
      <c r="H176" s="122">
        <f t="shared" si="24"/>
        <v>4.6402495264330372E-2</v>
      </c>
      <c r="I176" s="122">
        <f t="shared" si="25"/>
        <v>0.15010027603680298</v>
      </c>
      <c r="J176" s="122">
        <f t="shared" si="26"/>
        <v>-2.2286557572971884E-2</v>
      </c>
      <c r="K176" s="122">
        <f t="shared" si="27"/>
        <v>6.8689052837302256E-2</v>
      </c>
      <c r="Y176" s="126">
        <f>IF($Z$1, C176, -0.2)</f>
        <v>-0.2</v>
      </c>
    </row>
    <row r="177" spans="2:25" x14ac:dyDescent="0.3">
      <c r="B177" s="12">
        <v>0.14958796378916006</v>
      </c>
      <c r="C177" s="12">
        <f t="shared" si="19"/>
        <v>1.2161726515092619E-2</v>
      </c>
      <c r="D177" s="126">
        <f t="shared" si="20"/>
        <v>3.4573539230072496E-2</v>
      </c>
      <c r="E177" s="12">
        <f t="shared" si="21"/>
        <v>6.2603009052709976E-2</v>
      </c>
      <c r="F177" s="12">
        <f t="shared" si="22"/>
        <v>6.2521417576848606E-2</v>
      </c>
      <c r="G177" s="122">
        <f t="shared" si="23"/>
        <v>0.14742778507829699</v>
      </c>
      <c r="H177" s="122">
        <f t="shared" si="24"/>
        <v>4.6667715021879323E-2</v>
      </c>
      <c r="I177" s="122">
        <f t="shared" si="25"/>
        <v>0.15174814250002314</v>
      </c>
      <c r="J177" s="122">
        <f t="shared" si="26"/>
        <v>-2.2344261991694085E-2</v>
      </c>
      <c r="K177" s="122">
        <f t="shared" si="27"/>
        <v>6.9011977013573408E-2</v>
      </c>
      <c r="Y177" s="126">
        <f>IF($Z$1, C177, -0.2)</f>
        <v>-0.2</v>
      </c>
    </row>
    <row r="178" spans="2:25" x14ac:dyDescent="0.3">
      <c r="B178" s="12">
        <v>0.15124833293065298</v>
      </c>
      <c r="C178" s="12">
        <f t="shared" si="19"/>
        <v>1.2265326016277589E-2</v>
      </c>
      <c r="D178" s="126">
        <f t="shared" si="20"/>
        <v>3.4733525242680433E-2</v>
      </c>
      <c r="E178" s="12">
        <f t="shared" si="21"/>
        <v>6.2187916767336746E-2</v>
      </c>
      <c r="F178" s="12">
        <f t="shared" si="22"/>
        <v>6.2107935064868891E-2</v>
      </c>
      <c r="G178" s="122">
        <f t="shared" si="23"/>
        <v>0.1490924920128405</v>
      </c>
      <c r="H178" s="122">
        <f t="shared" si="24"/>
        <v>4.6931882316565109E-2</v>
      </c>
      <c r="I178" s="122">
        <f t="shared" si="25"/>
        <v>0.15340417384846547</v>
      </c>
      <c r="J178" s="122">
        <f t="shared" si="26"/>
        <v>-2.2401230284009928E-2</v>
      </c>
      <c r="K178" s="122">
        <f t="shared" si="27"/>
        <v>6.9333112600575036E-2</v>
      </c>
      <c r="Y178" s="126">
        <f>IF($Z$1, C178, -0.2)</f>
        <v>-0.2</v>
      </c>
    </row>
    <row r="179" spans="2:25" x14ac:dyDescent="0.3">
      <c r="B179" s="12">
        <v>0.15291711251655316</v>
      </c>
      <c r="C179" s="12">
        <f t="shared" si="19"/>
        <v>1.2368755839105291E-2</v>
      </c>
      <c r="D179" s="126">
        <f t="shared" si="20"/>
        <v>3.4892599145755064E-2</v>
      </c>
      <c r="E179" s="12">
        <f t="shared" si="21"/>
        <v>6.1770721870861703E-2</v>
      </c>
      <c r="F179" s="12">
        <f t="shared" si="22"/>
        <v>6.1692336668978727E-2</v>
      </c>
      <c r="G179" s="122">
        <f t="shared" si="23"/>
        <v>0.1507658717327563</v>
      </c>
      <c r="H179" s="122">
        <f t="shared" si="24"/>
        <v>4.719497639541137E-2</v>
      </c>
      <c r="I179" s="122">
        <f t="shared" si="25"/>
        <v>0.15506835330035001</v>
      </c>
      <c r="J179" s="122">
        <f t="shared" si="26"/>
        <v>-2.2457464717200785E-2</v>
      </c>
      <c r="K179" s="122">
        <f t="shared" si="27"/>
        <v>6.9652441112612151E-2</v>
      </c>
      <c r="Y179" s="126">
        <f>IF($Z$1, C179, -0.2)</f>
        <v>-0.2</v>
      </c>
    </row>
    <row r="180" spans="2:25" x14ac:dyDescent="0.3">
      <c r="B180" s="12">
        <v>0.15459428601060099</v>
      </c>
      <c r="C180" s="12">
        <f t="shared" si="19"/>
        <v>1.2472004442669158E-2</v>
      </c>
      <c r="D180" s="126">
        <f t="shared" si="20"/>
        <v>3.5050751881729583E-2</v>
      </c>
      <c r="E180" s="12">
        <f t="shared" si="21"/>
        <v>6.1351428497349744E-2</v>
      </c>
      <c r="F180" s="12">
        <f t="shared" si="22"/>
        <v>6.1274626325940676E-2</v>
      </c>
      <c r="G180" s="122">
        <f t="shared" si="23"/>
        <v>0.15244790799977076</v>
      </c>
      <c r="H180" s="122">
        <f t="shared" si="24"/>
        <v>4.7456976486522424E-2</v>
      </c>
      <c r="I180" s="122">
        <f t="shared" si="25"/>
        <v>0.15674066402143122</v>
      </c>
      <c r="J180" s="122">
        <f t="shared" si="26"/>
        <v>-2.2512967601184104E-2</v>
      </c>
      <c r="K180" s="122">
        <f t="shared" si="27"/>
        <v>6.9969944087706529E-2</v>
      </c>
      <c r="Y180" s="126">
        <f>IF($Z$1, C180, -0.2)</f>
        <v>-0.2</v>
      </c>
    </row>
    <row r="181" spans="2:25" x14ac:dyDescent="0.3">
      <c r="B181" s="12">
        <v>0.15627983679335988</v>
      </c>
      <c r="C181" s="12">
        <f t="shared" si="19"/>
        <v>1.2575060255816084E-2</v>
      </c>
      <c r="D181" s="126">
        <f t="shared" si="20"/>
        <v>3.520797440862021E-2</v>
      </c>
      <c r="E181" s="12">
        <f t="shared" si="21"/>
        <v>6.0930040801660021E-2</v>
      </c>
      <c r="F181" s="12">
        <f t="shared" si="22"/>
        <v>6.0854807996812518E-2</v>
      </c>
      <c r="G181" s="122">
        <f t="shared" si="23"/>
        <v>0.15413858446135789</v>
      </c>
      <c r="H181" s="122">
        <f t="shared" si="24"/>
        <v>4.771786180049592E-2</v>
      </c>
      <c r="I181" s="122">
        <f t="shared" si="25"/>
        <v>0.15842108912536187</v>
      </c>
      <c r="J181" s="122">
        <f t="shared" si="26"/>
        <v>-2.2567741288863755E-2</v>
      </c>
      <c r="K181" s="122">
        <f t="shared" si="27"/>
        <v>7.0285603089359674E-2</v>
      </c>
      <c r="Y181" s="126">
        <f>IF($Z$1, C181, -0.2)</f>
        <v>-0.2</v>
      </c>
    </row>
    <row r="182" spans="2:25" x14ac:dyDescent="0.3">
      <c r="B182" s="12">
        <v>0.15797374816238119</v>
      </c>
      <c r="C182" s="12">
        <f t="shared" si="19"/>
        <v>1.2677911677679185E-2</v>
      </c>
      <c r="D182" s="126">
        <f t="shared" si="20"/>
        <v>3.5364257700878553E-2</v>
      </c>
      <c r="E182" s="12">
        <f t="shared" si="21"/>
        <v>6.0506562959404694E-2</v>
      </c>
      <c r="F182" s="12">
        <f t="shared" si="22"/>
        <v>6.0432885666963788E-2</v>
      </c>
      <c r="G182" s="122">
        <f t="shared" si="23"/>
        <v>0.15583788465070747</v>
      </c>
      <c r="H182" s="122">
        <f t="shared" si="24"/>
        <v>4.7977611531837279E-2</v>
      </c>
      <c r="I182" s="122">
        <f t="shared" si="25"/>
        <v>0.16010961167405491</v>
      </c>
      <c r="J182" s="122">
        <f t="shared" si="26"/>
        <v>-2.2621788176478912E-2</v>
      </c>
      <c r="K182" s="122">
        <f t="shared" si="27"/>
        <v>7.0599399708316191E-2</v>
      </c>
      <c r="Y182" s="126">
        <f>IF($Z$1, C182, -0.2)</f>
        <v>-0.2</v>
      </c>
    </row>
    <row r="183" spans="2:25" x14ac:dyDescent="0.3">
      <c r="B183" s="12">
        <v>0.15967600333236964</v>
      </c>
      <c r="C183" s="12">
        <f t="shared" si="19"/>
        <v>1.2780547078212096E-2</v>
      </c>
      <c r="D183" s="126">
        <f t="shared" si="20"/>
        <v>3.5519592750242968E-2</v>
      </c>
      <c r="E183" s="12">
        <f t="shared" si="21"/>
        <v>6.0080999166907581E-2</v>
      </c>
      <c r="F183" s="12">
        <f t="shared" si="22"/>
        <v>6.0008863346092074E-2</v>
      </c>
      <c r="G183" s="122">
        <f t="shared" si="23"/>
        <v>0.15754579198669733</v>
      </c>
      <c r="H183" s="122">
        <f t="shared" si="24"/>
        <v>4.823620486037547E-2</v>
      </c>
      <c r="I183" s="122">
        <f t="shared" si="25"/>
        <v>0.16180621467804196</v>
      </c>
      <c r="J183" s="122">
        <f t="shared" si="26"/>
        <v>-2.2675110703951274E-2</v>
      </c>
      <c r="K183" s="122">
        <f t="shared" si="27"/>
        <v>7.0911315564326741E-2</v>
      </c>
      <c r="Y183" s="126">
        <f>IF($Z$1, C183, -0.2)</f>
        <v>-0.2</v>
      </c>
    </row>
    <row r="184" spans="2:25" x14ac:dyDescent="0.3">
      <c r="B184" s="12">
        <v>0.16138658543534967</v>
      </c>
      <c r="C184" s="12">
        <f t="shared" si="19"/>
        <v>1.2882954798724786E-2</v>
      </c>
      <c r="D184" s="126">
        <f t="shared" si="20"/>
        <v>3.5673970566588893E-2</v>
      </c>
      <c r="E184" s="12">
        <f t="shared" si="21"/>
        <v>5.9653353641162574E-2</v>
      </c>
      <c r="F184" s="12">
        <f t="shared" si="22"/>
        <v>5.9582745068238824E-2</v>
      </c>
      <c r="G184" s="122">
        <f t="shared" si="23"/>
        <v>0.15926228977387039</v>
      </c>
      <c r="H184" s="122">
        <f t="shared" si="24"/>
        <v>4.8493620952680269E-2</v>
      </c>
      <c r="I184" s="122">
        <f t="shared" si="25"/>
        <v>0.16351088109682896</v>
      </c>
      <c r="J184" s="122">
        <f t="shared" si="26"/>
        <v>-2.27277113552307E-2</v>
      </c>
      <c r="K184" s="122">
        <f t="shared" si="27"/>
        <v>7.1221332307910973E-2</v>
      </c>
      <c r="Y184" s="126">
        <f>IF($Z$1, C184, -0.2)</f>
        <v>-0.2</v>
      </c>
    </row>
    <row r="185" spans="2:25" x14ac:dyDescent="0.3">
      <c r="B185" s="12">
        <v>0.16310547752083215</v>
      </c>
      <c r="C185" s="12">
        <f t="shared" si="19"/>
        <v>1.2985123152420877E-2</v>
      </c>
      <c r="D185" s="126">
        <f t="shared" si="20"/>
        <v>3.5827382178778115E-2</v>
      </c>
      <c r="E185" s="12">
        <f t="shared" si="21"/>
        <v>5.9223630619791953E-2</v>
      </c>
      <c r="F185" s="12">
        <f t="shared" si="22"/>
        <v>5.9154534891804868E-2</v>
      </c>
      <c r="G185" s="122">
        <f t="shared" si="23"/>
        <v>0.16098736120241611</v>
      </c>
      <c r="H185" s="122">
        <f t="shared" si="24"/>
        <v>4.874983896348091E-2</v>
      </c>
      <c r="I185" s="122">
        <f t="shared" si="25"/>
        <v>0.1652235938392482</v>
      </c>
      <c r="J185" s="122">
        <f t="shared" si="26"/>
        <v>-2.2779592658639158E-2</v>
      </c>
      <c r="K185" s="122">
        <f t="shared" si="27"/>
        <v>7.1529431622120068E-2</v>
      </c>
      <c r="Y185" s="126">
        <f>IF($Z$1, C185, -0.2)</f>
        <v>-0.2</v>
      </c>
    </row>
    <row r="186" spans="2:25" x14ac:dyDescent="0.3">
      <c r="B186" s="12">
        <v>0.16483266255598328</v>
      </c>
      <c r="C186" s="12">
        <f t="shared" si="19"/>
        <v>1.3087040424936492E-2</v>
      </c>
      <c r="D186" s="126">
        <f t="shared" si="20"/>
        <v>3.5979818635506845E-2</v>
      </c>
      <c r="E186" s="12">
        <f t="shared" si="21"/>
        <v>5.8791834361004172E-2</v>
      </c>
      <c r="F186" s="12">
        <f t="shared" si="22"/>
        <v>5.8724236899565151E-2</v>
      </c>
      <c r="G186" s="122">
        <f t="shared" si="23"/>
        <v>0.16272098934815774</v>
      </c>
      <c r="H186" s="122">
        <f t="shared" si="24"/>
        <v>4.9004838037085781E-2</v>
      </c>
      <c r="I186" s="122">
        <f t="shared" si="25"/>
        <v>0.16694433576380882</v>
      </c>
      <c r="J186" s="122">
        <f t="shared" si="26"/>
        <v>-2.2830757187212801E-2</v>
      </c>
      <c r="K186" s="122">
        <f t="shared" si="27"/>
        <v>7.1835595224298582E-2</v>
      </c>
      <c r="Y186" s="126">
        <f>IF($Z$1, C186, -0.2)</f>
        <v>-0.2</v>
      </c>
    </row>
    <row r="187" spans="2:25" x14ac:dyDescent="0.3">
      <c r="B187" s="12">
        <v>0.1665681234257923</v>
      </c>
      <c r="C187" s="12">
        <f t="shared" si="19"/>
        <v>1.3188694874880481E-2</v>
      </c>
      <c r="D187" s="126">
        <f t="shared" si="20"/>
        <v>3.6131271006152585E-2</v>
      </c>
      <c r="E187" s="12">
        <f t="shared" si="21"/>
        <v>5.8357969143551916E-2</v>
      </c>
      <c r="F187" s="12">
        <f t="shared" si="22"/>
        <v>5.8291855198683545E-2</v>
      </c>
      <c r="G187" s="122">
        <f t="shared" si="23"/>
        <v>0.16446315717254251</v>
      </c>
      <c r="H187" s="122">
        <f t="shared" si="24"/>
        <v>4.9258597308803449E-2</v>
      </c>
      <c r="I187" s="122">
        <f t="shared" si="25"/>
        <v>0.1686730896790421</v>
      </c>
      <c r="J187" s="122">
        <f t="shared" si="26"/>
        <v>-2.2881207559042487E-2</v>
      </c>
      <c r="K187" s="122">
        <f t="shared" si="27"/>
        <v>7.2139804867845936E-2</v>
      </c>
      <c r="Y187" s="126">
        <f>IF($Z$1, C187, -0.2)</f>
        <v>-0.2</v>
      </c>
    </row>
    <row r="188" spans="2:25" x14ac:dyDescent="0.3">
      <c r="B188" s="12">
        <v>0.16831184293324197</v>
      </c>
      <c r="C188" s="12">
        <f t="shared" si="19"/>
        <v>1.3290074734376154E-2</v>
      </c>
      <c r="D188" s="126">
        <f t="shared" si="20"/>
        <v>3.6281730381619672E-2</v>
      </c>
      <c r="E188" s="12">
        <f t="shared" si="21"/>
        <v>5.7922039266689498E-2</v>
      </c>
      <c r="F188" s="12">
        <f t="shared" si="22"/>
        <v>5.7857393920726731E-2</v>
      </c>
      <c r="G188" s="122">
        <f t="shared" si="23"/>
        <v>0.16621384752263846</v>
      </c>
      <c r="H188" s="122">
        <f t="shared" si="24"/>
        <v>4.9511095906364537E-2</v>
      </c>
      <c r="I188" s="122">
        <f t="shared" si="25"/>
        <v>0.17040983834384549</v>
      </c>
      <c r="J188" s="122">
        <f t="shared" si="26"/>
        <v>-2.2930946437612225E-2</v>
      </c>
      <c r="K188" s="122">
        <f t="shared" si="27"/>
        <v>7.2442042343976762E-2</v>
      </c>
      <c r="Y188" s="126">
        <f>IF($Z$1, C188, -0.2)</f>
        <v>-0.2</v>
      </c>
    </row>
    <row r="189" spans="2:25" x14ac:dyDescent="0.3">
      <c r="B189" s="12">
        <v>0.17006380379947839</v>
      </c>
      <c r="C189" s="12">
        <f t="shared" si="19"/>
        <v>1.33911682096044E-2</v>
      </c>
      <c r="D189" s="126">
        <f t="shared" si="20"/>
        <v>3.6431187875183325E-2</v>
      </c>
      <c r="E189" s="12">
        <f t="shared" si="21"/>
        <v>5.7484049050130395E-2</v>
      </c>
      <c r="F189" s="12">
        <f t="shared" si="22"/>
        <v>5.7420857221677953E-2</v>
      </c>
      <c r="G189" s="122">
        <f t="shared" si="23"/>
        <v>0.16797304313113481</v>
      </c>
      <c r="H189" s="122">
        <f t="shared" si="24"/>
        <v>4.9762312951344548E-2</v>
      </c>
      <c r="I189" s="122">
        <f t="shared" si="25"/>
        <v>0.17215456446782196</v>
      </c>
      <c r="J189" s="122">
        <f t="shared" si="26"/>
        <v>-2.2979976532135751E-2</v>
      </c>
      <c r="K189" s="122">
        <f t="shared" si="27"/>
        <v>7.2742289483480299E-2</v>
      </c>
      <c r="Y189" s="126">
        <f>IF($Z$1, C189, -0.2)</f>
        <v>-0.2</v>
      </c>
    </row>
    <row r="190" spans="2:25" x14ac:dyDescent="0.3">
      <c r="B190" s="12">
        <v>0.17182398866398252</v>
      </c>
      <c r="C190" s="12">
        <f t="shared" si="19"/>
        <v>1.34919634813482E-2</v>
      </c>
      <c r="D190" s="126">
        <f t="shared" si="20"/>
        <v>3.6579634623332399E-2</v>
      </c>
      <c r="E190" s="12">
        <f t="shared" si="21"/>
        <v>5.7044002834004362E-2</v>
      </c>
      <c r="F190" s="12">
        <f t="shared" si="22"/>
        <v>5.6982249281950177E-2</v>
      </c>
      <c r="G190" s="122">
        <f t="shared" si="23"/>
        <v>0.16974072661634779</v>
      </c>
      <c r="H190" s="122">
        <f t="shared" si="24"/>
        <v>5.001222756058759E-2</v>
      </c>
      <c r="I190" s="122">
        <f t="shared" si="25"/>
        <v>0.17390725071161725</v>
      </c>
      <c r="J190" s="122">
        <f t="shared" si="26"/>
        <v>-2.3028300597891189E-2</v>
      </c>
      <c r="K190" s="122">
        <f t="shared" si="27"/>
        <v>7.3040528158478779E-2</v>
      </c>
      <c r="Y190" s="126">
        <f>IF($Z$1, C190, -0.2)</f>
        <v>-0.2</v>
      </c>
    </row>
    <row r="191" spans="2:25" x14ac:dyDescent="0.3">
      <c r="B191" s="12">
        <v>0.1735923800847422</v>
      </c>
      <c r="C191" s="12">
        <f t="shared" si="19"/>
        <v>1.3592448705538517E-2</v>
      </c>
      <c r="D191" s="126">
        <f t="shared" si="20"/>
        <v>3.6727061786610442E-2</v>
      </c>
      <c r="E191" s="12">
        <f t="shared" si="21"/>
        <v>5.6601904978814441E-2</v>
      </c>
      <c r="F191" s="12">
        <f t="shared" si="22"/>
        <v>5.6541574306398772E-2</v>
      </c>
      <c r="G191" s="122">
        <f t="shared" si="23"/>
        <v>0.17151688048223152</v>
      </c>
      <c r="H191" s="122">
        <f t="shared" si="24"/>
        <v>5.0260818847630714E-2</v>
      </c>
      <c r="I191" s="122">
        <f t="shared" si="25"/>
        <v>0.17566787968725289</v>
      </c>
      <c r="J191" s="122">
        <f t="shared" si="26"/>
        <v>-2.3075921436553681E-2</v>
      </c>
      <c r="K191" s="122">
        <f t="shared" si="27"/>
        <v>7.3336740284184396E-2</v>
      </c>
      <c r="Y191" s="126">
        <f>IF($Z$1, C191, -0.2)</f>
        <v>-0.2</v>
      </c>
    </row>
    <row r="192" spans="2:25" x14ac:dyDescent="0.3">
      <c r="B192" s="12">
        <v>0.17536896053842488</v>
      </c>
      <c r="C192" s="12">
        <f t="shared" si="19"/>
        <v>1.3692612013801533E-2</v>
      </c>
      <c r="D192" s="126">
        <f t="shared" si="20"/>
        <v>3.6873460550455234E-2</v>
      </c>
      <c r="E192" s="12">
        <f t="shared" si="21"/>
        <v>5.6157759865393772E-2</v>
      </c>
      <c r="F192" s="12">
        <f t="shared" si="22"/>
        <v>5.6098836524333812E-2</v>
      </c>
      <c r="G192" s="122">
        <f t="shared" si="23"/>
        <v>0.17330148711839324</v>
      </c>
      <c r="H192" s="122">
        <f t="shared" si="24"/>
        <v>5.0508065924128931E-2</v>
      </c>
      <c r="I192" s="122">
        <f t="shared" si="25"/>
        <v>0.17743643395845651</v>
      </c>
      <c r="J192" s="122">
        <f t="shared" si="26"/>
        <v>-2.3122841896525869E-2</v>
      </c>
      <c r="K192" s="122">
        <f t="shared" si="27"/>
        <v>7.3630907820654803E-2</v>
      </c>
      <c r="Y192" s="126">
        <f>IF($Z$1, C192, -0.2)</f>
        <v>-0.2</v>
      </c>
    </row>
    <row r="193" spans="2:25" x14ac:dyDescent="0.3">
      <c r="B193" s="12">
        <v>0.17715371242055111</v>
      </c>
      <c r="C193" s="12">
        <f t="shared" ref="C193:C256" si="28">IF($A$1=0, 0, IF(B193&lt;=$A$2, ($A$1/$A$2^2)*(2*$A$2*B193-B193^2), ($A$1/(1-$A$2)^2)*((1-2*$A$2)+2*$A$2*B193-B193^2)))</f>
        <v>1.3792441514007193E-2</v>
      </c>
      <c r="D193" s="126">
        <f t="shared" ref="D193:D256" si="29">IF(B193&lt;$N$1, ($A$3/0.2)*($O$1*SQRT(B193)+$P$1*B193+$Q$1*(B193^2)+$R$1*(B193^3)), ($A$3/0.2)*($S$1+$T$1*(1-B193)+$U$1*((1-B193)^2)+$V$1*((1-B193)^3)))</f>
        <v>3.7018822126036563E-2</v>
      </c>
      <c r="E193" s="12">
        <f t="shared" si="21"/>
        <v>5.5711571894862214E-2</v>
      </c>
      <c r="F193" s="12">
        <f t="shared" si="22"/>
        <v>5.5654040189531837E-2</v>
      </c>
      <c r="G193" s="122">
        <f t="shared" si="23"/>
        <v>0.17509452880011411</v>
      </c>
      <c r="H193" s="122">
        <f t="shared" si="24"/>
        <v>5.0753947901280676E-2</v>
      </c>
      <c r="I193" s="122">
        <f t="shared" si="25"/>
        <v>0.17921289604098811</v>
      </c>
      <c r="J193" s="122">
        <f t="shared" si="26"/>
        <v>-2.3169064873266289E-2</v>
      </c>
      <c r="K193" s="122">
        <f t="shared" si="27"/>
        <v>7.3923012774546965E-2</v>
      </c>
      <c r="Y193" s="126">
        <f>IF($Z$1, C193, -0.2)</f>
        <v>-0.2</v>
      </c>
    </row>
    <row r="194" spans="2:25" x14ac:dyDescent="0.3">
      <c r="B194" s="12">
        <v>0.17894661804566958</v>
      </c>
      <c r="C194" s="12">
        <f t="shared" si="28"/>
        <v>1.389192529081911E-2</v>
      </c>
      <c r="D194" s="126">
        <f t="shared" si="29"/>
        <v>3.7163137751092243E-2</v>
      </c>
      <c r="E194" s="12">
        <f t="shared" ref="E194:E257" si="30">IF($A$1=0, 0, IF(B194&lt;=$A$2, ($A$1/$A$2^2) *(2*$A$2-2*B194), ($A$1/(1-$A$2)^2)*(2*$A$2-2*B194)))</f>
        <v>5.5263345488582596E-2</v>
      </c>
      <c r="F194" s="12">
        <f t="shared" ref="F194:F257" si="31">IF($A$1=0, 0,  ATAN(E194))</f>
        <v>5.5207189580247056E-2</v>
      </c>
      <c r="G194" s="122">
        <f t="shared" ref="G194:G257" si="32">B194-D194*SIN(F194)</f>
        <v>0.17689598768837525</v>
      </c>
      <c r="H194" s="122">
        <f t="shared" ref="H194:H257" si="33">C194+D194*COS(F194)</f>
        <v>5.0998443891253728E-2</v>
      </c>
      <c r="I194" s="122">
        <f t="shared" ref="I194:I257" si="34">B194+D194*SIN(F194)</f>
        <v>0.18099724840296391</v>
      </c>
      <c r="J194" s="122">
        <f t="shared" ref="J194:J257" si="35">C194-D194*COS(F194)</f>
        <v>-2.3214593309615505E-2</v>
      </c>
      <c r="K194" s="122">
        <f t="shared" ref="K194:K257" si="36">2*D194*COS(F194)</f>
        <v>7.4213037200869234E-2</v>
      </c>
      <c r="Y194" s="126">
        <f>IF($Z$1, C194, -0.2)</f>
        <v>-0.2</v>
      </c>
    </row>
    <row r="195" spans="2:25" x14ac:dyDescent="0.3">
      <c r="B195" s="12">
        <v>0.18074765964753159</v>
      </c>
      <c r="C195" s="12">
        <f t="shared" si="28"/>
        <v>1.3991051406245666E-2</v>
      </c>
      <c r="D195" s="126">
        <f t="shared" si="29"/>
        <v>3.7306398690762348E-2</v>
      </c>
      <c r="E195" s="12">
        <f t="shared" si="30"/>
        <v>5.4813085088117094E-2</v>
      </c>
      <c r="F195" s="12">
        <f t="shared" si="31"/>
        <v>5.4758288999222249E-2</v>
      </c>
      <c r="G195" s="122">
        <f t="shared" si="32"/>
        <v>0.17870584582988777</v>
      </c>
      <c r="H195" s="122">
        <f t="shared" si="33"/>
        <v>5.1241533008611471E-2</v>
      </c>
      <c r="I195" s="122">
        <f t="shared" si="34"/>
        <v>0.18278947346517541</v>
      </c>
      <c r="J195" s="122">
        <f t="shared" si="35"/>
        <v>-2.3259430196120139E-2</v>
      </c>
      <c r="K195" s="122">
        <f t="shared" si="36"/>
        <v>7.450096320473161E-2</v>
      </c>
      <c r="Y195" s="126">
        <f>IF($Z$1, C195, -0.2)</f>
        <v>-0.2</v>
      </c>
    </row>
    <row r="196" spans="2:25" x14ac:dyDescent="0.3">
      <c r="B196" s="12">
        <v>0.1825568193792676</v>
      </c>
      <c r="C196" s="12">
        <f t="shared" si="28"/>
        <v>1.4089807900192441E-2</v>
      </c>
      <c r="D196" s="126">
        <f t="shared" si="29"/>
        <v>3.7448596238421457E-2</v>
      </c>
      <c r="E196" s="12">
        <f t="shared" si="30"/>
        <v>5.4360795155183092E-2</v>
      </c>
      <c r="F196" s="12">
        <f t="shared" si="31"/>
        <v>5.4307342773698981E-2</v>
      </c>
      <c r="G196" s="122">
        <f t="shared" si="32"/>
        <v>0.18052408515712925</v>
      </c>
      <c r="H196" s="122">
        <f t="shared" si="33"/>
        <v>5.1483194371739274E-2</v>
      </c>
      <c r="I196" s="122">
        <f t="shared" si="34"/>
        <v>0.18458955360140594</v>
      </c>
      <c r="J196" s="122">
        <f t="shared" si="35"/>
        <v>-2.3303578571354389E-2</v>
      </c>
      <c r="K196" s="122">
        <f t="shared" si="36"/>
        <v>7.478677294309366E-2</v>
      </c>
      <c r="Y196" s="126">
        <f>IF($Z$1, C196, -0.2)</f>
        <v>-0.2</v>
      </c>
    </row>
    <row r="197" spans="2:25" x14ac:dyDescent="0.3">
      <c r="B197" s="12">
        <v>0.18437407931356398</v>
      </c>
      <c r="C197" s="12">
        <f t="shared" si="28"/>
        <v>1.4188182791015847E-2</v>
      </c>
      <c r="D197" s="126">
        <f t="shared" si="29"/>
        <v>3.7589721716508963E-2</v>
      </c>
      <c r="E197" s="12">
        <f t="shared" si="30"/>
        <v>5.3906480171608998E-2</v>
      </c>
      <c r="F197" s="12">
        <f t="shared" si="31"/>
        <v>5.385435525542738E-2</v>
      </c>
      <c r="G197" s="122">
        <f t="shared" si="32"/>
        <v>0.18235068748838459</v>
      </c>
      <c r="H197" s="122">
        <f t="shared" si="33"/>
        <v>5.1723407104271021E-2</v>
      </c>
      <c r="I197" s="122">
        <f t="shared" si="34"/>
        <v>0.18639747113874336</v>
      </c>
      <c r="J197" s="122">
        <f t="shared" si="35"/>
        <v>-2.3347041522239331E-2</v>
      </c>
      <c r="K197" s="122">
        <f t="shared" si="36"/>
        <v>7.5070448626510355E-2</v>
      </c>
      <c r="Y197" s="126">
        <f>IF($Z$1, C197, -0.2)</f>
        <v>-0.2</v>
      </c>
    </row>
    <row r="198" spans="2:25" x14ac:dyDescent="0.3">
      <c r="B198" s="12">
        <v>0.18619942144284063</v>
      </c>
      <c r="C198" s="12">
        <f t="shared" si="28"/>
        <v>1.4286164076077988E-2</v>
      </c>
      <c r="D198" s="126">
        <f t="shared" si="29"/>
        <v>3.7729766477357263E-2</v>
      </c>
      <c r="E198" s="12">
        <f t="shared" si="30"/>
        <v>5.3450144639289834E-2</v>
      </c>
      <c r="F198" s="12">
        <f t="shared" si="31"/>
        <v>5.3399330820675411E-2</v>
      </c>
      <c r="G198" s="122">
        <f t="shared" si="32"/>
        <v>0.18418563452779232</v>
      </c>
      <c r="H198" s="122">
        <f t="shared" si="33"/>
        <v>5.1962150336515717E-2</v>
      </c>
      <c r="I198" s="122">
        <f t="shared" si="34"/>
        <v>0.18821320835788893</v>
      </c>
      <c r="J198" s="122">
        <f t="shared" si="35"/>
        <v>-2.338982218435974E-2</v>
      </c>
      <c r="K198" s="122">
        <f t="shared" si="36"/>
        <v>7.5351972520875457E-2</v>
      </c>
      <c r="Y198" s="126">
        <f>IF($Z$1, C198, -0.2)</f>
        <v>-0.2</v>
      </c>
    </row>
    <row r="199" spans="2:25" x14ac:dyDescent="0.3">
      <c r="B199" s="12">
        <v>0.18803282767942942</v>
      </c>
      <c r="C199" s="12">
        <f t="shared" si="28"/>
        <v>1.438373973230269E-2</v>
      </c>
      <c r="D199" s="126">
        <f t="shared" si="29"/>
        <v>3.7868721904017862E-2</v>
      </c>
      <c r="E199" s="12">
        <f t="shared" si="30"/>
        <v>5.2991793080142638E-2</v>
      </c>
      <c r="F199" s="12">
        <f t="shared" si="31"/>
        <v>5.2942273870237637E-2</v>
      </c>
      <c r="G199" s="122">
        <f t="shared" si="32"/>
        <v>0.18602890786539611</v>
      </c>
      <c r="H199" s="122">
        <f t="shared" si="33"/>
        <v>5.2199403206883786E-2</v>
      </c>
      <c r="I199" s="122">
        <f t="shared" si="34"/>
        <v>0.19003674749346272</v>
      </c>
      <c r="J199" s="122">
        <f t="shared" si="35"/>
        <v>-2.3431923742278406E-2</v>
      </c>
      <c r="K199" s="122">
        <f t="shared" si="36"/>
        <v>7.5631326949162192E-2</v>
      </c>
      <c r="Y199" s="126">
        <f>IF($Z$1, C199, -0.2)</f>
        <v>-0.2</v>
      </c>
    </row>
    <row r="200" spans="2:25" x14ac:dyDescent="0.3">
      <c r="B200" s="12">
        <v>0.18987427985575323</v>
      </c>
      <c r="C200" s="12">
        <f t="shared" si="28"/>
        <v>1.4480897716732707E-2</v>
      </c>
      <c r="D200" s="126">
        <f t="shared" si="29"/>
        <v>3.8006579411085213E-2</v>
      </c>
      <c r="E200" s="12">
        <f t="shared" si="30"/>
        <v>5.2531430036061685E-2</v>
      </c>
      <c r="F200" s="12">
        <f t="shared" si="31"/>
        <v>5.2483188829443424E-2</v>
      </c>
      <c r="G200" s="122">
        <f t="shared" si="32"/>
        <v>0.18788048897720122</v>
      </c>
      <c r="H200" s="122">
        <f t="shared" si="33"/>
        <v>5.243514486331341E-2</v>
      </c>
      <c r="I200" s="122">
        <f t="shared" si="34"/>
        <v>0.19186807073430523</v>
      </c>
      <c r="J200" s="122">
        <f t="shared" si="35"/>
        <v>-2.3473349429847995E-2</v>
      </c>
      <c r="K200" s="122">
        <f t="shared" si="36"/>
        <v>7.5908494293161405E-2</v>
      </c>
      <c r="Y200" s="126">
        <f>IF($Z$1, C200, -0.2)</f>
        <v>-0.2</v>
      </c>
    </row>
    <row r="201" spans="2:25" x14ac:dyDescent="0.3">
      <c r="B201" s="12">
        <v>0.19172375972450661</v>
      </c>
      <c r="C201" s="12">
        <f t="shared" si="28"/>
        <v>1.4577625967088118E-2</v>
      </c>
      <c r="D201" s="126">
        <f t="shared" si="29"/>
        <v>3.8143330445518389E-2</v>
      </c>
      <c r="E201" s="12">
        <f t="shared" si="30"/>
        <v>5.2069060068873338E-2</v>
      </c>
      <c r="F201" s="12">
        <f t="shared" si="31"/>
        <v>5.2022080148164528E-2</v>
      </c>
      <c r="G201" s="122">
        <f t="shared" si="32"/>
        <v>0.18974035922523744</v>
      </c>
      <c r="H201" s="122">
        <f t="shared" si="33"/>
        <v>5.2669354464696477E-2</v>
      </c>
      <c r="I201" s="122">
        <f t="shared" si="34"/>
        <v>0.19370716022377579</v>
      </c>
      <c r="J201" s="122">
        <f t="shared" si="35"/>
        <v>-2.3514102530520244E-2</v>
      </c>
      <c r="K201" s="122">
        <f t="shared" si="36"/>
        <v>7.6183456995216725E-2</v>
      </c>
      <c r="Y201" s="126">
        <f>IF($Z$1, C201, -0.2)</f>
        <v>-0.2</v>
      </c>
    </row>
    <row r="202" spans="2:25" x14ac:dyDescent="0.3">
      <c r="B202" s="12">
        <v>0.19358124895883555</v>
      </c>
      <c r="C202" s="12">
        <f t="shared" si="28"/>
        <v>1.4673912402325719E-2</v>
      </c>
      <c r="D202" s="126">
        <f t="shared" si="29"/>
        <v>3.827896648746016E-2</v>
      </c>
      <c r="E202" s="12">
        <f t="shared" si="30"/>
        <v>5.1604687760291104E-2</v>
      </c>
      <c r="F202" s="12">
        <f t="shared" si="31"/>
        <v>5.1558952300822442E-2</v>
      </c>
      <c r="G202" s="122">
        <f t="shared" si="32"/>
        <v>0.19160849985762521</v>
      </c>
      <c r="H202" s="122">
        <f t="shared" si="33"/>
        <v>5.2902011182303935E-2</v>
      </c>
      <c r="I202" s="122">
        <f t="shared" si="34"/>
        <v>0.19555399806004589</v>
      </c>
      <c r="J202" s="122">
        <f t="shared" si="35"/>
        <v>-2.3554186377652497E-2</v>
      </c>
      <c r="K202" s="122">
        <f t="shared" si="36"/>
        <v>7.6456197559956432E-2</v>
      </c>
      <c r="Y202" s="126">
        <f>IF($Z$1, C202, -0.2)</f>
        <v>-0.2</v>
      </c>
    </row>
    <row r="203" spans="2:25" x14ac:dyDescent="0.3">
      <c r="B203" s="12">
        <v>0.19544672915252015</v>
      </c>
      <c r="C203" s="12">
        <f t="shared" si="28"/>
        <v>1.4769744923199692E-2</v>
      </c>
      <c r="D203" s="126">
        <f t="shared" si="29"/>
        <v>3.8413479051053932E-2</v>
      </c>
      <c r="E203" s="12">
        <f t="shared" si="30"/>
        <v>5.1138317711869954E-2</v>
      </c>
      <c r="F203" s="12">
        <f t="shared" si="31"/>
        <v>5.1093809786394731E-2</v>
      </c>
      <c r="G203" s="122">
        <f t="shared" si="32"/>
        <v>0.19348489200864977</v>
      </c>
      <c r="H203" s="122">
        <f t="shared" si="33"/>
        <v>5.3133094201210991E-2</v>
      </c>
      <c r="I203" s="122">
        <f t="shared" si="34"/>
        <v>0.19740856629639053</v>
      </c>
      <c r="J203" s="122">
        <f t="shared" si="35"/>
        <v>-2.3593604354811608E-2</v>
      </c>
      <c r="K203" s="122">
        <f t="shared" si="36"/>
        <v>7.6726698556022599E-2</v>
      </c>
      <c r="Y203" s="126">
        <f>IF($Z$1, C203, -0.2)</f>
        <v>-0.2</v>
      </c>
    </row>
    <row r="204" spans="2:25" x14ac:dyDescent="0.3">
      <c r="B204" s="12">
        <v>0.19732018182015654</v>
      </c>
      <c r="C204" s="12">
        <f t="shared" si="28"/>
        <v>1.48651114128232E-2</v>
      </c>
      <c r="D204" s="126">
        <f t="shared" si="29"/>
        <v>3.8546859685258013E-2</v>
      </c>
      <c r="E204" s="12">
        <f t="shared" si="30"/>
        <v>5.0669954544960857E-2</v>
      </c>
      <c r="F204" s="12">
        <f t="shared" si="31"/>
        <v>5.0626657128421154E-2</v>
      </c>
      <c r="G204" s="122">
        <f t="shared" si="32"/>
        <v>0.19536951669883873</v>
      </c>
      <c r="H204" s="122">
        <f t="shared" si="33"/>
        <v>5.3362582721721445E-2</v>
      </c>
      <c r="I204" s="122">
        <f t="shared" si="34"/>
        <v>0.19927084694147434</v>
      </c>
      <c r="J204" s="122">
        <f t="shared" si="35"/>
        <v>-2.3632359896075046E-2</v>
      </c>
      <c r="K204" s="122">
        <f t="shared" si="36"/>
        <v>7.6994942617796491E-2</v>
      </c>
      <c r="Y204" s="126">
        <f>IF($Z$1, C204, -0.2)</f>
        <v>-0.2</v>
      </c>
    </row>
    <row r="205" spans="2:25" x14ac:dyDescent="0.3">
      <c r="B205" s="12">
        <v>0.1992015883973397</v>
      </c>
      <c r="C205" s="12">
        <f t="shared" si="28"/>
        <v>1.4959999737231073E-2</v>
      </c>
      <c r="D205" s="126">
        <f t="shared" si="29"/>
        <v>3.8679099974657231E-2</v>
      </c>
      <c r="E205" s="12">
        <f t="shared" si="30"/>
        <v>5.0199602900665066E-2</v>
      </c>
      <c r="F205" s="12">
        <f t="shared" si="31"/>
        <v>5.0157498875009261E-2</v>
      </c>
      <c r="G205" s="122">
        <f t="shared" si="32"/>
        <v>0.19726235483504545</v>
      </c>
      <c r="H205" s="122">
        <f t="shared" si="33"/>
        <v>5.3590455960791261E-2</v>
      </c>
      <c r="I205" s="122">
        <f t="shared" si="34"/>
        <v>0.20114082195963395</v>
      </c>
      <c r="J205" s="122">
        <f t="shared" si="35"/>
        <v>-2.3670456486329119E-2</v>
      </c>
      <c r="K205" s="122">
        <f t="shared" si="36"/>
        <v>7.7260912447120383E-2</v>
      </c>
      <c r="Y205" s="126">
        <f>IF($Z$1, C205, -0.2)</f>
        <v>-0.2</v>
      </c>
    </row>
    <row r="206" spans="2:25" x14ac:dyDescent="0.3">
      <c r="B206" s="12">
        <v>0.20109093024084834</v>
      </c>
      <c r="C206" s="12">
        <f t="shared" si="28"/>
        <v>1.5054397745943617E-2</v>
      </c>
      <c r="D206" s="126">
        <f t="shared" si="29"/>
        <v>3.8810191540272168E-2</v>
      </c>
      <c r="E206" s="12">
        <f t="shared" si="30"/>
        <v>4.9727267439787906E-2</v>
      </c>
      <c r="F206" s="12">
        <f t="shared" si="31"/>
        <v>4.9686339598839002E-2</v>
      </c>
      <c r="G206" s="122">
        <f t="shared" si="32"/>
        <v>0.19916338721053914</v>
      </c>
      <c r="H206" s="122">
        <f t="shared" si="33"/>
        <v>5.3816693153451667E-2</v>
      </c>
      <c r="I206" s="122">
        <f t="shared" si="34"/>
        <v>0.20301847327115755</v>
      </c>
      <c r="J206" s="122">
        <f t="shared" si="35"/>
        <v>-2.3707897661564434E-2</v>
      </c>
      <c r="K206" s="122">
        <f t="shared" si="36"/>
        <v>7.7524590815016101E-2</v>
      </c>
      <c r="Y206" s="126">
        <f>IF($Z$1, C206, -0.2)</f>
        <v>-0.2</v>
      </c>
    </row>
    <row r="207" spans="2:25" x14ac:dyDescent="0.3">
      <c r="B207" s="12">
        <v>0.20298818862882839</v>
      </c>
      <c r="C207" s="12">
        <f t="shared" si="28"/>
        <v>1.5148293272531236E-2</v>
      </c>
      <c r="D207" s="126">
        <f t="shared" si="29"/>
        <v>3.8940126040365328E-2</v>
      </c>
      <c r="E207" s="12">
        <f t="shared" si="30"/>
        <v>4.9252952842792894E-2</v>
      </c>
      <c r="F207" s="12">
        <f t="shared" si="31"/>
        <v>4.921318389716739E-2</v>
      </c>
      <c r="G207" s="122">
        <f t="shared" si="32"/>
        <v>0.20107259450509818</v>
      </c>
      <c r="H207" s="122">
        <f t="shared" si="33"/>
        <v>5.4041273554230759E-2</v>
      </c>
      <c r="I207" s="122">
        <f t="shared" si="34"/>
        <v>0.20490378275255861</v>
      </c>
      <c r="J207" s="122">
        <f t="shared" si="35"/>
        <v>-2.3744687009168292E-2</v>
      </c>
      <c r="K207" s="122">
        <f t="shared" si="36"/>
        <v>7.7785960563399051E-2</v>
      </c>
      <c r="Y207" s="126">
        <f>IF($Z$1, C207, -0.2)</f>
        <v>-0.2</v>
      </c>
    </row>
    <row r="208" spans="2:25" x14ac:dyDescent="0.3">
      <c r="B208" s="12">
        <v>0.20489334476097976</v>
      </c>
      <c r="C208" s="12">
        <f t="shared" si="28"/>
        <v>1.5241674135180261E-2</v>
      </c>
      <c r="D208" s="126">
        <f t="shared" si="29"/>
        <v>3.9068895171244886E-2</v>
      </c>
      <c r="E208" s="12">
        <f t="shared" si="30"/>
        <v>4.8776663809755053E-2</v>
      </c>
      <c r="F208" s="12">
        <f t="shared" si="31"/>
        <v>4.8738036391831913E-2</v>
      </c>
      <c r="G208" s="122">
        <f t="shared" si="32"/>
        <v>0.20298995728511168</v>
      </c>
      <c r="H208" s="122">
        <f t="shared" si="33"/>
        <v>5.4264176438574778E-2</v>
      </c>
      <c r="I208" s="122">
        <f t="shared" si="34"/>
        <v>0.20679673223684783</v>
      </c>
      <c r="J208" s="122">
        <f t="shared" si="35"/>
        <v>-2.3780828168214259E-2</v>
      </c>
      <c r="K208" s="122">
        <f t="shared" si="36"/>
        <v>7.8045004606789037E-2</v>
      </c>
      <c r="Y208" s="126">
        <f>IF($Z$1, C208, -0.2)</f>
        <v>-0.2</v>
      </c>
    </row>
    <row r="209" spans="2:25" x14ac:dyDescent="0.3">
      <c r="B209" s="12">
        <v>0.20680637975874194</v>
      </c>
      <c r="C209" s="12">
        <f t="shared" si="28"/>
        <v>1.5334528137259568E-2</v>
      </c>
      <c r="D209" s="126">
        <f t="shared" si="29"/>
        <v>3.9196490668065229E-2</v>
      </c>
      <c r="E209" s="12">
        <f t="shared" si="30"/>
        <v>4.8298405060314506E-2</v>
      </c>
      <c r="F209" s="12">
        <f t="shared" si="31"/>
        <v>4.8260901729253812E-2</v>
      </c>
      <c r="G209" s="122">
        <f t="shared" si="32"/>
        <v>0.20491545600368458</v>
      </c>
      <c r="H209" s="122">
        <f t="shared" si="33"/>
        <v>5.4485381104267636E-2</v>
      </c>
      <c r="I209" s="122">
        <f t="shared" si="34"/>
        <v>0.20869730351379931</v>
      </c>
      <c r="J209" s="122">
        <f t="shared" si="35"/>
        <v>-2.3816324829748495E-2</v>
      </c>
      <c r="K209" s="122">
        <f t="shared" si="36"/>
        <v>7.8301705934016128E-2</v>
      </c>
      <c r="Y209" s="126">
        <f>IF($Z$1, C209, -0.2)</f>
        <v>-0.2</v>
      </c>
    </row>
    <row r="210" spans="2:25" x14ac:dyDescent="0.3">
      <c r="B210" s="12">
        <v>0.20872727466548102</v>
      </c>
      <c r="C210" s="12">
        <f t="shared" si="28"/>
        <v>1.5426843067888205E-2</v>
      </c>
      <c r="D210" s="126">
        <f t="shared" si="29"/>
        <v>3.9322904305624788E-2</v>
      </c>
      <c r="E210" s="12">
        <f t="shared" si="30"/>
        <v>4.7818181333629736E-2</v>
      </c>
      <c r="F210" s="12">
        <f t="shared" si="31"/>
        <v>4.778178458044071E-2</v>
      </c>
      <c r="G210" s="122">
        <f t="shared" si="32"/>
        <v>0.20684907100074876</v>
      </c>
      <c r="H210" s="122">
        <f t="shared" si="33"/>
        <v>5.4704866872849561E-2</v>
      </c>
      <c r="I210" s="122">
        <f t="shared" si="34"/>
        <v>0.21060547833021329</v>
      </c>
      <c r="J210" s="122">
        <f t="shared" si="35"/>
        <v>-2.3851180737073152E-2</v>
      </c>
      <c r="K210" s="122">
        <f t="shared" si="36"/>
        <v>7.8556047609922713E-2</v>
      </c>
      <c r="Y210" s="126">
        <f>IF($Z$1, C210, -0.2)</f>
        <v>-0.2</v>
      </c>
    </row>
    <row r="211" spans="2:25" x14ac:dyDescent="0.3">
      <c r="B211" s="12">
        <v>0.21065601044667814</v>
      </c>
      <c r="C211" s="12">
        <f t="shared" si="28"/>
        <v>1.5518606702503939E-2</v>
      </c>
      <c r="D211" s="126">
        <f t="shared" si="29"/>
        <v>3.9448127899160856E-2</v>
      </c>
      <c r="E211" s="12">
        <f t="shared" si="30"/>
        <v>4.7335997388330456E-2</v>
      </c>
      <c r="F211" s="12">
        <f t="shared" si="31"/>
        <v>4.7300689640988304E-2</v>
      </c>
      <c r="G211" s="122">
        <f t="shared" si="32"/>
        <v>0.20879078250318092</v>
      </c>
      <c r="H211" s="122">
        <f t="shared" si="33"/>
        <v>5.4922613091034411E-2</v>
      </c>
      <c r="I211" s="122">
        <f t="shared" si="34"/>
        <v>0.21252123839017537</v>
      </c>
      <c r="J211" s="122">
        <f t="shared" si="35"/>
        <v>-2.3885399686026529E-2</v>
      </c>
      <c r="K211" s="122">
        <f t="shared" si="36"/>
        <v>7.880801277706094E-2</v>
      </c>
      <c r="Y211" s="126">
        <f>IF($Z$1, C211, -0.2)</f>
        <v>-0.2</v>
      </c>
    </row>
    <row r="212" spans="2:25" x14ac:dyDescent="0.3">
      <c r="B212" s="12">
        <v>0.21259256799011716</v>
      </c>
      <c r="C212" s="12">
        <f t="shared" si="28"/>
        <v>1.560980680343264E-2</v>
      </c>
      <c r="D212" s="126">
        <f t="shared" si="29"/>
        <v>3.9572153305141126E-2</v>
      </c>
      <c r="E212" s="12">
        <f t="shared" si="30"/>
        <v>4.6851858002470707E-2</v>
      </c>
      <c r="F212" s="12">
        <f t="shared" si="31"/>
        <v>4.6817621631082003E-2</v>
      </c>
      <c r="G212" s="122">
        <f t="shared" si="32"/>
        <v>0.2107405706249241</v>
      </c>
      <c r="H212" s="122">
        <f t="shared" si="33"/>
        <v>5.5138599132125279E-2</v>
      </c>
      <c r="I212" s="122">
        <f t="shared" si="34"/>
        <v>0.21444456535531023</v>
      </c>
      <c r="J212" s="122">
        <f t="shared" si="35"/>
        <v>-2.3918985525259995E-2</v>
      </c>
      <c r="K212" s="122">
        <f t="shared" si="36"/>
        <v>7.9057584657385271E-2</v>
      </c>
      <c r="Y212" s="126">
        <f>IF($Z$1, C212, -0.2)</f>
        <v>-0.2</v>
      </c>
    </row>
    <row r="213" spans="2:25" x14ac:dyDescent="0.3">
      <c r="B213" s="12">
        <v>0.21453692810607505</v>
      </c>
      <c r="C213" s="12">
        <f t="shared" si="28"/>
        <v>1.5700431120458602E-2</v>
      </c>
      <c r="D213" s="126">
        <f t="shared" si="29"/>
        <v>3.9694972422052367E-2</v>
      </c>
      <c r="E213" s="12">
        <f t="shared" si="30"/>
        <v>4.6365767973481235E-2</v>
      </c>
      <c r="F213" s="12">
        <f t="shared" si="31"/>
        <v>4.6332585295497331E-2</v>
      </c>
      <c r="G213" s="122">
        <f t="shared" si="32"/>
        <v>0.21269841536711717</v>
      </c>
      <c r="H213" s="122">
        <f t="shared" si="33"/>
        <v>5.5352804397428894E-2</v>
      </c>
      <c r="I213" s="122">
        <f t="shared" si="34"/>
        <v>0.21637544084503293</v>
      </c>
      <c r="J213" s="122">
        <f t="shared" si="35"/>
        <v>-2.3951942156511689E-2</v>
      </c>
      <c r="K213" s="122">
        <f t="shared" si="36"/>
        <v>7.9304746553940583E-2</v>
      </c>
      <c r="Y213" s="126">
        <f>IF($Z$1, C213, -0.2)</f>
        <v>-0.2</v>
      </c>
    </row>
    <row r="214" spans="2:25" x14ac:dyDescent="0.3">
      <c r="B214" s="12">
        <v>0.2164890715275114</v>
      </c>
      <c r="C214" s="12">
        <f t="shared" si="28"/>
        <v>1.5790467391395644E-2</v>
      </c>
      <c r="D214" s="126">
        <f t="shared" si="29"/>
        <v>3.9816577191185656E-2</v>
      </c>
      <c r="E214" s="12">
        <f t="shared" si="30"/>
        <v>4.5877732118122148E-2</v>
      </c>
      <c r="F214" s="12">
        <f t="shared" si="31"/>
        <v>4.5845585403600196E-2</v>
      </c>
      <c r="G214" s="122">
        <f t="shared" si="32"/>
        <v>0.21466429661822817</v>
      </c>
      <c r="H214" s="122">
        <f t="shared" si="33"/>
        <v>5.5565208317668133E-2</v>
      </c>
      <c r="I214" s="122">
        <f t="shared" si="34"/>
        <v>0.21831384643679463</v>
      </c>
      <c r="J214" s="122">
        <f t="shared" si="35"/>
        <v>-2.3984273534876848E-2</v>
      </c>
      <c r="K214" s="122">
        <f t="shared" si="36"/>
        <v>7.9549481852544984E-2</v>
      </c>
      <c r="Y214" s="126">
        <f>IF($Z$1, C214, -0.2)</f>
        <v>-0.2</v>
      </c>
    </row>
    <row r="215" spans="2:25" x14ac:dyDescent="0.3">
      <c r="B215" s="12">
        <v>0.21844897891025949</v>
      </c>
      <c r="C215" s="12">
        <f t="shared" si="28"/>
        <v>1.5879903342659072E-2</v>
      </c>
      <c r="D215" s="126">
        <f t="shared" si="29"/>
        <v>3.993695959741847E-2</v>
      </c>
      <c r="E215" s="12">
        <f t="shared" si="30"/>
        <v>4.5387755272435125E-2</v>
      </c>
      <c r="F215" s="12">
        <f t="shared" si="31"/>
        <v>4.5356626749346297E-2</v>
      </c>
      <c r="G215" s="122">
        <f t="shared" si="32"/>
        <v>0.21663819415419419</v>
      </c>
      <c r="H215" s="122">
        <f t="shared" si="33"/>
        <v>5.5775790354392965E-2</v>
      </c>
      <c r="I215" s="122">
        <f t="shared" si="34"/>
        <v>0.2202597636663248</v>
      </c>
      <c r="J215" s="122">
        <f t="shared" si="35"/>
        <v>-2.4015983669074818E-2</v>
      </c>
      <c r="K215" s="122">
        <f t="shared" si="36"/>
        <v>7.9791774023467779E-2</v>
      </c>
      <c r="Y215" s="126">
        <f>IF($Z$1, C215, -0.2)</f>
        <v>-0.2</v>
      </c>
    </row>
    <row r="216" spans="2:25" x14ac:dyDescent="0.3">
      <c r="B216" s="12">
        <v>0.22041663083321805</v>
      </c>
      <c r="C216" s="12">
        <f t="shared" si="28"/>
        <v>1.5968726689838415E-2</v>
      </c>
      <c r="D216" s="126">
        <f t="shared" si="29"/>
        <v>4.0056111669993323E-2</v>
      </c>
      <c r="E216" s="12">
        <f t="shared" si="30"/>
        <v>4.4895842291695486E-2</v>
      </c>
      <c r="F216" s="12">
        <f t="shared" si="31"/>
        <v>4.4865714151279892E-2</v>
      </c>
      <c r="G216" s="122">
        <f t="shared" si="32"/>
        <v>0.21862008763856716</v>
      </c>
      <c r="H216" s="122">
        <f t="shared" si="33"/>
        <v>5.5984530001389324E-2</v>
      </c>
      <c r="I216" s="122">
        <f t="shared" si="34"/>
        <v>0.22221317402786894</v>
      </c>
      <c r="J216" s="122">
        <f t="shared" si="35"/>
        <v>-2.4047076621712498E-2</v>
      </c>
      <c r="K216" s="122">
        <f t="shared" si="36"/>
        <v>8.0031606623101825E-2</v>
      </c>
      <c r="Y216" s="126">
        <f>IF($Z$1, C216, -0.2)</f>
        <v>-0.2</v>
      </c>
    </row>
    <row r="217" spans="2:25" x14ac:dyDescent="0.3">
      <c r="B217" s="12">
        <v>0.22239200779854373</v>
      </c>
      <c r="C217" s="12">
        <f t="shared" si="28"/>
        <v>1.6056925138270933E-2</v>
      </c>
      <c r="D217" s="126">
        <f t="shared" si="29"/>
        <v>4.0174025483293081E-2</v>
      </c>
      <c r="E217" s="12">
        <f t="shared" si="30"/>
        <v>4.4401998050364065E-2</v>
      </c>
      <c r="F217" s="12">
        <f t="shared" si="31"/>
        <v>4.4372852452532002E-2</v>
      </c>
      <c r="G217" s="122">
        <f t="shared" si="32"/>
        <v>0.22060995662266505</v>
      </c>
      <c r="H217" s="122">
        <f t="shared" si="33"/>
        <v>5.6191406786086334E-2</v>
      </c>
      <c r="I217" s="122">
        <f t="shared" si="34"/>
        <v>0.22417405897442241</v>
      </c>
      <c r="J217" s="122">
        <f t="shared" si="35"/>
        <v>-2.4077556509544466E-2</v>
      </c>
      <c r="K217" s="122">
        <f t="shared" si="36"/>
        <v>8.0268963295630796E-2</v>
      </c>
      <c r="Y217" s="126">
        <f>IF($Z$1, C217, -0.2)</f>
        <v>-0.2</v>
      </c>
    </row>
    <row r="218" spans="2:25" x14ac:dyDescent="0.3">
      <c r="B218" s="12">
        <v>0.22437509023184399</v>
      </c>
      <c r="C218" s="12">
        <f t="shared" si="28"/>
        <v>1.6144486383615878E-2</v>
      </c>
      <c r="D218" s="126">
        <f t="shared" si="29"/>
        <v>4.0290693157612655E-2</v>
      </c>
      <c r="E218" s="12">
        <f t="shared" si="30"/>
        <v>4.3906227442039002E-2</v>
      </c>
      <c r="F218" s="12">
        <f t="shared" si="31"/>
        <v>4.3878046520817948E-2</v>
      </c>
      <c r="G218" s="122">
        <f t="shared" si="32"/>
        <v>0.22260778054572883</v>
      </c>
      <c r="H218" s="122">
        <f t="shared" si="33"/>
        <v>5.6396400270961142E-2</v>
      </c>
      <c r="I218" s="122">
        <f t="shared" si="34"/>
        <v>0.22614239991795915</v>
      </c>
      <c r="J218" s="122">
        <f t="shared" si="35"/>
        <v>-2.4107427503729389E-2</v>
      </c>
      <c r="K218" s="122">
        <f t="shared" si="36"/>
        <v>8.0503827774690534E-2</v>
      </c>
      <c r="Y218" s="126">
        <f>IF($Z$1, C218, -0.2)</f>
        <v>-0.2</v>
      </c>
    </row>
    <row r="219" spans="2:25" x14ac:dyDescent="0.3">
      <c r="B219" s="12">
        <v>0.22636585848237156</v>
      </c>
      <c r="C219" s="12">
        <f t="shared" si="28"/>
        <v>1.6231398112429522E-2</v>
      </c>
      <c r="D219" s="126">
        <f t="shared" si="29"/>
        <v>4.0406106859927238E-2</v>
      </c>
      <c r="E219" s="12">
        <f t="shared" si="30"/>
        <v>4.3408535379407108E-2</v>
      </c>
      <c r="F219" s="12">
        <f t="shared" si="31"/>
        <v>4.3381301248434118E-2</v>
      </c>
      <c r="G219" s="122">
        <f t="shared" si="32"/>
        <v>0.22461353873508585</v>
      </c>
      <c r="H219" s="122">
        <f t="shared" si="33"/>
        <v>5.6599490054941887E-2</v>
      </c>
      <c r="I219" s="122">
        <f t="shared" si="34"/>
        <v>0.22811817822965727</v>
      </c>
      <c r="J219" s="122">
        <f t="shared" si="35"/>
        <v>-2.413669383008284E-2</v>
      </c>
      <c r="K219" s="122">
        <f t="shared" si="36"/>
        <v>8.0736183885024723E-2</v>
      </c>
      <c r="Y219" s="126">
        <f>IF($Z$1, C219, -0.2)</f>
        <v>-0.2</v>
      </c>
    </row>
    <row r="220" spans="2:25" x14ac:dyDescent="0.3">
      <c r="B220" s="12">
        <v>0.22836429282321902</v>
      </c>
      <c r="C220" s="12">
        <f t="shared" si="28"/>
        <v>1.6317648002740787E-2</v>
      </c>
      <c r="D220" s="126">
        <f t="shared" si="29"/>
        <v>4.0520258804656879E-2</v>
      </c>
      <c r="E220" s="12">
        <f t="shared" si="30"/>
        <v>4.2908926794195244E-2</v>
      </c>
      <c r="F220" s="12">
        <f t="shared" si="31"/>
        <v>4.2882621552254196E-2</v>
      </c>
      <c r="G220" s="122">
        <f t="shared" si="32"/>
        <v>0.22662721040631853</v>
      </c>
      <c r="H220" s="122">
        <f t="shared" si="33"/>
        <v>5.6800655774808181E-2</v>
      </c>
      <c r="I220" s="122">
        <f t="shared" si="34"/>
        <v>0.2301013752401195</v>
      </c>
      <c r="J220" s="122">
        <f t="shared" si="35"/>
        <v>-2.4165359769326603E-2</v>
      </c>
      <c r="K220" s="122">
        <f t="shared" si="36"/>
        <v>8.0966015544134781E-2</v>
      </c>
      <c r="Y220" s="126">
        <f>IF($Z$1, C220, -0.2)</f>
        <v>-0.2</v>
      </c>
    </row>
    <row r="221" spans="2:25" x14ac:dyDescent="0.3">
      <c r="B221" s="12">
        <v>0.2303703734515139</v>
      </c>
      <c r="C221" s="12">
        <f t="shared" si="28"/>
        <v>1.6403223724627641E-2</v>
      </c>
      <c r="D221" s="126">
        <f t="shared" si="29"/>
        <v>4.0633141254427359E-2</v>
      </c>
      <c r="E221" s="12">
        <f t="shared" si="30"/>
        <v>4.2407406637121524E-2</v>
      </c>
      <c r="F221" s="12">
        <f t="shared" si="31"/>
        <v>4.2382012373724735E-2</v>
      </c>
      <c r="G221" s="122">
        <f t="shared" si="32"/>
        <v>0.22864877466343878</v>
      </c>
      <c r="H221" s="122">
        <f t="shared" si="33"/>
        <v>5.6999877106589367E-2</v>
      </c>
      <c r="I221" s="122">
        <f t="shared" si="34"/>
        <v>0.23209197223958902</v>
      </c>
      <c r="J221" s="122">
        <f t="shared" si="35"/>
        <v>-2.4193429657334089E-2</v>
      </c>
      <c r="K221" s="122">
        <f t="shared" si="36"/>
        <v>8.1193306763923459E-2</v>
      </c>
      <c r="Y221" s="126">
        <f>IF($Z$1, C221, -0.2)</f>
        <v>-0.2</v>
      </c>
    </row>
    <row r="222" spans="2:25" x14ac:dyDescent="0.3">
      <c r="B222" s="12">
        <v>0.23238408048861525</v>
      </c>
      <c r="C222" s="12">
        <f t="shared" si="28"/>
        <v>1.6488112940794122E-2</v>
      </c>
      <c r="D222" s="126">
        <f t="shared" si="29"/>
        <v>4.0744746520827262E-2</v>
      </c>
      <c r="E222" s="12">
        <f t="shared" si="30"/>
        <v>4.1903979877846186E-2</v>
      </c>
      <c r="F222" s="12">
        <f t="shared" si="31"/>
        <v>4.1879478678859959E-2</v>
      </c>
      <c r="G222" s="122">
        <f t="shared" si="32"/>
        <v>0.23067821049906875</v>
      </c>
      <c r="H222" s="122">
        <f t="shared" si="33"/>
        <v>5.7197133766960284E-2</v>
      </c>
      <c r="I222" s="122">
        <f t="shared" si="34"/>
        <v>0.23408995047816175</v>
      </c>
      <c r="J222" s="122">
        <f t="shared" si="35"/>
        <v>-2.4220907885372039E-2</v>
      </c>
      <c r="K222" s="122">
        <f t="shared" si="36"/>
        <v>8.1418041652332324E-2</v>
      </c>
      <c r="Y222" s="126">
        <f>IF($Z$1, C222, -0.2)</f>
        <v>-0.2</v>
      </c>
    </row>
    <row r="223" spans="2:25" x14ac:dyDescent="0.3">
      <c r="B223" s="12">
        <v>0.23440539398031057</v>
      </c>
      <c r="C223" s="12">
        <f t="shared" si="28"/>
        <v>1.6572303307147977E-2</v>
      </c>
      <c r="D223" s="126">
        <f t="shared" si="29"/>
        <v>4.085506696516128E-2</v>
      </c>
      <c r="E223" s="12">
        <f t="shared" si="30"/>
        <v>4.1398651504922356E-2</v>
      </c>
      <c r="F223" s="12">
        <f t="shared" si="31"/>
        <v>4.137502545823589E-2</v>
      </c>
      <c r="G223" s="122">
        <f t="shared" si="32"/>
        <v>0.23271549679462752</v>
      </c>
      <c r="H223" s="122">
        <f t="shared" si="33"/>
        <v>5.7392405514634336E-2</v>
      </c>
      <c r="I223" s="122">
        <f t="shared" si="34"/>
        <v>0.23609529116599362</v>
      </c>
      <c r="J223" s="122">
        <f t="shared" si="35"/>
        <v>-2.4247798900338381E-2</v>
      </c>
      <c r="K223" s="122">
        <f t="shared" si="36"/>
        <v>8.1640204414972717E-2</v>
      </c>
      <c r="Y223" s="126">
        <f>IF($Z$1, C223, -0.2)</f>
        <v>-0.2</v>
      </c>
    </row>
    <row r="224" spans="2:25" x14ac:dyDescent="0.3">
      <c r="B224" s="12">
        <v>0.23643429389701376</v>
      </c>
      <c r="C224" s="12">
        <f t="shared" si="28"/>
        <v>1.6655782473378938E-2</v>
      </c>
      <c r="D224" s="126">
        <f t="shared" si="29"/>
        <v>4.0964094999199605E-2</v>
      </c>
      <c r="E224" s="12">
        <f t="shared" si="30"/>
        <v>4.0891426525746559E-2</v>
      </c>
      <c r="F224" s="12">
        <f t="shared" si="31"/>
        <v>4.0868657726983781E-2</v>
      </c>
      <c r="G224" s="122">
        <f t="shared" si="32"/>
        <v>0.23476061232052356</v>
      </c>
      <c r="H224" s="122">
        <f t="shared" si="33"/>
        <v>5.7585672151754169E-2</v>
      </c>
      <c r="I224" s="122">
        <f t="shared" si="34"/>
        <v>0.23810797547350396</v>
      </c>
      <c r="J224" s="122">
        <f t="shared" si="35"/>
        <v>-2.4274107204996297E-2</v>
      </c>
      <c r="K224" s="122">
        <f t="shared" si="36"/>
        <v>8.185977935675047E-2</v>
      </c>
      <c r="Y224" s="126">
        <f>IF($Z$1, C224, -0.2)</f>
        <v>-0.2</v>
      </c>
    </row>
    <row r="225" spans="2:25" x14ac:dyDescent="0.3">
      <c r="B225" s="12">
        <v>0.23847076013396296</v>
      </c>
      <c r="C225" s="12">
        <f t="shared" si="28"/>
        <v>1.6738538083537532E-2</v>
      </c>
      <c r="D225" s="126">
        <f t="shared" si="29"/>
        <v>4.1071823085923276E-2</v>
      </c>
      <c r="E225" s="12">
        <f t="shared" si="30"/>
        <v>4.038230996650926E-2</v>
      </c>
      <c r="F225" s="12">
        <f t="shared" si="31"/>
        <v>4.0360380524783024E-2</v>
      </c>
      <c r="G225" s="122">
        <f t="shared" si="32"/>
        <v>0.23681353573635255</v>
      </c>
      <c r="H225" s="122">
        <f t="shared" si="33"/>
        <v>5.7776913525279194E-2</v>
      </c>
      <c r="I225" s="122">
        <f t="shared" si="34"/>
        <v>0.24012798453157336</v>
      </c>
      <c r="J225" s="122">
        <f t="shared" si="35"/>
        <v>-2.4299837358204127E-2</v>
      </c>
      <c r="K225" s="122">
        <f t="shared" si="36"/>
        <v>8.2076750883483318E-2</v>
      </c>
      <c r="Y225" s="126">
        <f>IF($Z$1, C225, -0.2)</f>
        <v>-0.2</v>
      </c>
    </row>
    <row r="226" spans="2:25" x14ac:dyDescent="0.3">
      <c r="B226" s="12">
        <v>0.24051477251142062</v>
      </c>
      <c r="C226" s="12">
        <f t="shared" si="28"/>
        <v>1.6820557776614509E-2</v>
      </c>
      <c r="D226" s="126">
        <f t="shared" si="29"/>
        <v>4.1178243740265567E-2</v>
      </c>
      <c r="E226" s="12">
        <f t="shared" si="30"/>
        <v>3.9871306872144845E-2</v>
      </c>
      <c r="F226" s="12">
        <f t="shared" si="31"/>
        <v>3.9850198915853022E-2</v>
      </c>
      <c r="G226" s="122">
        <f t="shared" si="32"/>
        <v>0.23887424559110262</v>
      </c>
      <c r="H226" s="122">
        <f t="shared" si="33"/>
        <v>5.7966109528370523E-2</v>
      </c>
      <c r="I226" s="122">
        <f t="shared" si="34"/>
        <v>0.24215529943173861</v>
      </c>
      <c r="J226" s="122">
        <f t="shared" si="35"/>
        <v>-2.4324993975141505E-2</v>
      </c>
      <c r="K226" s="122">
        <f t="shared" si="36"/>
        <v>8.2291103503512028E-2</v>
      </c>
      <c r="Y226" s="126">
        <f>IF($Z$1, C226, -0.2)</f>
        <v>-0.2</v>
      </c>
    </row>
    <row r="227" spans="2:25" x14ac:dyDescent="0.3">
      <c r="B227" s="12">
        <v>0.24256631077487267</v>
      </c>
      <c r="C227" s="12">
        <f t="shared" si="28"/>
        <v>1.690182918712075E-2</v>
      </c>
      <c r="D227" s="126">
        <f t="shared" si="29"/>
        <v>4.1283349529849314E-2</v>
      </c>
      <c r="E227" s="12">
        <f t="shared" si="30"/>
        <v>3.935842230628183E-2</v>
      </c>
      <c r="F227" s="12">
        <f t="shared" si="31"/>
        <v>3.9338117988944717E-2</v>
      </c>
      <c r="G227" s="122">
        <f t="shared" si="32"/>
        <v>0.24094272032336383</v>
      </c>
      <c r="H227" s="122">
        <f t="shared" si="33"/>
        <v>5.8153240101772856E-2</v>
      </c>
      <c r="I227" s="122">
        <f t="shared" si="34"/>
        <v>0.24418990122638151</v>
      </c>
      <c r="J227" s="122">
        <f t="shared" si="35"/>
        <v>-2.4349581727531357E-2</v>
      </c>
      <c r="K227" s="122">
        <f t="shared" si="36"/>
        <v>8.2502821829304213E-2</v>
      </c>
      <c r="Y227" s="126">
        <f>IF($Z$1, C227, -0.2)</f>
        <v>-0.2</v>
      </c>
    </row>
    <row r="228" spans="2:25" x14ac:dyDescent="0.3">
      <c r="B228" s="12">
        <v>0.24462535459522983</v>
      </c>
      <c r="C228" s="12">
        <f t="shared" si="28"/>
        <v>1.6982339945667738E-2</v>
      </c>
      <c r="D228" s="126">
        <f t="shared" si="29"/>
        <v>4.1387133075719978E-2</v>
      </c>
      <c r="E228" s="12">
        <f t="shared" si="30"/>
        <v>3.8843661351192542E-2</v>
      </c>
      <c r="F228" s="12">
        <f t="shared" si="31"/>
        <v>3.8824142857331094E-2</v>
      </c>
      <c r="G228" s="122">
        <f t="shared" si="32"/>
        <v>0.24301893826154505</v>
      </c>
      <c r="H228" s="122">
        <f t="shared" si="33"/>
        <v>5.8338285235193223E-2</v>
      </c>
      <c r="I228" s="122">
        <f t="shared" si="34"/>
        <v>0.2462317709289146</v>
      </c>
      <c r="J228" s="122">
        <f t="shared" si="35"/>
        <v>-2.4373605343857747E-2</v>
      </c>
      <c r="K228" s="122">
        <f t="shared" si="36"/>
        <v>8.271189057905097E-2</v>
      </c>
      <c r="Y228" s="126">
        <f>IF($Z$1, C228, -0.2)</f>
        <v>-0.2</v>
      </c>
    </row>
    <row r="229" spans="2:25" x14ac:dyDescent="0.3">
      <c r="B229" s="12">
        <v>0.24669188356902849</v>
      </c>
      <c r="C229" s="12">
        <f t="shared" si="28"/>
        <v>1.7062077679548458E-2</v>
      </c>
      <c r="D229" s="126">
        <f t="shared" si="29"/>
        <v>4.1489587053074484E-2</v>
      </c>
      <c r="E229" s="12">
        <f t="shared" si="30"/>
        <v>3.8327029107742876E-2</v>
      </c>
      <c r="F229" s="12">
        <f t="shared" si="31"/>
        <v>3.8308278658797219E-2</v>
      </c>
      <c r="G229" s="122">
        <f t="shared" si="32"/>
        <v>0.24510287762409588</v>
      </c>
      <c r="H229" s="122">
        <f t="shared" si="33"/>
        <v>5.8521224968676525E-2</v>
      </c>
      <c r="I229" s="122">
        <f t="shared" si="34"/>
        <v>0.2482808895139611</v>
      </c>
      <c r="J229" s="122">
        <f t="shared" si="35"/>
        <v>-2.4397069609579606E-2</v>
      </c>
      <c r="K229" s="122">
        <f t="shared" si="36"/>
        <v>8.2918294578256127E-2</v>
      </c>
      <c r="Y229" s="126">
        <f>IF($Z$1, C229, -0.2)</f>
        <v>-0.2</v>
      </c>
    </row>
    <row r="230" spans="2:25" x14ac:dyDescent="0.3">
      <c r="B230" s="12">
        <v>0.24876587721863352</v>
      </c>
      <c r="C230" s="12">
        <f t="shared" si="28"/>
        <v>1.7141030013318816E-2</v>
      </c>
      <c r="D230" s="126">
        <f t="shared" si="29"/>
        <v>4.1590704191985899E-2</v>
      </c>
      <c r="E230" s="12">
        <f t="shared" si="30"/>
        <v>3.7808530695341618E-2</v>
      </c>
      <c r="F230" s="12">
        <f t="shared" si="31"/>
        <v>3.7790530555629274E-2</v>
      </c>
      <c r="G230" s="122">
        <f t="shared" si="32"/>
        <v>0.24719451651973551</v>
      </c>
      <c r="H230" s="122">
        <f t="shared" si="33"/>
        <v>5.870203939397789E-2</v>
      </c>
      <c r="I230" s="122">
        <f t="shared" si="34"/>
        <v>0.25033723791753154</v>
      </c>
      <c r="J230" s="122">
        <f t="shared" si="35"/>
        <v>-2.441997936734026E-2</v>
      </c>
      <c r="K230" s="122">
        <f t="shared" si="36"/>
        <v>8.3122018761318153E-2</v>
      </c>
      <c r="Y230" s="126">
        <f>IF($Z$1, C230, -0.2)</f>
        <v>-0.2</v>
      </c>
    </row>
    <row r="231" spans="2:25" x14ac:dyDescent="0.3">
      <c r="B231" s="12">
        <v>0.25084731499244084</v>
      </c>
      <c r="C231" s="12">
        <f t="shared" si="28"/>
        <v>1.7219184569379476E-2</v>
      </c>
      <c r="D231" s="126">
        <f t="shared" si="29"/>
        <v>4.1690477278123562E-2</v>
      </c>
      <c r="E231" s="12">
        <f t="shared" si="30"/>
        <v>3.7288171251889789E-2</v>
      </c>
      <c r="F231" s="12">
        <f t="shared" si="31"/>
        <v>3.7270903734603095E-2</v>
      </c>
      <c r="G231" s="122">
        <f t="shared" si="32"/>
        <v>0.24929383294768676</v>
      </c>
      <c r="H231" s="122">
        <f t="shared" si="33"/>
        <v>5.8880708655931605E-2</v>
      </c>
      <c r="I231" s="122">
        <f t="shared" si="34"/>
        <v>0.25240079703719492</v>
      </c>
      <c r="J231" s="122">
        <f t="shared" si="35"/>
        <v>-2.4442339517172656E-2</v>
      </c>
      <c r="K231" s="122">
        <f t="shared" si="36"/>
        <v>8.3323048173104264E-2</v>
      </c>
      <c r="Y231" s="126">
        <f>IF($Z$1, C231, -0.2)</f>
        <v>-0.2</v>
      </c>
    </row>
    <row r="232" spans="2:25" x14ac:dyDescent="0.3">
      <c r="B232" s="12">
        <v>0.25293617626508091</v>
      </c>
      <c r="C232" s="12">
        <f t="shared" si="28"/>
        <v>1.7296528968558079E-2</v>
      </c>
      <c r="D232" s="126">
        <f t="shared" si="29"/>
        <v>4.1788899153468971E-2</v>
      </c>
      <c r="E232" s="12">
        <f t="shared" si="30"/>
        <v>3.676595593372977E-2</v>
      </c>
      <c r="F232" s="12">
        <f t="shared" si="31"/>
        <v>3.6749403406971914E-2</v>
      </c>
      <c r="G232" s="122">
        <f t="shared" si="32"/>
        <v>0.25140080479791649</v>
      </c>
      <c r="H232" s="122">
        <f t="shared" si="33"/>
        <v>5.9057212953816475E-2</v>
      </c>
      <c r="I232" s="122">
        <f t="shared" si="34"/>
        <v>0.25447154773224534</v>
      </c>
      <c r="J232" s="122">
        <f t="shared" si="35"/>
        <v>-2.4464155016700316E-2</v>
      </c>
      <c r="K232" s="122">
        <f t="shared" si="36"/>
        <v>8.3521367970516791E-2</v>
      </c>
      <c r="Y232" s="126">
        <f>IF($Z$1, C232, -0.2)</f>
        <v>-0.2</v>
      </c>
    </row>
    <row r="233" spans="2:25" x14ac:dyDescent="0.3">
      <c r="B233" s="12">
        <v>0.25503244033762351</v>
      </c>
      <c r="C233" s="12">
        <f t="shared" si="28"/>
        <v>1.7373050830691912E-2</v>
      </c>
      <c r="D233" s="126">
        <f t="shared" si="29"/>
        <v>4.188596271702702E-2</v>
      </c>
      <c r="E233" s="12">
        <f t="shared" si="30"/>
        <v>3.6241889915594121E-2</v>
      </c>
      <c r="F233" s="12">
        <f t="shared" si="31"/>
        <v>3.6226034808453218E-2</v>
      </c>
      <c r="G233" s="122">
        <f t="shared" si="32"/>
        <v>0.25351540985138238</v>
      </c>
      <c r="H233" s="122">
        <f t="shared" si="33"/>
        <v>5.9231532542717638E-2</v>
      </c>
      <c r="I233" s="122">
        <f t="shared" si="34"/>
        <v>0.25654947082386464</v>
      </c>
      <c r="J233" s="122">
        <f t="shared" si="35"/>
        <v>-2.4485430881333814E-2</v>
      </c>
      <c r="K233" s="122">
        <f t="shared" si="36"/>
        <v>8.3716963424051452E-2</v>
      </c>
      <c r="Y233" s="126">
        <f>IF($Z$1, C233, -0.2)</f>
        <v>-0.2</v>
      </c>
    </row>
    <row r="234" spans="2:25" x14ac:dyDescent="0.3">
      <c r="B234" s="12">
        <v>0.25713608643778241</v>
      </c>
      <c r="C234" s="12">
        <f t="shared" si="28"/>
        <v>1.7448737775210898E-2</v>
      </c>
      <c r="D234" s="126">
        <f t="shared" si="29"/>
        <v>4.1981660925532786E-2</v>
      </c>
      <c r="E234" s="12">
        <f t="shared" si="30"/>
        <v>3.5715978390554397E-2</v>
      </c>
      <c r="F234" s="12">
        <f t="shared" si="31"/>
        <v>3.5700803199215085E-2</v>
      </c>
      <c r="G234" s="122">
        <f t="shared" si="32"/>
        <v>0.25563762578028504</v>
      </c>
      <c r="H234" s="122">
        <f t="shared" si="33"/>
        <v>5.940364773488474E-2</v>
      </c>
      <c r="I234" s="122">
        <f t="shared" si="34"/>
        <v>0.25863454709527978</v>
      </c>
      <c r="J234" s="122">
        <f t="shared" si="35"/>
        <v>-2.4506172184462941E-2</v>
      </c>
      <c r="K234" s="122">
        <f t="shared" si="36"/>
        <v>8.3909819919347678E-2</v>
      </c>
      <c r="Y234" s="126">
        <f>IF($Z$1, C234, -0.2)</f>
        <v>-0.2</v>
      </c>
    </row>
    <row r="235" spans="2:25" x14ac:dyDescent="0.3">
      <c r="B235" s="12">
        <v>0.25924709372012167</v>
      </c>
      <c r="C235" s="12">
        <f t="shared" si="28"/>
        <v>1.7523577421720973E-2</v>
      </c>
      <c r="D235" s="126">
        <f t="shared" si="29"/>
        <v>4.2075986794153718E-2</v>
      </c>
      <c r="E235" s="12">
        <f t="shared" si="30"/>
        <v>3.5188226569969581E-2</v>
      </c>
      <c r="F235" s="12">
        <f t="shared" si="31"/>
        <v>3.5173713863861485E-2</v>
      </c>
      <c r="G235" s="122">
        <f t="shared" si="32"/>
        <v>0.25776743014832726</v>
      </c>
      <c r="H235" s="122">
        <f t="shared" si="33"/>
        <v>5.9573538901086243E-2</v>
      </c>
      <c r="I235" s="122">
        <f t="shared" si="34"/>
        <v>0.26072675729191608</v>
      </c>
      <c r="J235" s="122">
        <f t="shared" si="35"/>
        <v>-2.4526384057644294E-2</v>
      </c>
      <c r="K235" s="122">
        <f t="shared" si="36"/>
        <v>8.4099922958730533E-2</v>
      </c>
      <c r="Y235" s="126">
        <f>IF($Z$1, C235, -0.2)</f>
        <v>-0.2</v>
      </c>
    </row>
    <row r="236" spans="2:25" x14ac:dyDescent="0.3">
      <c r="B236" s="12">
        <v>0.26136544126626193</v>
      </c>
      <c r="C236" s="12">
        <f t="shared" si="28"/>
        <v>1.7597557390587711E-2</v>
      </c>
      <c r="D236" s="126">
        <f t="shared" si="29"/>
        <v>4.2168933397187046E-2</v>
      </c>
      <c r="E236" s="12">
        <f t="shared" si="30"/>
        <v>3.4658639683434515E-2</v>
      </c>
      <c r="F236" s="12">
        <f t="shared" si="31"/>
        <v>3.464477211141706E-2</v>
      </c>
      <c r="G236" s="122">
        <f t="shared" si="32"/>
        <v>0.25990480041097835</v>
      </c>
      <c r="H236" s="122">
        <f t="shared" si="33"/>
        <v>5.974118647195982E-2</v>
      </c>
      <c r="I236" s="122">
        <f t="shared" si="34"/>
        <v>0.26282608212154551</v>
      </c>
      <c r="J236" s="122">
        <f t="shared" si="35"/>
        <v>-2.4546071690784401E-2</v>
      </c>
      <c r="K236" s="122">
        <f t="shared" si="36"/>
        <v>8.4287258162744225E-2</v>
      </c>
      <c r="Y236" s="126">
        <f>IF($Z$1, C236, -0.2)</f>
        <v>-0.2</v>
      </c>
    </row>
    <row r="237" spans="2:25" x14ac:dyDescent="0.3">
      <c r="B237" s="12">
        <v>0.26349110808508769</v>
      </c>
      <c r="C237" s="12">
        <f t="shared" si="28"/>
        <v>1.7670665303520346E-2</v>
      </c>
      <c r="D237" s="126">
        <f t="shared" si="29"/>
        <v>4.2260493868752559E-2</v>
      </c>
      <c r="E237" s="12">
        <f t="shared" si="30"/>
        <v>3.4127222978728076E-2</v>
      </c>
      <c r="F237" s="12">
        <f t="shared" si="31"/>
        <v>3.4113983275311024E-2</v>
      </c>
      <c r="G237" s="122">
        <f t="shared" si="32"/>
        <v>0.26204971391574489</v>
      </c>
      <c r="H237" s="122">
        <f t="shared" si="33"/>
        <v>5.9906570939358875E-2</v>
      </c>
      <c r="I237" s="122">
        <f t="shared" si="34"/>
        <v>0.26493250225443049</v>
      </c>
      <c r="J237" s="122">
        <f t="shared" si="35"/>
        <v>-2.4565240332318185E-2</v>
      </c>
      <c r="K237" s="122">
        <f t="shared" si="36"/>
        <v>8.4471811271677064E-2</v>
      </c>
      <c r="Y237" s="126">
        <f>IF($Z$1, C237, -0.2)</f>
        <v>-0.2</v>
      </c>
    </row>
    <row r="238" spans="2:25" x14ac:dyDescent="0.3">
      <c r="B238" s="12">
        <v>0.26562407311295533</v>
      </c>
      <c r="C238" s="12">
        <f t="shared" si="28"/>
        <v>1.774288878415595E-2</v>
      </c>
      <c r="D238" s="126">
        <f t="shared" si="29"/>
        <v>4.2350661403480525E-2</v>
      </c>
      <c r="E238" s="12">
        <f t="shared" si="30"/>
        <v>3.3593981721761167E-2</v>
      </c>
      <c r="F238" s="12">
        <f t="shared" si="31"/>
        <v>3.3581352713360289E-2</v>
      </c>
      <c r="G238" s="122">
        <f t="shared" si="32"/>
        <v>0.26420214790244795</v>
      </c>
      <c r="H238" s="122">
        <f t="shared" si="33"/>
        <v>6.0069672857694753E-2</v>
      </c>
      <c r="I238" s="122">
        <f t="shared" si="34"/>
        <v>0.26704599832346271</v>
      </c>
      <c r="J238" s="122">
        <f t="shared" si="35"/>
        <v>-2.4583895289382856E-2</v>
      </c>
      <c r="K238" s="122">
        <f t="shared" si="36"/>
        <v>8.4653568147077612E-2</v>
      </c>
      <c r="Y238" s="126">
        <f>IF($Z$1, C238, -0.2)</f>
        <v>-0.2</v>
      </c>
    </row>
    <row r="239" spans="2:25" x14ac:dyDescent="0.3">
      <c r="B239" s="12">
        <v>0.26776431521390176</v>
      </c>
      <c r="C239" s="12">
        <f t="shared" si="28"/>
        <v>1.7814215458643954E-2</v>
      </c>
      <c r="D239" s="126">
        <f t="shared" si="29"/>
        <v>4.243942925719478E-2</v>
      </c>
      <c r="E239" s="12">
        <f t="shared" si="30"/>
        <v>3.3058921196524559E-2</v>
      </c>
      <c r="F239" s="12">
        <f t="shared" si="31"/>
        <v>3.304688580775185E-2</v>
      </c>
      <c r="G239" s="122">
        <f t="shared" si="32"/>
        <v>0.2663620795035056</v>
      </c>
      <c r="H239" s="122">
        <f t="shared" si="33"/>
        <v>6.0230472845274968E-2</v>
      </c>
      <c r="I239" s="122">
        <f t="shared" si="34"/>
        <v>0.26916655092429792</v>
      </c>
      <c r="J239" s="122">
        <f t="shared" si="35"/>
        <v>-2.4602041927987064E-2</v>
      </c>
      <c r="K239" s="122">
        <f t="shared" si="36"/>
        <v>8.4832514773262035E-2</v>
      </c>
      <c r="Y239" s="126">
        <f>IF($Z$1, C239, -0.2)</f>
        <v>-0.2</v>
      </c>
    </row>
    <row r="240" spans="2:25" x14ac:dyDescent="0.3">
      <c r="B240" s="12">
        <v>0.26991181317985435</v>
      </c>
      <c r="C240" s="12">
        <f t="shared" si="28"/>
        <v>1.7884632956230859E-2</v>
      </c>
      <c r="D240" s="126">
        <f t="shared" si="29"/>
        <v>4.2526790747590866E-2</v>
      </c>
      <c r="E240" s="12">
        <f t="shared" si="30"/>
        <v>3.252204670503641E-2</v>
      </c>
      <c r="F240" s="12">
        <f t="shared" si="31"/>
        <v>3.2510587965024214E-2</v>
      </c>
      <c r="G240" s="122">
        <f t="shared" si="32"/>
        <v>0.26852948574422308</v>
      </c>
      <c r="H240" s="122">
        <f t="shared" si="33"/>
        <v>6.0388951585636994E-2</v>
      </c>
      <c r="I240" s="122">
        <f t="shared" si="34"/>
        <v>0.27129414061548562</v>
      </c>
      <c r="J240" s="122">
        <f t="shared" si="35"/>
        <v>-2.4619685673175271E-2</v>
      </c>
      <c r="K240" s="122">
        <f t="shared" si="36"/>
        <v>8.5008637258812261E-2</v>
      </c>
      <c r="Y240" s="126">
        <f>IF($Z$1, C240, -0.2)</f>
        <v>-0.2</v>
      </c>
    </row>
    <row r="241" spans="2:25" x14ac:dyDescent="0.3">
      <c r="B241" s="12">
        <v>0.27206654573084033</v>
      </c>
      <c r="C241" s="12">
        <f t="shared" si="28"/>
        <v>1.7954128909845105E-2</v>
      </c>
      <c r="D241" s="126">
        <f t="shared" si="29"/>
        <v>4.2612739254909202E-2</v>
      </c>
      <c r="E241" s="12">
        <f t="shared" si="30"/>
        <v>3.1983363567289917E-2</v>
      </c>
      <c r="F241" s="12">
        <f t="shared" si="31"/>
        <v>3.1972464616048364E-2</v>
      </c>
      <c r="G241" s="122">
        <f t="shared" si="32"/>
        <v>0.27070434354308665</v>
      </c>
      <c r="H241" s="122">
        <f t="shared" si="33"/>
        <v>6.0545089828877671E-2</v>
      </c>
      <c r="I241" s="122">
        <f t="shared" si="34"/>
        <v>0.27342874791859401</v>
      </c>
      <c r="J241" s="122">
        <f t="shared" si="35"/>
        <v>-2.4636832009187457E-2</v>
      </c>
      <c r="K241" s="122">
        <f t="shared" si="36"/>
        <v>8.5181921838065125E-2</v>
      </c>
      <c r="Y241" s="126">
        <f>IF($Z$1, C241, -0.2)</f>
        <v>-0.2</v>
      </c>
    </row>
    <row r="242" spans="2:25" x14ac:dyDescent="0.3">
      <c r="B242" s="12">
        <v>0.27422849151519824</v>
      </c>
      <c r="C242" s="12">
        <f t="shared" si="28"/>
        <v>1.8022690956682175E-2</v>
      </c>
      <c r="D242" s="126">
        <f t="shared" si="29"/>
        <v>4.2697268222603224E-2</v>
      </c>
      <c r="E242" s="12">
        <f t="shared" si="30"/>
        <v>3.144287712120044E-2</v>
      </c>
      <c r="F242" s="12">
        <f t="shared" si="31"/>
        <v>3.1432521216007578E-2</v>
      </c>
      <c r="G242" s="122">
        <f t="shared" si="32"/>
        <v>0.27288662971206623</v>
      </c>
      <c r="H242" s="122">
        <f t="shared" si="33"/>
        <v>6.0698868392978167E-2</v>
      </c>
      <c r="I242" s="122">
        <f t="shared" si="34"/>
        <v>0.27557035331833024</v>
      </c>
      <c r="J242" s="122">
        <f t="shared" si="35"/>
        <v>-2.4653486479613813E-2</v>
      </c>
      <c r="K242" s="122">
        <f t="shared" si="36"/>
        <v>8.5352354872591976E-2</v>
      </c>
      <c r="Y242" s="126">
        <f>IF($Z$1, C242, -0.2)</f>
        <v>-0.2</v>
      </c>
    </row>
    <row r="243" spans="2:25" x14ac:dyDescent="0.3">
      <c r="B243" s="12">
        <v>0.27639762910978904</v>
      </c>
      <c r="C243" s="12">
        <f t="shared" si="28"/>
        <v>1.8090306738789839E-2</v>
      </c>
      <c r="D243" s="126">
        <f t="shared" si="29"/>
        <v>4.2780371158002428E-2</v>
      </c>
      <c r="E243" s="12">
        <f t="shared" si="30"/>
        <v>3.0900592722552737E-2</v>
      </c>
      <c r="F243" s="12">
        <f t="shared" si="31"/>
        <v>3.0890763244376705E-2</v>
      </c>
      <c r="G243" s="122">
        <f t="shared" si="32"/>
        <v>0.2750763209569218</v>
      </c>
      <c r="H243" s="122">
        <f t="shared" si="33"/>
        <v>6.0850268165124316E-2</v>
      </c>
      <c r="I243" s="122">
        <f t="shared" si="34"/>
        <v>0.27771893726265628</v>
      </c>
      <c r="J243" s="122">
        <f t="shared" si="35"/>
        <v>-2.4669654687544642E-2</v>
      </c>
      <c r="K243" s="122">
        <f t="shared" si="36"/>
        <v>8.5519922852668961E-2</v>
      </c>
      <c r="Y243" s="126">
        <f>IF($Z$1, C243, -0.2)</f>
        <v>-0.2</v>
      </c>
    </row>
    <row r="244" spans="2:25" x14ac:dyDescent="0.3">
      <c r="B244" s="12">
        <v>0.27857393702020894</v>
      </c>
      <c r="C244" s="12">
        <f t="shared" si="28"/>
        <v>1.8156963903653473E-2</v>
      </c>
      <c r="D244" s="126">
        <f t="shared" si="29"/>
        <v>4.2862041632970208E-2</v>
      </c>
      <c r="E244" s="12">
        <f t="shared" si="30"/>
        <v>3.0356515744947764E-2</v>
      </c>
      <c r="F244" s="12">
        <f t="shared" si="31"/>
        <v>3.0347196204900409E-2</v>
      </c>
      <c r="G244" s="122">
        <f t="shared" si="32"/>
        <v>0.27727339387751793</v>
      </c>
      <c r="H244" s="122">
        <f t="shared" si="33"/>
        <v>6.0999270103022238E-2</v>
      </c>
      <c r="I244" s="122">
        <f t="shared" si="34"/>
        <v>0.27987448016289995</v>
      </c>
      <c r="J244" s="122">
        <f t="shared" si="35"/>
        <v>-2.4685342295715288E-2</v>
      </c>
      <c r="K244" s="122">
        <f t="shared" si="36"/>
        <v>8.5684612398737522E-2</v>
      </c>
      <c r="Y244" s="126">
        <f>IF($Z$1, C244, -0.2)</f>
        <v>-0.2</v>
      </c>
    </row>
    <row r="245" spans="2:25" x14ac:dyDescent="0.3">
      <c r="B245" s="12">
        <v>0.28075739368100194</v>
      </c>
      <c r="C245" s="12">
        <f t="shared" si="28"/>
        <v>1.8222650104781555E-2</v>
      </c>
      <c r="D245" s="126">
        <f t="shared" si="29"/>
        <v>4.2942273284556493E-2</v>
      </c>
      <c r="E245" s="12">
        <f t="shared" si="30"/>
        <v>2.9810651579749513E-2</v>
      </c>
      <c r="F245" s="12">
        <f t="shared" si="31"/>
        <v>2.980182562557078E-2</v>
      </c>
      <c r="G245" s="122">
        <f t="shared" si="32"/>
        <v>0.27947782496814283</v>
      </c>
      <c r="H245" s="122">
        <f t="shared" si="33"/>
        <v>6.1145855236209079E-2</v>
      </c>
      <c r="I245" s="122">
        <f t="shared" si="34"/>
        <v>0.28203696239386106</v>
      </c>
      <c r="J245" s="122">
        <f t="shared" si="35"/>
        <v>-2.4700555026645973E-2</v>
      </c>
      <c r="K245" s="122">
        <f t="shared" si="36"/>
        <v>8.5846410262855055E-2</v>
      </c>
      <c r="Y245" s="126">
        <f>IF($Z$1, C245, -0.2)</f>
        <v>-0.2</v>
      </c>
    </row>
    <row r="246" spans="2:25" x14ac:dyDescent="0.3">
      <c r="B246" s="12">
        <v>0.28294797745587386</v>
      </c>
      <c r="C246" s="12">
        <f t="shared" si="28"/>
        <v>1.828735300229117E-2</v>
      </c>
      <c r="D246" s="126">
        <f t="shared" si="29"/>
        <v>4.3021059815645191E-2</v>
      </c>
      <c r="E246" s="12">
        <f t="shared" si="30"/>
        <v>2.9263005636031535E-2</v>
      </c>
      <c r="F246" s="12">
        <f t="shared" si="31"/>
        <v>2.9254657058604E-2</v>
      </c>
      <c r="G246" s="122">
        <f t="shared" si="32"/>
        <v>0.28168959061783466</v>
      </c>
      <c r="H246" s="122">
        <f t="shared" si="33"/>
        <v>6.1290004667359121E-2</v>
      </c>
      <c r="I246" s="122">
        <f t="shared" si="34"/>
        <v>0.28420636429391305</v>
      </c>
      <c r="J246" s="122">
        <f t="shared" si="35"/>
        <v>-2.4715298662776778E-2</v>
      </c>
      <c r="K246" s="122">
        <f t="shared" si="36"/>
        <v>8.6005303330135896E-2</v>
      </c>
      <c r="Y246" s="126">
        <f>IF($Z$1, C246, -0.2)</f>
        <v>-0.2</v>
      </c>
    </row>
    <row r="247" spans="2:25" x14ac:dyDescent="0.3">
      <c r="B247" s="12">
        <v>0.28514566663790619</v>
      </c>
      <c r="C247" s="12">
        <f t="shared" si="28"/>
        <v>1.8351060263493629E-2</v>
      </c>
      <c r="D247" s="126">
        <f t="shared" si="29"/>
        <v>4.3098394995596125E-2</v>
      </c>
      <c r="E247" s="12">
        <f t="shared" si="30"/>
        <v>2.8713583340523451E-2</v>
      </c>
      <c r="F247" s="12">
        <f t="shared" si="31"/>
        <v>2.8705696080416336E-2</v>
      </c>
      <c r="G247" s="122">
        <f t="shared" si="32"/>
        <v>0.28390866711071289</v>
      </c>
      <c r="H247" s="122">
        <f t="shared" si="33"/>
        <v>6.1431699573584519E-2</v>
      </c>
      <c r="I247" s="122">
        <f t="shared" si="34"/>
        <v>0.2863826661650995</v>
      </c>
      <c r="J247" s="122">
        <f t="shared" si="35"/>
        <v>-2.4729579046597266E-2</v>
      </c>
      <c r="K247" s="122">
        <f t="shared" si="36"/>
        <v>8.6161278620181789E-2</v>
      </c>
      <c r="Y247" s="126">
        <f>IF($Z$1, C247, -0.2)</f>
        <v>-0.2</v>
      </c>
    </row>
    <row r="248" spans="2:25" x14ac:dyDescent="0.3">
      <c r="B248" s="12">
        <v>0.28735043944977212</v>
      </c>
      <c r="C248" s="12">
        <f t="shared" si="28"/>
        <v>1.8413759563480066E-2</v>
      </c>
      <c r="D248" s="126">
        <f t="shared" si="29"/>
        <v>4.317427266088178E-2</v>
      </c>
      <c r="E248" s="12">
        <f t="shared" si="30"/>
        <v>2.8162390137556968E-2</v>
      </c>
      <c r="F248" s="12">
        <f t="shared" si="31"/>
        <v>2.8154948291598987E-2</v>
      </c>
      <c r="G248" s="122">
        <f t="shared" si="32"/>
        <v>0.28613503062631712</v>
      </c>
      <c r="H248" s="122">
        <f t="shared" si="33"/>
        <v>6.1570921207731319E-2</v>
      </c>
      <c r="I248" s="122">
        <f t="shared" si="34"/>
        <v>0.28856584827322712</v>
      </c>
      <c r="J248" s="122">
        <f t="shared" si="35"/>
        <v>-2.4743402080771189E-2</v>
      </c>
      <c r="K248" s="122">
        <f t="shared" si="36"/>
        <v>8.6314323288502512E-2</v>
      </c>
      <c r="Y248" s="126">
        <f>IF($Z$1, C248, -0.2)</f>
        <v>-0.2</v>
      </c>
    </row>
    <row r="249" spans="2:25" x14ac:dyDescent="0.3">
      <c r="B249" s="12">
        <v>0.28956227404395118</v>
      </c>
      <c r="C249" s="12">
        <f t="shared" si="28"/>
        <v>1.847543858570708E-2</v>
      </c>
      <c r="D249" s="126">
        <f t="shared" si="29"/>
        <v>4.324868671571843E-2</v>
      </c>
      <c r="E249" s="12">
        <f t="shared" si="30"/>
        <v>2.7609431489012203E-2</v>
      </c>
      <c r="F249" s="12">
        <f t="shared" si="31"/>
        <v>2.7602419316892574E-2</v>
      </c>
      <c r="G249" s="122">
        <f t="shared" si="32"/>
        <v>0.28836865723995042</v>
      </c>
      <c r="H249" s="122">
        <f t="shared" si="33"/>
        <v>6.1707650899669994E-2</v>
      </c>
      <c r="I249" s="122">
        <f t="shared" si="34"/>
        <v>0.29075589084795195</v>
      </c>
      <c r="J249" s="122">
        <f t="shared" si="35"/>
        <v>-2.4756773728255837E-2</v>
      </c>
      <c r="K249" s="122">
        <f t="shared" si="36"/>
        <v>8.6464424627925834E-2</v>
      </c>
      <c r="Y249" s="126">
        <f>IF($Z$1, C249, -0.2)</f>
        <v>-0.2</v>
      </c>
    </row>
    <row r="250" spans="2:25" x14ac:dyDescent="0.3">
      <c r="B250" s="12">
        <v>0.2917811485029469</v>
      </c>
      <c r="C250" s="12">
        <f t="shared" si="28"/>
        <v>1.8536085022582343E-2</v>
      </c>
      <c r="D250" s="126">
        <f t="shared" si="29"/>
        <v>4.3321631132691843E-2</v>
      </c>
      <c r="E250" s="12">
        <f t="shared" si="30"/>
        <v>2.7054712874263274E-2</v>
      </c>
      <c r="F250" s="12">
        <f t="shared" si="31"/>
        <v>2.7048114805160225E-2</v>
      </c>
      <c r="G250" s="122">
        <f t="shared" si="32"/>
        <v>0.29060952292303044</v>
      </c>
      <c r="H250" s="122">
        <f t="shared" si="33"/>
        <v>6.184187005758085E-2</v>
      </c>
      <c r="I250" s="122">
        <f t="shared" si="34"/>
        <v>0.29295277408286335</v>
      </c>
      <c r="J250" s="122">
        <f t="shared" si="35"/>
        <v>-2.4769700012416161E-2</v>
      </c>
      <c r="K250" s="122">
        <f t="shared" si="36"/>
        <v>8.6611570069997007E-2</v>
      </c>
      <c r="Y250" s="126">
        <f>IF($Z$1, C250, -0.2)</f>
        <v>-0.2</v>
      </c>
    </row>
    <row r="251" spans="2:25" x14ac:dyDescent="0.3">
      <c r="B251" s="12">
        <v>0.29400704083950302</v>
      </c>
      <c r="C251" s="12">
        <f t="shared" si="28"/>
        <v>1.8595686576050152E-2</v>
      </c>
      <c r="D251" s="126">
        <f t="shared" si="29"/>
        <v>4.3393099953377458E-2</v>
      </c>
      <c r="E251" s="12">
        <f t="shared" si="30"/>
        <v>2.6498239790124244E-2</v>
      </c>
      <c r="F251" s="12">
        <f t="shared" si="31"/>
        <v>2.6492040429360344E-2</v>
      </c>
      <c r="G251" s="122">
        <f t="shared" si="32"/>
        <v>0.29285760354344514</v>
      </c>
      <c r="H251" s="122">
        <f t="shared" si="33"/>
        <v>6.197356016923402E-2</v>
      </c>
      <c r="I251" s="122">
        <f t="shared" si="34"/>
        <v>0.2951564781355609</v>
      </c>
      <c r="J251" s="122">
        <f t="shared" si="35"/>
        <v>-2.4782187017133715E-2</v>
      </c>
      <c r="K251" s="122">
        <f t="shared" si="36"/>
        <v>8.6755747186367735E-2</v>
      </c>
      <c r="Y251" s="126">
        <f>IF($Z$1, C251, -0.2)</f>
        <v>-0.2</v>
      </c>
    </row>
    <row r="252" spans="2:25" x14ac:dyDescent="0.3">
      <c r="B252" s="12">
        <v>0.29623992899682194</v>
      </c>
      <c r="C252" s="12">
        <f t="shared" si="28"/>
        <v>1.8654230958176928E-2</v>
      </c>
      <c r="D252" s="126">
        <f t="shared" si="29"/>
        <v>4.3463087288954823E-2</v>
      </c>
      <c r="E252" s="12">
        <f t="shared" si="30"/>
        <v>2.5940017750794513E-2</v>
      </c>
      <c r="F252" s="12">
        <f t="shared" si="31"/>
        <v>2.5934201886518144E-2</v>
      </c>
      <c r="G252" s="122">
        <f t="shared" si="32"/>
        <v>0.29511287486591548</v>
      </c>
      <c r="H252" s="122">
        <f t="shared" si="33"/>
        <v>6.2102702803263875E-2</v>
      </c>
      <c r="I252" s="122">
        <f t="shared" si="34"/>
        <v>0.29736698312772841</v>
      </c>
      <c r="J252" s="122">
        <f t="shared" si="35"/>
        <v>-2.479424088691002E-2</v>
      </c>
      <c r="K252" s="122">
        <f t="shared" si="36"/>
        <v>8.6896943690173895E-2</v>
      </c>
      <c r="Y252" s="126">
        <f>IF($Z$1, C252, -0.2)</f>
        <v>-0.2</v>
      </c>
    </row>
    <row r="253" spans="2:25" x14ac:dyDescent="0.3">
      <c r="B253" s="12">
        <v>0.29847979084878318</v>
      </c>
      <c r="C253" s="12">
        <f t="shared" si="28"/>
        <v>1.8711705891736648E-2</v>
      </c>
      <c r="D253" s="126">
        <f t="shared" si="29"/>
        <v>4.3531587320816481E-2</v>
      </c>
      <c r="E253" s="12">
        <f t="shared" si="30"/>
        <v>2.5380052287804204E-2</v>
      </c>
      <c r="F253" s="12">
        <f t="shared" si="31"/>
        <v>2.5374604897696475E-2</v>
      </c>
      <c r="G253" s="122">
        <f t="shared" si="32"/>
        <v>0.29737531255236416</v>
      </c>
      <c r="H253" s="122">
        <f t="shared" si="33"/>
        <v>6.2229279610438032E-2</v>
      </c>
      <c r="I253" s="122">
        <f t="shared" si="34"/>
        <v>0.2995842691452022</v>
      </c>
      <c r="J253" s="122">
        <f t="shared" si="35"/>
        <v>-2.4805867826964739E-2</v>
      </c>
      <c r="K253" s="122">
        <f t="shared" si="36"/>
        <v>8.7035147437402774E-2</v>
      </c>
      <c r="Y253" s="126">
        <f>IF($Z$1, C253, -0.2)</f>
        <v>-0.2</v>
      </c>
    </row>
    <row r="254" spans="2:25" x14ac:dyDescent="0.3">
      <c r="B254" s="12">
        <v>0.30072660420016228</v>
      </c>
      <c r="C254" s="12">
        <f t="shared" si="28"/>
        <v>1.8768099110796094E-2</v>
      </c>
      <c r="D254" s="126">
        <f t="shared" si="29"/>
        <v>4.3598594301171141E-2</v>
      </c>
      <c r="E254" s="12">
        <f t="shared" si="30"/>
        <v>2.4818348949959428E-2</v>
      </c>
      <c r="F254" s="12">
        <f t="shared" si="31"/>
        <v>2.481325520796587E-2</v>
      </c>
      <c r="G254" s="122">
        <f t="shared" si="32"/>
        <v>0.29964489216228973</v>
      </c>
      <c r="H254" s="122">
        <f t="shared" si="33"/>
        <v>6.2353272324920578E-2</v>
      </c>
      <c r="I254" s="122">
        <f t="shared" si="34"/>
        <v>0.30180831623803483</v>
      </c>
      <c r="J254" s="122">
        <f t="shared" si="35"/>
        <v>-2.4817074103328386E-2</v>
      </c>
      <c r="K254" s="122">
        <f t="shared" si="36"/>
        <v>8.717034642824896E-2</v>
      </c>
      <c r="Y254" s="126">
        <f>IF($Z$1, C254, -0.2)</f>
        <v>-0.2</v>
      </c>
    </row>
    <row r="255" spans="2:25" x14ac:dyDescent="0.3">
      <c r="B255" s="12">
        <v>0.30298034678685137</v>
      </c>
      <c r="C255" s="12">
        <f t="shared" si="28"/>
        <v>1.8823398361300044E-2</v>
      </c>
      <c r="D255" s="126">
        <f t="shared" si="29"/>
        <v>4.3664102553640921E-2</v>
      </c>
      <c r="E255" s="12">
        <f t="shared" si="30"/>
        <v>2.4254913303287155E-2</v>
      </c>
      <c r="F255" s="12">
        <f t="shared" si="31"/>
        <v>2.4250158586373468E-2</v>
      </c>
      <c r="G255" s="122">
        <f t="shared" si="32"/>
        <v>0.30192158915314793</v>
      </c>
      <c r="H255" s="122">
        <f t="shared" si="33"/>
        <v>6.247466276552946E-2</v>
      </c>
      <c r="I255" s="122">
        <f t="shared" si="34"/>
        <v>0.30403910442055482</v>
      </c>
      <c r="J255" s="122">
        <f t="shared" si="35"/>
        <v>-2.4827866042929372E-2</v>
      </c>
      <c r="K255" s="122">
        <f t="shared" si="36"/>
        <v>8.7302528808458832E-2</v>
      </c>
      <c r="Y255" s="126">
        <f>IF($Z$1, C255, -0.2)</f>
        <v>-0.2</v>
      </c>
    </row>
    <row r="256" spans="2:25" x14ac:dyDescent="0.3">
      <c r="B256" s="12">
        <v>0.30524099627607926</v>
      </c>
      <c r="C256" s="12">
        <f t="shared" si="28"/>
        <v>1.8877591401656246E-2</v>
      </c>
      <c r="D256" s="126">
        <f t="shared" si="29"/>
        <v>4.3728106473852925E-2</v>
      </c>
      <c r="E256" s="12">
        <f t="shared" si="30"/>
        <v>2.3689750930980184E-2</v>
      </c>
      <c r="F256" s="12">
        <f t="shared" si="31"/>
        <v>2.3685320825911349E-2</v>
      </c>
      <c r="G256" s="122">
        <f t="shared" si="32"/>
        <v>0.30420537888073801</v>
      </c>
      <c r="H256" s="122">
        <f t="shared" si="33"/>
        <v>6.2593432836988178E-2</v>
      </c>
      <c r="I256" s="122">
        <f t="shared" si="34"/>
        <v>0.30627661367142051</v>
      </c>
      <c r="J256" s="122">
        <f t="shared" si="35"/>
        <v>-2.483825003367569E-2</v>
      </c>
      <c r="K256" s="122">
        <f t="shared" si="36"/>
        <v>8.7431682870663871E-2</v>
      </c>
      <c r="Y256" s="126">
        <f>IF($Z$1, C256, -0.2)</f>
        <v>-0.2</v>
      </c>
    </row>
    <row r="257" spans="2:25" x14ac:dyDescent="0.3">
      <c r="B257" s="12">
        <v>0.30750853026663305</v>
      </c>
      <c r="C257" s="12">
        <f t="shared" ref="C257:C320" si="37">IF($A$1=0, 0, IF(B257&lt;=$A$2, ($A$1/$A$2^2)*(2*$A$2*B257-B257^2), ($A$1/(1-$A$2)^2)*((1-2*$A$2)+2*$A$2*B257-B257^2)))</f>
        <v>1.8930666003320204E-2</v>
      </c>
      <c r="D257" s="126">
        <f t="shared" ref="D257:D320" si="38">IF(B257&lt;$N$1, ($A$3/0.2)*($O$1*SQRT(B257)+$P$1*B257+$Q$1*(B257^2)+$R$1*(B257^3)), ($A$3/0.2)*($S$1+$T$1*(1-B257)+$U$1*((1-B257)^2)+$V$1*((1-B257)^3)))</f>
        <v>4.3790600530024856E-2</v>
      </c>
      <c r="E257" s="12">
        <f t="shared" si="30"/>
        <v>2.3122867433341739E-2</v>
      </c>
      <c r="F257" s="12">
        <f t="shared" si="31"/>
        <v>2.3118747743483801E-2</v>
      </c>
      <c r="G257" s="122">
        <f t="shared" si="32"/>
        <v>0.30649623659959585</v>
      </c>
      <c r="H257" s="122">
        <f t="shared" si="33"/>
        <v>6.270956453117138E-2</v>
      </c>
      <c r="I257" s="122">
        <f t="shared" si="34"/>
        <v>0.30852082393367025</v>
      </c>
      <c r="J257" s="122">
        <f t="shared" si="35"/>
        <v>-2.4848232524530972E-2</v>
      </c>
      <c r="K257" s="122">
        <f t="shared" si="36"/>
        <v>8.7557797055702352E-2</v>
      </c>
      <c r="Y257" s="126">
        <f>IF($Z$1, C257, -0.2)</f>
        <v>-0.2</v>
      </c>
    </row>
    <row r="258" spans="2:25" x14ac:dyDescent="0.3">
      <c r="B258" s="12">
        <v>0.30978292628908</v>
      </c>
      <c r="C258" s="12">
        <f t="shared" si="37"/>
        <v>1.8982609951379802E-2</v>
      </c>
      <c r="D258" s="126">
        <f t="shared" si="38"/>
        <v>4.3851579263544702E-2</v>
      </c>
      <c r="E258" s="12">
        <f t="shared" ref="E258:E321" si="39">IF($A$1=0, 0, IF(B258&lt;=$A$2, ($A$1/$A$2^2) *(2*$A$2-2*B258), ($A$1/(1-$A$2)^2)*(2*$A$2-2*B258)))</f>
        <v>2.2554268427730003E-2</v>
      </c>
      <c r="F258" s="12">
        <f t="shared" ref="F258:F321" si="40">IF($A$1=0, 0,  ATAN(E258))</f>
        <v>2.2550445179873764E-2</v>
      </c>
      <c r="G258" s="122">
        <f t="shared" ref="G258:G321" si="41">B258-D258*SIN(F258)</f>
        <v>0.30879413746339246</v>
      </c>
      <c r="H258" s="122">
        <f t="shared" ref="H258:H321" si="42">C258+D258*COS(F258)</f>
        <v>6.2823039928344426E-2</v>
      </c>
      <c r="I258" s="122">
        <f t="shared" ref="I258:I321" si="43">B258+D258*SIN(F258)</f>
        <v>0.31077171511476753</v>
      </c>
      <c r="J258" s="122">
        <f t="shared" ref="J258:J321" si="44">C258-D258*COS(F258)</f>
        <v>-2.4857820025584825E-2</v>
      </c>
      <c r="K258" s="122">
        <f t="shared" ref="K258:K321" si="45">2*D258*COS(F258)</f>
        <v>8.7680859953929255E-2</v>
      </c>
      <c r="Y258" s="126">
        <f>IF($Z$1, C258, -0.2)</f>
        <v>-0.2</v>
      </c>
    </row>
    <row r="259" spans="2:25" x14ac:dyDescent="0.3">
      <c r="B259" s="12">
        <v>0.31206416180598984</v>
      </c>
      <c r="C259" s="12">
        <f t="shared" si="37"/>
        <v>1.9033411045139604E-2</v>
      </c>
      <c r="D259" s="126">
        <f t="shared" si="38"/>
        <v>4.3911037289544395E-2</v>
      </c>
      <c r="E259" s="12">
        <f t="shared" si="39"/>
        <v>2.1983959548502543E-2</v>
      </c>
      <c r="F259" s="12">
        <f t="shared" si="40"/>
        <v>2.1980418999708512E-2</v>
      </c>
      <c r="G259" s="122">
        <f t="shared" si="41"/>
        <v>0.31109905652533876</v>
      </c>
      <c r="H259" s="122">
        <f t="shared" si="42"/>
        <v>6.2933841198396845E-2</v>
      </c>
      <c r="I259" s="122">
        <f t="shared" si="43"/>
        <v>0.31302926708664092</v>
      </c>
      <c r="J259" s="122">
        <f t="shared" si="44"/>
        <v>-2.486701910811764E-2</v>
      </c>
      <c r="K259" s="122">
        <f t="shared" si="45"/>
        <v>8.7800860306514489E-2</v>
      </c>
      <c r="Y259" s="126">
        <f>IF($Z$1, C259, -0.2)</f>
        <v>-0.2</v>
      </c>
    </row>
    <row r="260" spans="2:25" x14ac:dyDescent="0.3">
      <c r="B260" s="12">
        <v>0.31435221421215875</v>
      </c>
      <c r="C260" s="12">
        <f t="shared" si="37"/>
        <v>1.9083057098705003E-2</v>
      </c>
      <c r="D260" s="126">
        <f t="shared" si="38"/>
        <v>4.3968969297467575E-2</v>
      </c>
      <c r="E260" s="12">
        <f t="shared" si="39"/>
        <v>2.1411946446960314E-2</v>
      </c>
      <c r="F260" s="12">
        <f t="shared" si="40"/>
        <v>2.1408675091424138E-2</v>
      </c>
      <c r="G260" s="122">
        <f t="shared" si="41"/>
        <v>0.31341096873859708</v>
      </c>
      <c r="H260" s="122">
        <f t="shared" si="42"/>
        <v>6.3041950602069546E-2</v>
      </c>
      <c r="I260" s="122">
        <f t="shared" si="43"/>
        <v>0.31529345968572042</v>
      </c>
      <c r="J260" s="122">
        <f t="shared" si="44"/>
        <v>-2.4875836404659547E-2</v>
      </c>
      <c r="K260" s="122">
        <f t="shared" si="45"/>
        <v>8.7917787006729101E-2</v>
      </c>
      <c r="Y260" s="126">
        <f>IF($Z$1, C260, -0.2)</f>
        <v>-0.2</v>
      </c>
    </row>
    <row r="261" spans="2:25" x14ac:dyDescent="0.3">
      <c r="B261" s="12">
        <v>0.31664706083483307</v>
      </c>
      <c r="C261" s="12">
        <f t="shared" si="37"/>
        <v>1.9131535941566E-2</v>
      </c>
      <c r="D261" s="126">
        <f t="shared" si="38"/>
        <v>4.4025370051631062E-2</v>
      </c>
      <c r="E261" s="12">
        <f t="shared" si="39"/>
        <v>2.0838234791291734E-2</v>
      </c>
      <c r="F261" s="12">
        <f t="shared" si="40"/>
        <v>2.0835219367229405E-2</v>
      </c>
      <c r="G261" s="122">
        <f t="shared" si="41"/>
        <v>0.31572984895669753</v>
      </c>
      <c r="H261" s="122">
        <f t="shared" si="42"/>
        <v>6.3147350492175652E-2</v>
      </c>
      <c r="I261" s="122">
        <f t="shared" si="43"/>
        <v>0.31756427271296861</v>
      </c>
      <c r="J261" s="122">
        <f t="shared" si="44"/>
        <v>-2.4884278609043648E-2</v>
      </c>
      <c r="K261" s="122">
        <f t="shared" si="45"/>
        <v>8.8031629101219297E-2</v>
      </c>
      <c r="Y261" s="126">
        <f>IF($Z$1, C261, -0.2)</f>
        <v>-0.2</v>
      </c>
    </row>
    <row r="262" spans="2:25" x14ac:dyDescent="0.3">
      <c r="B262" s="12">
        <v>0.31894867893393375</v>
      </c>
      <c r="C262" s="12">
        <f t="shared" si="37"/>
        <v>1.9178835419180678E-2</v>
      </c>
      <c r="D262" s="126">
        <f t="shared" si="38"/>
        <v>4.4080234391780319E-2</v>
      </c>
      <c r="E262" s="12">
        <f t="shared" si="39"/>
        <v>2.0262830266516565E-2</v>
      </c>
      <c r="F262" s="12">
        <f t="shared" si="40"/>
        <v>2.0260057763068676E-2</v>
      </c>
      <c r="G262" s="122">
        <f t="shared" si="41"/>
        <v>0.31805567193396078</v>
      </c>
      <c r="H262" s="122">
        <f t="shared" si="42"/>
        <v>6.3250023314814843E-2</v>
      </c>
      <c r="I262" s="122">
        <f t="shared" si="43"/>
        <v>0.31984168593390672</v>
      </c>
      <c r="J262" s="122">
        <f t="shared" si="44"/>
        <v>-2.4892352476453491E-2</v>
      </c>
      <c r="K262" s="122">
        <f t="shared" si="45"/>
        <v>8.8142375791268338E-2</v>
      </c>
      <c r="Y262" s="126">
        <f>IF($Z$1, C262, -0.2)</f>
        <v>-0.2</v>
      </c>
    </row>
    <row r="263" spans="2:25" x14ac:dyDescent="0.3">
      <c r="B263" s="12">
        <v>0.3212570457022822</v>
      </c>
      <c r="C263" s="12">
        <f t="shared" si="37"/>
        <v>1.9224943393558441E-2</v>
      </c>
      <c r="D263" s="126">
        <f t="shared" si="38"/>
        <v>4.4133557233638716E-2</v>
      </c>
      <c r="E263" s="12">
        <f t="shared" si="39"/>
        <v>1.9685738574429453E-2</v>
      </c>
      <c r="F263" s="12">
        <f t="shared" si="40"/>
        <v>1.9683196238583736E-2</v>
      </c>
      <c r="G263" s="122">
        <f t="shared" si="41"/>
        <v>0.32038841232592735</v>
      </c>
      <c r="H263" s="122">
        <f t="shared" si="42"/>
        <v>6.3349951610581434E-2</v>
      </c>
      <c r="I263" s="122">
        <f t="shared" si="43"/>
        <v>0.32212567907863704</v>
      </c>
      <c r="J263" s="122">
        <f t="shared" si="44"/>
        <v>-2.490006482346455E-2</v>
      </c>
      <c r="K263" s="122">
        <f t="shared" si="45"/>
        <v>8.825001643404598E-2</v>
      </c>
      <c r="Y263" s="126">
        <f>IF($Z$1, C263, -0.2)</f>
        <v>-0.2</v>
      </c>
    </row>
    <row r="264" spans="2:25" x14ac:dyDescent="0.3">
      <c r="B264" s="12">
        <v>0.32357213826582509</v>
      </c>
      <c r="C264" s="12">
        <f t="shared" si="37"/>
        <v>1.9269847743842734E-2</v>
      </c>
      <c r="D264" s="126">
        <f t="shared" si="38"/>
        <v>4.4185333569450466E-2</v>
      </c>
      <c r="E264" s="12">
        <f t="shared" si="39"/>
        <v>1.9106965433543729E-2</v>
      </c>
      <c r="F264" s="12">
        <f t="shared" si="40"/>
        <v>1.9104640777075167E-2</v>
      </c>
      <c r="G264" s="122">
        <f t="shared" si="41"/>
        <v>0.32272804468979116</v>
      </c>
      <c r="H264" s="122">
        <f t="shared" si="42"/>
        <v>6.3447118015765427E-2</v>
      </c>
      <c r="I264" s="122">
        <f t="shared" si="43"/>
        <v>0.32441623184185903</v>
      </c>
      <c r="J264" s="122">
        <f t="shared" si="44"/>
        <v>-2.4907422528079964E-2</v>
      </c>
      <c r="K264" s="122">
        <f t="shared" si="45"/>
        <v>8.8354540543845395E-2</v>
      </c>
      <c r="Y264" s="126">
        <f>IF($Z$1, C264, -0.2)</f>
        <v>-0.2</v>
      </c>
    </row>
    <row r="265" spans="2:25" x14ac:dyDescent="0.3">
      <c r="B265" s="12">
        <v>0.32589393368386299</v>
      </c>
      <c r="C265" s="12">
        <f t="shared" si="37"/>
        <v>1.9313536366893539E-2</v>
      </c>
      <c r="D265" s="126">
        <f t="shared" si="38"/>
        <v>4.4235558468517448E-2</v>
      </c>
      <c r="E265" s="12">
        <f t="shared" si="39"/>
        <v>1.8526516579034254E-2</v>
      </c>
      <c r="F265" s="12">
        <f t="shared" si="40"/>
        <v>1.852439738546199E-2</v>
      </c>
      <c r="G265" s="122">
        <f t="shared" si="41"/>
        <v>0.3250745434848421</v>
      </c>
      <c r="H265" s="122">
        <f t="shared" si="42"/>
        <v>6.3541505263547321E-2</v>
      </c>
      <c r="I265" s="122">
        <f t="shared" si="43"/>
        <v>0.32671332388288388</v>
      </c>
      <c r="J265" s="122">
        <f t="shared" si="44"/>
        <v>-2.4914432529760239E-2</v>
      </c>
      <c r="K265" s="122">
        <f t="shared" si="45"/>
        <v>8.8455937793307557E-2</v>
      </c>
      <c r="Y265" s="126">
        <f>IF($Z$1, C265, -0.2)</f>
        <v>-0.2</v>
      </c>
    </row>
    <row r="266" spans="2:25" x14ac:dyDescent="0.3">
      <c r="B266" s="12">
        <v>0.3282224089492759</v>
      </c>
      <c r="C266" s="12">
        <f t="shared" si="37"/>
        <v>1.9355997177869375E-2</v>
      </c>
      <c r="D266" s="126">
        <f t="shared" si="38"/>
        <v>4.4284227077729527E-2</v>
      </c>
      <c r="E266" s="12">
        <f t="shared" si="39"/>
        <v>1.7944397762681027E-2</v>
      </c>
      <c r="F266" s="12">
        <f t="shared" si="40"/>
        <v>1.7942472094241345E-2</v>
      </c>
      <c r="G266" s="122">
        <f t="shared" si="41"/>
        <v>0.32742788307291099</v>
      </c>
      <c r="H266" s="122">
        <f t="shared" si="42"/>
        <v>6.3633096185185783E-2</v>
      </c>
      <c r="I266" s="122">
        <f t="shared" si="43"/>
        <v>0.32901693482564082</v>
      </c>
      <c r="J266" s="122">
        <f t="shared" si="44"/>
        <v>-2.4921101829447029E-2</v>
      </c>
      <c r="K266" s="122">
        <f t="shared" si="45"/>
        <v>8.8554198014632809E-2</v>
      </c>
      <c r="Y266" s="126">
        <f>IF($Z$1, C266, -0.2)</f>
        <v>-0.2</v>
      </c>
    </row>
    <row r="267" spans="2:25" x14ac:dyDescent="0.3">
      <c r="B267" s="12">
        <v>0.33055754098875223</v>
      </c>
      <c r="C267" s="12">
        <f t="shared" si="37"/>
        <v>1.9397218110808898E-2</v>
      </c>
      <c r="D267" s="126">
        <f t="shared" si="38"/>
        <v>4.4331334622088478E-2</v>
      </c>
      <c r="E267" s="12">
        <f t="shared" si="39"/>
        <v>1.7360614752811945E-2</v>
      </c>
      <c r="F267" s="12">
        <f t="shared" si="40"/>
        <v>1.7358870957446527E-2</v>
      </c>
      <c r="G267" s="122">
        <f t="shared" si="41"/>
        <v>0.32978803771882281</v>
      </c>
      <c r="H267" s="122">
        <f t="shared" si="42"/>
        <v>6.3721873711198487E-2</v>
      </c>
      <c r="I267" s="122">
        <f t="shared" si="43"/>
        <v>0.33132704425868165</v>
      </c>
      <c r="J267" s="122">
        <f t="shared" si="44"/>
        <v>-2.4927437489580692E-2</v>
      </c>
      <c r="K267" s="122">
        <f t="shared" si="45"/>
        <v>8.8649311200779179E-2</v>
      </c>
      <c r="Y267" s="126">
        <f>IF($Z$1, C267, -0.2)</f>
        <v>-0.2</v>
      </c>
    </row>
    <row r="268" spans="2:25" x14ac:dyDescent="0.3">
      <c r="B268" s="12">
        <v>0.33289930666301693</v>
      </c>
      <c r="C268" s="12">
        <f t="shared" si="37"/>
        <v>1.943718711921202E-2</v>
      </c>
      <c r="D268" s="126">
        <f t="shared" si="38"/>
        <v>4.4376876405225717E-2</v>
      </c>
      <c r="E268" s="12">
        <f t="shared" si="39"/>
        <v>1.6775173334245771E-2</v>
      </c>
      <c r="F268" s="12">
        <f t="shared" si="40"/>
        <v>1.6773600052604521E-2</v>
      </c>
      <c r="G268" s="122">
        <f t="shared" si="41"/>
        <v>0.3321549815908546</v>
      </c>
      <c r="H268" s="122">
        <f t="shared" si="42"/>
        <v>6.3807820872536183E-2</v>
      </c>
      <c r="I268" s="122">
        <f t="shared" si="43"/>
        <v>0.33364363173517925</v>
      </c>
      <c r="J268" s="122">
        <f t="shared" si="44"/>
        <v>-2.4933446634112139E-2</v>
      </c>
      <c r="K268" s="122">
        <f t="shared" si="45"/>
        <v>8.8741267506648319E-2</v>
      </c>
      <c r="Y268" s="126">
        <f>IF($Z$1, C268, -0.2)</f>
        <v>-0.2</v>
      </c>
    </row>
    <row r="269" spans="2:25" x14ac:dyDescent="0.3">
      <c r="B269" s="12">
        <v>0.33524768276706118</v>
      </c>
      <c r="C269" s="12">
        <f t="shared" si="37"/>
        <v>1.9475892176620605E-2</v>
      </c>
      <c r="D269" s="126">
        <f t="shared" si="38"/>
        <v>4.4420847809913226E-2</v>
      </c>
      <c r="E269" s="12">
        <f t="shared" si="39"/>
        <v>1.6188079308234706E-2</v>
      </c>
      <c r="F269" s="12">
        <f t="shared" si="40"/>
        <v>1.6186665480692315E-2</v>
      </c>
      <c r="G269" s="122">
        <f t="shared" si="41"/>
        <v>0.33452868876120007</v>
      </c>
      <c r="H269" s="122">
        <f t="shared" si="42"/>
        <v>6.3890920801749379E-2</v>
      </c>
      <c r="I269" s="122">
        <f t="shared" si="43"/>
        <v>0.3359666767729223</v>
      </c>
      <c r="J269" s="122">
        <f t="shared" si="44"/>
        <v>-2.4939136448508172E-2</v>
      </c>
      <c r="K269" s="122">
        <f t="shared" si="45"/>
        <v>8.8830057250257555E-2</v>
      </c>
      <c r="Y269" s="126">
        <f>IF($Z$1, C269, -0.2)</f>
        <v>-0.2</v>
      </c>
    </row>
    <row r="270" spans="2:25" x14ac:dyDescent="0.3">
      <c r="B270" s="12">
        <v>0.33760264603037182</v>
      </c>
      <c r="C270" s="12">
        <f t="shared" si="37"/>
        <v>1.9513321277198611E-2</v>
      </c>
      <c r="D270" s="126">
        <f t="shared" si="38"/>
        <v>4.4463244298568273E-2</v>
      </c>
      <c r="E270" s="12">
        <f t="shared" si="39"/>
        <v>1.5599338492407046E-2</v>
      </c>
      <c r="F270" s="12">
        <f t="shared" si="40"/>
        <v>1.5598073366092589E-2</v>
      </c>
      <c r="G270" s="122">
        <f t="shared" si="41"/>
        <v>0.33690913320643912</v>
      </c>
      <c r="H270" s="122">
        <f t="shared" si="42"/>
        <v>6.3971156734148216E-2</v>
      </c>
      <c r="I270" s="122">
        <f t="shared" si="43"/>
        <v>0.33829615885430453</v>
      </c>
      <c r="J270" s="122">
        <f t="shared" si="44"/>
        <v>-2.4944514179750986E-2</v>
      </c>
      <c r="K270" s="122">
        <f t="shared" si="45"/>
        <v>8.8915670913899195E-2</v>
      </c>
      <c r="Y270" s="126">
        <f>IF($Z$1, C270, -0.2)</f>
        <v>-0.2</v>
      </c>
    </row>
    <row r="271" spans="2:25" x14ac:dyDescent="0.3">
      <c r="B271" s="12">
        <v>0.33996417311716254</v>
      </c>
      <c r="C271" s="12">
        <f t="shared" si="37"/>
        <v>1.9549462436311747E-2</v>
      </c>
      <c r="D271" s="126">
        <f t="shared" si="38"/>
        <v>4.4504061413751309E-2</v>
      </c>
      <c r="E271" s="12">
        <f t="shared" si="39"/>
        <v>1.5008956720709368E-2</v>
      </c>
      <c r="F271" s="12">
        <f t="shared" si="40"/>
        <v>1.5007829856548095E-2</v>
      </c>
      <c r="G271" s="122">
        <f t="shared" si="41"/>
        <v>0.33929628880801405</v>
      </c>
      <c r="H271" s="122">
        <f t="shared" si="42"/>
        <v>6.4048512008954769E-2</v>
      </c>
      <c r="I271" s="122">
        <f t="shared" si="43"/>
        <v>0.34063205742631103</v>
      </c>
      <c r="J271" s="122">
        <f t="shared" si="44"/>
        <v>-2.4949587136331275E-2</v>
      </c>
      <c r="K271" s="122">
        <f t="shared" si="45"/>
        <v>8.8998099145286044E-2</v>
      </c>
      <c r="Y271" s="126">
        <f>IF($Z$1, C271, -0.2)</f>
        <v>-0.2</v>
      </c>
    </row>
    <row r="272" spans="2:25" x14ac:dyDescent="0.3">
      <c r="B272" s="12">
        <v>0.34233224062660483</v>
      </c>
      <c r="C272" s="12">
        <f t="shared" si="37"/>
        <v>1.9584303691106527E-2</v>
      </c>
      <c r="D272" s="126">
        <f t="shared" si="38"/>
        <v>4.4543294778657448E-2</v>
      </c>
      <c r="E272" s="12">
        <f t="shared" si="39"/>
        <v>1.4416939843348794E-2</v>
      </c>
      <c r="F272" s="12">
        <f t="shared" si="40"/>
        <v>1.4415941123115393E-2</v>
      </c>
      <c r="G272" s="122">
        <f t="shared" si="41"/>
        <v>0.34169012935271087</v>
      </c>
      <c r="H272" s="122">
        <f t="shared" si="42"/>
        <v>6.4122970070448315E-2</v>
      </c>
      <c r="I272" s="122">
        <f t="shared" si="43"/>
        <v>0.3429743519004988</v>
      </c>
      <c r="J272" s="122">
        <f t="shared" si="44"/>
        <v>-2.4954362688235258E-2</v>
      </c>
      <c r="K272" s="122">
        <f t="shared" si="45"/>
        <v>8.9077332758683569E-2</v>
      </c>
      <c r="Y272" s="126">
        <f>IF($Z$1, C272, -0.2)</f>
        <v>-0.2</v>
      </c>
    </row>
    <row r="273" spans="2:25" x14ac:dyDescent="0.3">
      <c r="B273" s="12">
        <v>0.34470682509305983</v>
      </c>
      <c r="C273" s="12">
        <f t="shared" si="37"/>
        <v>1.9617833101088809E-2</v>
      </c>
      <c r="D273" s="126">
        <f t="shared" si="38"/>
        <v>4.45809400976011E-2</v>
      </c>
      <c r="E273" s="12">
        <f t="shared" si="39"/>
        <v>1.3823293726735044E-2</v>
      </c>
      <c r="F273" s="12">
        <f t="shared" si="40"/>
        <v>1.3822413360117553E-2</v>
      </c>
      <c r="G273" s="122">
        <f t="shared" si="41"/>
        <v>0.3440906285331467</v>
      </c>
      <c r="H273" s="122">
        <f t="shared" si="42"/>
        <v>6.4194514469102834E-2</v>
      </c>
      <c r="I273" s="122">
        <f t="shared" si="43"/>
        <v>0.34532302165297296</v>
      </c>
      <c r="J273" s="122">
        <f t="shared" si="44"/>
        <v>-2.4958848266925213E-2</v>
      </c>
      <c r="K273" s="122">
        <f t="shared" si="45"/>
        <v>8.9153362736028044E-2</v>
      </c>
      <c r="Y273" s="126">
        <f>IF($Z$1, C273, -0.2)</f>
        <v>-0.2</v>
      </c>
    </row>
    <row r="274" spans="2:25" x14ac:dyDescent="0.3">
      <c r="B274" s="12">
        <v>0.34708790298631065</v>
      </c>
      <c r="C274" s="12">
        <f t="shared" si="37"/>
        <v>1.9650038748701738E-2</v>
      </c>
      <c r="D274" s="126">
        <f t="shared" si="38"/>
        <v>4.4616993156494138E-2</v>
      </c>
      <c r="E274" s="12">
        <f t="shared" si="39"/>
        <v>1.322802425342234E-2</v>
      </c>
      <c r="F274" s="12">
        <f t="shared" si="40"/>
        <v>1.3227252785095938E-2</v>
      </c>
      <c r="G274" s="122">
        <f t="shared" si="41"/>
        <v>0.34649775994826232</v>
      </c>
      <c r="H274" s="122">
        <f t="shared" si="42"/>
        <v>6.4263128862717456E-2</v>
      </c>
      <c r="I274" s="122">
        <f t="shared" si="43"/>
        <v>0.34767804602435898</v>
      </c>
      <c r="J274" s="122">
        <f t="shared" si="44"/>
        <v>-2.4963051365313984E-2</v>
      </c>
      <c r="K274" s="122">
        <f t="shared" si="45"/>
        <v>8.9226180228031443E-2</v>
      </c>
      <c r="Y274" s="126">
        <f>IF($Z$1, C274, -0.2)</f>
        <v>-0.2</v>
      </c>
    </row>
    <row r="275" spans="2:25" x14ac:dyDescent="0.3">
      <c r="B275" s="12">
        <v>0.34947545071179609</v>
      </c>
      <c r="C275" s="12">
        <f t="shared" si="37"/>
        <v>1.9680908739902976E-2</v>
      </c>
      <c r="D275" s="126">
        <f t="shared" si="38"/>
        <v>4.4651449823317139E-2</v>
      </c>
      <c r="E275" s="12">
        <f t="shared" si="39"/>
        <v>1.263113732205098E-2</v>
      </c>
      <c r="F275" s="12">
        <f t="shared" si="40"/>
        <v>1.2630465638760862E-2</v>
      </c>
      <c r="G275" s="122">
        <f t="shared" si="41"/>
        <v>0.34891149710382169</v>
      </c>
      <c r="H275" s="122">
        <f t="shared" si="42"/>
        <v>6.4328797017538908E-2</v>
      </c>
      <c r="I275" s="122">
        <f t="shared" si="43"/>
        <v>0.35003940431977049</v>
      </c>
      <c r="J275" s="122">
        <f t="shared" si="44"/>
        <v>-2.4966979537732963E-2</v>
      </c>
      <c r="K275" s="122">
        <f t="shared" si="45"/>
        <v>8.9295776555271877E-2</v>
      </c>
      <c r="Y275" s="126">
        <f>IF($Z$1, C275, -0.2)</f>
        <v>-0.2</v>
      </c>
    </row>
    <row r="276" spans="2:25" x14ac:dyDescent="0.3">
      <c r="B276" s="12">
        <v>0.35186944461084391</v>
      </c>
      <c r="C276" s="12">
        <f t="shared" si="37"/>
        <v>1.9710431204741419E-2</v>
      </c>
      <c r="D276" s="126">
        <f t="shared" si="38"/>
        <v>4.4684306048583915E-2</v>
      </c>
      <c r="E276" s="12">
        <f t="shared" si="39"/>
        <v>1.2032638847289025E-2</v>
      </c>
      <c r="F276" s="12">
        <f t="shared" si="40"/>
        <v>1.2032058184941567E-2</v>
      </c>
      <c r="G276" s="122">
        <f t="shared" si="41"/>
        <v>0.35133181341291547</v>
      </c>
      <c r="H276" s="122">
        <f t="shared" si="42"/>
        <v>6.43915028093765E-2</v>
      </c>
      <c r="I276" s="122">
        <f t="shared" si="43"/>
        <v>0.35240707580877234</v>
      </c>
      <c r="J276" s="122">
        <f t="shared" si="44"/>
        <v>-2.4970640399893662E-2</v>
      </c>
      <c r="K276" s="122">
        <f t="shared" si="45"/>
        <v>8.9362143209270162E-2</v>
      </c>
      <c r="Y276" s="126">
        <f>IF($Z$1, C276, -0.2)</f>
        <v>-0.2</v>
      </c>
    </row>
    <row r="277" spans="2:25" x14ac:dyDescent="0.3">
      <c r="B277" s="12">
        <v>0.35426986096090574</v>
      </c>
      <c r="C277" s="12">
        <f t="shared" si="37"/>
        <v>1.9738594297933135E-2</v>
      </c>
      <c r="D277" s="126">
        <f t="shared" si="38"/>
        <v>4.4715557865799158E-2</v>
      </c>
      <c r="E277" s="12">
        <f t="shared" si="39"/>
        <v>1.143253475977357E-2</v>
      </c>
      <c r="F277" s="12">
        <f t="shared" si="40"/>
        <v>1.1432036710534979E-2</v>
      </c>
      <c r="G277" s="122">
        <f t="shared" si="41"/>
        <v>0.35375868219647177</v>
      </c>
      <c r="H277" s="122">
        <f t="shared" si="42"/>
        <v>6.4451230224709194E-2</v>
      </c>
      <c r="I277" s="122">
        <f t="shared" si="43"/>
        <v>0.3547810397253397</v>
      </c>
      <c r="J277" s="122">
        <f t="shared" si="44"/>
        <v>-2.4974041628842918E-2</v>
      </c>
      <c r="K277" s="122">
        <f t="shared" si="45"/>
        <v>8.9425271853552105E-2</v>
      </c>
      <c r="Y277" s="126">
        <f>IF($Z$1, C277, -0.2)</f>
        <v>-0.2</v>
      </c>
    </row>
    <row r="278" spans="2:25" x14ac:dyDescent="0.3">
      <c r="B278" s="12">
        <v>0.35667667597579156</v>
      </c>
      <c r="C278" s="12">
        <f t="shared" si="37"/>
        <v>1.9765386199436682E-2</v>
      </c>
      <c r="D278" s="126">
        <f t="shared" si="38"/>
        <v>4.4745201391909399E-2</v>
      </c>
      <c r="E278" s="12">
        <f t="shared" si="39"/>
        <v>1.0830831006052115E-2</v>
      </c>
      <c r="F278" s="12">
        <f t="shared" si="40"/>
        <v>1.0830407525453768E-2</v>
      </c>
      <c r="G278" s="122">
        <f t="shared" si="41"/>
        <v>0.3561920766837709</v>
      </c>
      <c r="H278" s="122">
        <f t="shared" si="42"/>
        <v>6.4507963361785117E-2</v>
      </c>
      <c r="I278" s="122">
        <f t="shared" si="43"/>
        <v>0.35716127526781222</v>
      </c>
      <c r="J278" s="122">
        <f t="shared" si="44"/>
        <v>-2.4977190962911757E-2</v>
      </c>
      <c r="K278" s="122">
        <f t="shared" si="45"/>
        <v>8.9485154324696878E-2</v>
      </c>
      <c r="Y278" s="126">
        <f>IF($Z$1, C278, -0.2)</f>
        <v>-0.2</v>
      </c>
    </row>
    <row r="279" spans="2:25" x14ac:dyDescent="0.3">
      <c r="B279" s="12">
        <v>0.35908986580590629</v>
      </c>
      <c r="C279" s="12">
        <f t="shared" si="37"/>
        <v>1.9790795115027651E-2</v>
      </c>
      <c r="D279" s="126">
        <f t="shared" si="38"/>
        <v>4.4773232827746839E-2</v>
      </c>
      <c r="E279" s="12">
        <f t="shared" si="39"/>
        <v>1.022753354852343E-2</v>
      </c>
      <c r="F279" s="12">
        <f t="shared" si="40"/>
        <v>1.0227176962573092E-2</v>
      </c>
      <c r="G279" s="122">
        <f t="shared" si="41"/>
        <v>0.35863197001296759</v>
      </c>
      <c r="H279" s="122">
        <f t="shared" si="42"/>
        <v>6.4561686431712825E-2</v>
      </c>
      <c r="I279" s="122">
        <f t="shared" si="43"/>
        <v>0.35954776159884499</v>
      </c>
      <c r="J279" s="122">
        <f t="shared" si="44"/>
        <v>-2.4980096201657528E-2</v>
      </c>
      <c r="K279" s="122">
        <f t="shared" si="45"/>
        <v>8.9541782633370356E-2</v>
      </c>
      <c r="Y279" s="126">
        <f>IF($Z$1, C279, -0.2)</f>
        <v>-0.2</v>
      </c>
    </row>
    <row r="280" spans="2:25" x14ac:dyDescent="0.3">
      <c r="B280" s="12">
        <v>0.36150940653848485</v>
      </c>
      <c r="C280" s="12">
        <f t="shared" si="37"/>
        <v>1.9814809276872545E-2</v>
      </c>
      <c r="D280" s="126">
        <f t="shared" si="38"/>
        <v>4.4799648458466311E-2</v>
      </c>
      <c r="E280" s="12">
        <f t="shared" si="39"/>
        <v>9.6226483653787925E-3</v>
      </c>
      <c r="F280" s="12">
        <f t="shared" si="40"/>
        <v>9.6223513776768979E-3</v>
      </c>
      <c r="G280" s="122">
        <f t="shared" si="41"/>
        <v>0.3610783352316162</v>
      </c>
      <c r="H280" s="122">
        <f t="shared" si="42"/>
        <v>6.4612383759544673E-2</v>
      </c>
      <c r="I280" s="122">
        <f t="shared" si="43"/>
        <v>0.36194047784535349</v>
      </c>
      <c r="J280" s="122">
        <f t="shared" si="44"/>
        <v>-2.4982765205799586E-2</v>
      </c>
      <c r="K280" s="122">
        <f t="shared" si="45"/>
        <v>8.9595148965344262E-2</v>
      </c>
      <c r="Y280" s="126">
        <f>IF($Z$1, C280, -0.2)</f>
        <v>-0.2</v>
      </c>
    </row>
    <row r="281" spans="2:25" x14ac:dyDescent="0.3">
      <c r="B281" s="12">
        <v>0.36393527419783034</v>
      </c>
      <c r="C281" s="12">
        <f t="shared" si="37"/>
        <v>1.983741694410179E-2</v>
      </c>
      <c r="D281" s="126">
        <f t="shared" si="38"/>
        <v>4.48244446539754E-2</v>
      </c>
      <c r="E281" s="12">
        <f t="shared" si="39"/>
        <v>9.0161814505424192E-3</v>
      </c>
      <c r="F281" s="12">
        <f t="shared" si="40"/>
        <v>9.0159371494026152E-3</v>
      </c>
      <c r="G281" s="122">
        <f t="shared" si="41"/>
        <v>0.36353114529720437</v>
      </c>
      <c r="H281" s="122">
        <f t="shared" si="42"/>
        <v>6.4660039785352189E-2</v>
      </c>
      <c r="I281" s="122">
        <f t="shared" si="43"/>
        <v>0.3643394030984563</v>
      </c>
      <c r="J281" s="122">
        <f t="shared" si="44"/>
        <v>-2.4985205897148612E-2</v>
      </c>
      <c r="K281" s="122">
        <f t="shared" si="45"/>
        <v>8.9645245682500804E-2</v>
      </c>
      <c r="Y281" s="126">
        <f>IF($Z$1, C281, -0.2)</f>
        <v>-0.2</v>
      </c>
    </row>
    <row r="282" spans="2:25" x14ac:dyDescent="0.3">
      <c r="B282" s="12">
        <v>0.36636744474555105</v>
      </c>
      <c r="C282" s="12">
        <f t="shared" si="37"/>
        <v>1.9858606403382054E-2</v>
      </c>
      <c r="D282" s="126">
        <f t="shared" si="38"/>
        <v>4.4847617869357273E-2</v>
      </c>
      <c r="E282" s="12">
        <f t="shared" si="39"/>
        <v>8.4081388136122408E-3</v>
      </c>
      <c r="F282" s="12">
        <f t="shared" si="40"/>
        <v>8.4079406791853686E-3</v>
      </c>
      <c r="G282" s="122">
        <f t="shared" si="41"/>
        <v>0.36599037307768989</v>
      </c>
      <c r="H282" s="122">
        <f t="shared" si="42"/>
        <v>6.4704639065293071E-2</v>
      </c>
      <c r="I282" s="122">
        <f t="shared" si="43"/>
        <v>0.36674451641341221</v>
      </c>
      <c r="J282" s="122">
        <f t="shared" si="44"/>
        <v>-2.4987426258528966E-2</v>
      </c>
      <c r="K282" s="122">
        <f t="shared" si="45"/>
        <v>8.969206532382204E-2</v>
      </c>
      <c r="Y282" s="126">
        <f>IF($Z$1, C282, -0.2)</f>
        <v>-0.2</v>
      </c>
    </row>
    <row r="283" spans="2:25" x14ac:dyDescent="0.3">
      <c r="B283" s="12">
        <v>0.36880589408079867</v>
      </c>
      <c r="C283" s="12">
        <f t="shared" si="37"/>
        <v>1.9878365969487704E-2</v>
      </c>
      <c r="D283" s="126">
        <f t="shared" si="38"/>
        <v>4.4869164645286709E-2</v>
      </c>
      <c r="E283" s="12">
        <f t="shared" si="39"/>
        <v>7.7985264798003367E-3</v>
      </c>
      <c r="F283" s="12">
        <f t="shared" si="40"/>
        <v>7.7983683912010169E-3</v>
      </c>
      <c r="G283" s="122">
        <f t="shared" si="41"/>
        <v>0.36845599135204393</v>
      </c>
      <c r="H283" s="122">
        <f t="shared" si="42"/>
        <v>6.474616627267013E-2</v>
      </c>
      <c r="I283" s="122">
        <f t="shared" si="43"/>
        <v>0.3691557968095534</v>
      </c>
      <c r="J283" s="122">
        <f t="shared" si="44"/>
        <v>-2.4989434333694719E-2</v>
      </c>
      <c r="K283" s="122">
        <f t="shared" si="45"/>
        <v>8.9735600606364846E-2</v>
      </c>
      <c r="Y283" s="126">
        <f>IF($Z$1, C283, -0.2)</f>
        <v>-0.2</v>
      </c>
    </row>
    <row r="284" spans="2:25" x14ac:dyDescent="0.3">
      <c r="B284" s="12">
        <v>0.3712505980405072</v>
      </c>
      <c r="C284" s="12">
        <f t="shared" si="37"/>
        <v>1.9896683985871438E-2</v>
      </c>
      <c r="D284" s="126">
        <f t="shared" si="38"/>
        <v>4.4889081608438804E-2</v>
      </c>
      <c r="E284" s="12">
        <f t="shared" si="39"/>
        <v>7.1873504898732048E-3</v>
      </c>
      <c r="F284" s="12">
        <f t="shared" si="40"/>
        <v>7.1872267323082302E-3</v>
      </c>
      <c r="G284" s="122">
        <f t="shared" si="41"/>
        <v>0.37092797281079942</v>
      </c>
      <c r="H284" s="122">
        <f t="shared" si="42"/>
        <v>6.4784606198981659E-2</v>
      </c>
      <c r="I284" s="122">
        <f t="shared" si="43"/>
        <v>0.37157322327021497</v>
      </c>
      <c r="J284" s="122">
        <f t="shared" si="44"/>
        <v>-2.4991238227238789E-2</v>
      </c>
      <c r="K284" s="122">
        <f t="shared" si="45"/>
        <v>8.9775844426220455E-2</v>
      </c>
      <c r="Y284" s="126">
        <f>IF($Z$1, C284, -0.2)</f>
        <v>-0.2</v>
      </c>
    </row>
    <row r="285" spans="2:25" x14ac:dyDescent="0.3">
      <c r="B285" s="12">
        <v>0.37370153239963222</v>
      </c>
      <c r="C285" s="12">
        <f t="shared" si="37"/>
        <v>1.9913548825234051E-2</v>
      </c>
      <c r="D285" s="126">
        <f t="shared" si="38"/>
        <v>4.4907365471890837E-2</v>
      </c>
      <c r="E285" s="12">
        <f t="shared" si="39"/>
        <v>6.574616900091949E-3</v>
      </c>
      <c r="F285" s="12">
        <f t="shared" si="40"/>
        <v>6.5745221719896354E-3</v>
      </c>
      <c r="G285" s="122">
        <f t="shared" si="41"/>
        <v>0.37340629005660503</v>
      </c>
      <c r="H285" s="122">
        <f t="shared" si="42"/>
        <v>6.4819943754963805E-2</v>
      </c>
      <c r="I285" s="122">
        <f t="shared" si="43"/>
        <v>0.37399677474265941</v>
      </c>
      <c r="J285" s="122">
        <f t="shared" si="44"/>
        <v>-2.4992846104495696E-2</v>
      </c>
      <c r="K285" s="122">
        <f t="shared" si="45"/>
        <v>8.9812789859459494E-2</v>
      </c>
      <c r="Y285" s="126">
        <f>IF($Z$1, C285, -0.2)</f>
        <v>-0.2</v>
      </c>
    </row>
    <row r="286" spans="2:25" x14ac:dyDescent="0.3">
      <c r="B286" s="12">
        <v>0.37615867287139115</v>
      </c>
      <c r="C286" s="12">
        <f t="shared" si="37"/>
        <v>1.9928948890093327E-2</v>
      </c>
      <c r="D286" s="126">
        <f t="shared" si="38"/>
        <v>4.4924013035516637E-2</v>
      </c>
      <c r="E286" s="12">
        <f t="shared" si="39"/>
        <v>5.9603317821522155E-3</v>
      </c>
      <c r="F286" s="12">
        <f t="shared" si="40"/>
        <v>5.9602612022918869E-3</v>
      </c>
      <c r="G286" s="122">
        <f t="shared" si="41"/>
        <v>0.37589091560478427</v>
      </c>
      <c r="H286" s="122">
        <f t="shared" si="42"/>
        <v>6.4852163971623814E-2</v>
      </c>
      <c r="I286" s="122">
        <f t="shared" si="43"/>
        <v>0.37642643013799804</v>
      </c>
      <c r="J286" s="122">
        <f t="shared" si="44"/>
        <v>-2.4994266191437159E-2</v>
      </c>
      <c r="K286" s="122">
        <f t="shared" si="45"/>
        <v>8.9846430163060972E-2</v>
      </c>
      <c r="Y286" s="126">
        <f>IF($Z$1, C286, -0.2)</f>
        <v>-0.2</v>
      </c>
    </row>
    <row r="287" spans="2:25" x14ac:dyDescent="0.3">
      <c r="B287" s="12">
        <v>0.37862199510750394</v>
      </c>
      <c r="C287" s="12">
        <f t="shared" si="37"/>
        <v>1.9942872613352054E-2</v>
      </c>
      <c r="D287" s="126">
        <f t="shared" si="38"/>
        <v>4.4939021186373856E-2</v>
      </c>
      <c r="E287" s="12">
        <f t="shared" si="39"/>
        <v>5.3445012231240199E-3</v>
      </c>
      <c r="F287" s="12">
        <f t="shared" si="40"/>
        <v>5.3444503377647994E-3</v>
      </c>
      <c r="G287" s="122">
        <f t="shared" si="41"/>
        <v>0.37838182188390002</v>
      </c>
      <c r="H287" s="122">
        <f t="shared" si="42"/>
        <v>6.4881252001265252E-2</v>
      </c>
      <c r="I287" s="122">
        <f t="shared" si="43"/>
        <v>0.37886216833110786</v>
      </c>
      <c r="J287" s="122">
        <f t="shared" si="44"/>
        <v>-2.4995506774561149E-2</v>
      </c>
      <c r="K287" s="122">
        <f t="shared" si="45"/>
        <v>8.9876758775826404E-2</v>
      </c>
      <c r="Y287" s="126">
        <f>IF($Z$1, C287, -0.2)</f>
        <v>-0.2</v>
      </c>
    </row>
    <row r="288" spans="2:25" x14ac:dyDescent="0.3">
      <c r="B288" s="12">
        <v>0.38109147469843418</v>
      </c>
      <c r="C288" s="12">
        <f t="shared" si="37"/>
        <v>1.9955308458865006E-2</v>
      </c>
      <c r="D288" s="126">
        <f t="shared" si="38"/>
        <v>4.4952386899084242E-2</v>
      </c>
      <c r="E288" s="12">
        <f t="shared" si="39"/>
        <v>4.7271313253914584E-3</v>
      </c>
      <c r="F288" s="12">
        <f t="shared" si="40"/>
        <v>4.7270961153995207E-3</v>
      </c>
      <c r="G288" s="122">
        <f t="shared" si="41"/>
        <v>0.38087898123632424</v>
      </c>
      <c r="H288" s="122">
        <f t="shared" si="42"/>
        <v>6.4907193118504375E-2</v>
      </c>
      <c r="I288" s="122">
        <f t="shared" si="43"/>
        <v>0.38130396816054413</v>
      </c>
      <c r="J288" s="122">
        <f t="shared" si="44"/>
        <v>-2.4996576200774362E-2</v>
      </c>
      <c r="K288" s="122">
        <f t="shared" si="45"/>
        <v>8.9903769319278737E-2</v>
      </c>
      <c r="Y288" s="126">
        <f>IF($Z$1, C288, -0.2)</f>
        <v>-0.2</v>
      </c>
    </row>
    <row r="289" spans="2:25" x14ac:dyDescent="0.3">
      <c r="B289" s="12">
        <v>0.38356708717363108</v>
      </c>
      <c r="C289" s="12">
        <f t="shared" si="37"/>
        <v>1.9966244922005119E-2</v>
      </c>
      <c r="D289" s="126">
        <f t="shared" si="38"/>
        <v>4.4964107236206204E-2</v>
      </c>
      <c r="E289" s="12">
        <f t="shared" si="39"/>
        <v>4.108228206592234E-3</v>
      </c>
      <c r="F289" s="12">
        <f t="shared" si="40"/>
        <v>4.1082050945656888E-3</v>
      </c>
      <c r="G289" s="122">
        <f t="shared" si="41"/>
        <v>0.38338236591881258</v>
      </c>
      <c r="H289" s="122">
        <f t="shared" si="42"/>
        <v>6.4929972721277596E-2</v>
      </c>
      <c r="I289" s="122">
        <f t="shared" si="43"/>
        <v>0.38375180842844958</v>
      </c>
      <c r="J289" s="122">
        <f t="shared" si="44"/>
        <v>-2.4997482877267364E-2</v>
      </c>
      <c r="K289" s="122">
        <f t="shared" si="45"/>
        <v>8.9927455598544967E-2</v>
      </c>
      <c r="Y289" s="126">
        <f>IF($Z$1, C289, -0.2)</f>
        <v>-0.2</v>
      </c>
    </row>
    <row r="290" spans="2:25" x14ac:dyDescent="0.3">
      <c r="B290" s="12">
        <v>0.38604880800177188</v>
      </c>
      <c r="C290" s="12">
        <f t="shared" si="37"/>
        <v>1.997567053022857E-2</v>
      </c>
      <c r="D290" s="126">
        <f t="shared" si="38"/>
        <v>4.4974179348600436E-2</v>
      </c>
      <c r="E290" s="12">
        <f t="shared" si="39"/>
        <v>3.4877979995570343E-3</v>
      </c>
      <c r="F290" s="12">
        <f t="shared" si="40"/>
        <v>3.4877838569475923E-3</v>
      </c>
      <c r="G290" s="122">
        <f t="shared" si="41"/>
        <v>0.38589194810308475</v>
      </c>
      <c r="H290" s="122">
        <f t="shared" si="42"/>
        <v>6.4949576331840481E-2</v>
      </c>
      <c r="I290" s="122">
        <f t="shared" si="43"/>
        <v>0.38620566790045902</v>
      </c>
      <c r="J290" s="122">
        <f t="shared" si="44"/>
        <v>-2.499823527138334E-2</v>
      </c>
      <c r="K290" s="122">
        <f t="shared" si="45"/>
        <v>8.9947811603223821E-2</v>
      </c>
      <c r="Y290" s="126">
        <f>IF($Z$1, C290, -0.2)</f>
        <v>-0.2</v>
      </c>
    </row>
    <row r="291" spans="2:25" x14ac:dyDescent="0.3">
      <c r="B291" s="12">
        <v>0.3885366125910048</v>
      </c>
      <c r="C291" s="12">
        <f t="shared" si="37"/>
        <v>1.998357384363891E-2</v>
      </c>
      <c r="D291" s="126">
        <f t="shared" si="38"/>
        <v>4.4982600475788045E-2</v>
      </c>
      <c r="E291" s="12">
        <f t="shared" si="39"/>
        <v>2.8658468522488041E-3</v>
      </c>
      <c r="F291" s="12">
        <f t="shared" si="40"/>
        <v>2.8658390064793832E-3</v>
      </c>
      <c r="G291" s="122">
        <f t="shared" si="41"/>
        <v>0.38840769987640933</v>
      </c>
      <c r="H291" s="122">
        <f t="shared" si="42"/>
        <v>6.4965989597757567E-2</v>
      </c>
      <c r="I291" s="122">
        <f t="shared" si="43"/>
        <v>0.38866552530560028</v>
      </c>
      <c r="J291" s="122">
        <f t="shared" si="44"/>
        <v>-2.4998841910479751E-2</v>
      </c>
      <c r="K291" s="122">
        <f t="shared" si="45"/>
        <v>8.9964831508237322E-2</v>
      </c>
      <c r="Y291" s="126">
        <f>IF($Z$1, C291, -0.2)</f>
        <v>-0.2</v>
      </c>
    </row>
    <row r="292" spans="2:25" x14ac:dyDescent="0.3">
      <c r="B292" s="12">
        <v>0.39103047628919319</v>
      </c>
      <c r="C292" s="12">
        <f t="shared" si="37"/>
        <v>1.998994345555016E-2</v>
      </c>
      <c r="D292" s="126">
        <f t="shared" si="38"/>
        <v>4.4989367946301345E-2</v>
      </c>
      <c r="E292" s="12">
        <f t="shared" si="39"/>
        <v>2.2423809277017088E-3</v>
      </c>
      <c r="F292" s="12">
        <f t="shared" si="40"/>
        <v>2.2423771692791357E-3</v>
      </c>
      <c r="G292" s="122">
        <f t="shared" si="41"/>
        <v>0.39092959324219445</v>
      </c>
      <c r="H292" s="122">
        <f t="shared" si="42"/>
        <v>6.4979198292883428E-2</v>
      </c>
      <c r="I292" s="122">
        <f t="shared" si="43"/>
        <v>0.39113135933619192</v>
      </c>
      <c r="J292" s="122">
        <f t="shared" si="44"/>
        <v>-2.4999311381783112E-2</v>
      </c>
      <c r="K292" s="122">
        <f t="shared" si="45"/>
        <v>8.9978509674666543E-2</v>
      </c>
      <c r="Y292" s="126">
        <f>IF($Z$1, C292, -0.2)</f>
        <v>-0.2</v>
      </c>
    </row>
    <row r="293" spans="2:25" x14ac:dyDescent="0.3">
      <c r="B293" s="12">
        <v>0.39353037438415939</v>
      </c>
      <c r="C293" s="12">
        <f t="shared" si="37"/>
        <v>1.9994767993048859E-2</v>
      </c>
      <c r="D293" s="126">
        <f t="shared" si="38"/>
        <v>4.4994479178027139E-2</v>
      </c>
      <c r="E293" s="12">
        <f t="shared" si="39"/>
        <v>1.6174064039601583E-3</v>
      </c>
      <c r="F293" s="12">
        <f t="shared" si="40"/>
        <v>1.617404993582114E-3</v>
      </c>
      <c r="G293" s="122">
        <f t="shared" si="41"/>
        <v>0.39345760012058278</v>
      </c>
      <c r="H293" s="122">
        <f t="shared" si="42"/>
        <v>6.4989188318334515E-2</v>
      </c>
      <c r="I293" s="122">
        <f t="shared" si="43"/>
        <v>0.39360314864773599</v>
      </c>
      <c r="J293" s="122">
        <f t="shared" si="44"/>
        <v>-2.4999652332236794E-2</v>
      </c>
      <c r="K293" s="122">
        <f t="shared" si="45"/>
        <v>8.9988840650571306E-2</v>
      </c>
      <c r="Y293" s="126">
        <f>IF($Z$1, C293, -0.2)</f>
        <v>-0.2</v>
      </c>
    </row>
    <row r="294" spans="2:25" x14ac:dyDescent="0.3">
      <c r="B294" s="12">
        <v>0.3960362821039296</v>
      </c>
      <c r="C294" s="12">
        <f t="shared" si="37"/>
        <v>1.9998036117555046E-2</v>
      </c>
      <c r="D294" s="126">
        <f t="shared" si="38"/>
        <v>4.4997931678542796E-2</v>
      </c>
      <c r="E294" s="12">
        <f t="shared" si="39"/>
        <v>9.9092947401760423E-4</v>
      </c>
      <c r="F294" s="12">
        <f t="shared" si="40"/>
        <v>9.9092914967296238E-4</v>
      </c>
      <c r="G294" s="122">
        <f t="shared" si="41"/>
        <v>0.39599169234905174</v>
      </c>
      <c r="H294" s="122">
        <f t="shared" si="42"/>
        <v>6.4995945703452088E-2</v>
      </c>
      <c r="I294" s="122">
        <f t="shared" si="43"/>
        <v>0.39608087185880747</v>
      </c>
      <c r="J294" s="122">
        <f t="shared" si="44"/>
        <v>-2.4999873468341996E-2</v>
      </c>
      <c r="K294" s="122">
        <f t="shared" si="45"/>
        <v>8.9995819171794084E-2</v>
      </c>
      <c r="Y294" s="126">
        <f>IF($Z$1, C294, -0.2)</f>
        <v>-0.2</v>
      </c>
    </row>
    <row r="295" spans="2:25" x14ac:dyDescent="0.3">
      <c r="B295" s="12">
        <v>0.39854817461698</v>
      </c>
      <c r="C295" s="12">
        <f t="shared" si="37"/>
        <v>1.9999736525382148E-2</v>
      </c>
      <c r="D295" s="126">
        <f t="shared" si="38"/>
        <v>4.4999723045444563E-2</v>
      </c>
      <c r="E295" s="12">
        <f t="shared" si="39"/>
        <v>3.6295634575500552E-4</v>
      </c>
      <c r="F295" s="12">
        <f t="shared" si="40"/>
        <v>3.6295632981670937E-4</v>
      </c>
      <c r="G295" s="122">
        <f t="shared" si="41"/>
        <v>0.39853184168301925</v>
      </c>
      <c r="H295" s="122">
        <f t="shared" si="42"/>
        <v>6.4999456606755796E-2</v>
      </c>
      <c r="I295" s="122">
        <f t="shared" si="43"/>
        <v>0.39856450755094075</v>
      </c>
      <c r="J295" s="122">
        <f t="shared" si="44"/>
        <v>-2.4999983555991496E-2</v>
      </c>
      <c r="K295" s="122">
        <f t="shared" si="45"/>
        <v>8.9999440162747288E-2</v>
      </c>
      <c r="Y295" s="126">
        <f>IF($Z$1, C295, -0.2)</f>
        <v>-0.2</v>
      </c>
    </row>
    <row r="296" spans="2:25" x14ac:dyDescent="0.3">
      <c r="B296" s="12">
        <v>0.4010660270324814</v>
      </c>
      <c r="C296" s="12">
        <f t="shared" si="37"/>
        <v>1.9999936865909226E-2</v>
      </c>
      <c r="D296" s="126">
        <f t="shared" si="38"/>
        <v>4.4999850863377475E-2</v>
      </c>
      <c r="E296" s="12">
        <f>IF($A$1=0, 0, IF(B296&lt;=$A$2, ($A$1/$A$2^2) *(2*$A$2-2*B296), ($A$1/(1-$A$2)^2)*(2*$A$2-2*B296)))</f>
        <v>-1.1844744805348621E-4</v>
      </c>
      <c r="F296" s="12">
        <f>IF($A$1=0, 0,  ATAN(E296))</f>
        <v>-1.1844744749955496E-4</v>
      </c>
      <c r="G296" s="122">
        <f t="shared" si="41"/>
        <v>0.40107135714994158</v>
      </c>
      <c r="H296" s="122">
        <f t="shared" si="42"/>
        <v>6.4999787413617297E-2</v>
      </c>
      <c r="I296" s="122">
        <f t="shared" si="43"/>
        <v>0.40106069691502122</v>
      </c>
      <c r="J296" s="122">
        <f t="shared" si="44"/>
        <v>-2.4999913681798849E-2</v>
      </c>
      <c r="K296" s="122">
        <f t="shared" si="45"/>
        <v>8.9999701095416149E-2</v>
      </c>
      <c r="Y296" s="126">
        <f>IF($Z$1, C296, -0.2)</f>
        <v>-0.2</v>
      </c>
    </row>
    <row r="297" spans="2:25" x14ac:dyDescent="0.3">
      <c r="B297" s="12">
        <v>0.40358981440054742</v>
      </c>
      <c r="C297" s="12">
        <f t="shared" si="37"/>
        <v>1.9999284068476092E-2</v>
      </c>
      <c r="D297" s="126">
        <f t="shared" si="38"/>
        <v>4.4998309286415843E-2</v>
      </c>
      <c r="E297" s="12">
        <f t="shared" si="39"/>
        <v>-3.9886826672748865E-4</v>
      </c>
      <c r="F297" s="12">
        <f t="shared" si="40"/>
        <v>-3.9886824557472281E-4</v>
      </c>
      <c r="G297" s="122">
        <f t="shared" si="41"/>
        <v>0.40360776279675042</v>
      </c>
      <c r="H297" s="122">
        <f t="shared" si="42"/>
        <v>6.4997589775369236E-2</v>
      </c>
      <c r="I297" s="122">
        <f t="shared" si="43"/>
        <v>0.40357186600434442</v>
      </c>
      <c r="J297" s="122">
        <f t="shared" si="44"/>
        <v>-2.4999021638417052E-2</v>
      </c>
      <c r="K297" s="122">
        <f t="shared" si="45"/>
        <v>8.9996611413786287E-2</v>
      </c>
      <c r="Y297" s="126">
        <f>IF($Z$1, C297, -0.2)</f>
        <v>-0.2</v>
      </c>
    </row>
    <row r="298" spans="2:25" x14ac:dyDescent="0.3">
      <c r="B298" s="12">
        <v>0.40611951171248117</v>
      </c>
      <c r="C298" s="12">
        <f t="shared" si="37"/>
        <v>1.9997919532022266E-2</v>
      </c>
      <c r="D298" s="126">
        <f t="shared" si="38"/>
        <v>4.4995088236407736E-2</v>
      </c>
      <c r="E298" s="12">
        <f t="shared" si="39"/>
        <v>-6.7994574583123916E-4</v>
      </c>
      <c r="F298" s="12">
        <f t="shared" si="40"/>
        <v>-6.7994564104568664E-4</v>
      </c>
      <c r="G298" s="122">
        <f t="shared" si="41"/>
        <v>0.40615010592423856</v>
      </c>
      <c r="H298" s="122">
        <f t="shared" si="42"/>
        <v>6.4992997367229133E-2</v>
      </c>
      <c r="I298" s="122">
        <f t="shared" si="43"/>
        <v>0.40608891750072379</v>
      </c>
      <c r="J298" s="122">
        <f t="shared" si="44"/>
        <v>-2.4997158303184604E-2</v>
      </c>
      <c r="K298" s="122">
        <f t="shared" si="45"/>
        <v>8.9990155670413741E-2</v>
      </c>
      <c r="Y298" s="126">
        <f>IF($Z$1, C298, -0.2)</f>
        <v>-0.2</v>
      </c>
    </row>
    <row r="299" spans="2:25" x14ac:dyDescent="0.3">
      <c r="B299" s="12">
        <v>0.4086550939010225</v>
      </c>
      <c r="C299" s="12">
        <f t="shared" si="37"/>
        <v>1.9995838297198028E-2</v>
      </c>
      <c r="D299" s="126">
        <f t="shared" si="38"/>
        <v>4.4990177432361569E-2</v>
      </c>
      <c r="E299" s="12">
        <f t="shared" si="39"/>
        <v>-9.6167710011360911E-4</v>
      </c>
      <c r="F299" s="12">
        <f t="shared" si="40"/>
        <v>-9.6167680365345646E-4</v>
      </c>
      <c r="G299" s="122">
        <f t="shared" si="41"/>
        <v>0.40869835990438258</v>
      </c>
      <c r="H299" s="122">
        <f t="shared" si="42"/>
        <v>6.4985994925602086E-2</v>
      </c>
      <c r="I299" s="122">
        <f t="shared" si="43"/>
        <v>0.40861182789766243</v>
      </c>
      <c r="J299" s="122">
        <f t="shared" si="44"/>
        <v>-2.4994318331206026E-2</v>
      </c>
      <c r="K299" s="122">
        <f t="shared" si="45"/>
        <v>8.9980313256808109E-2</v>
      </c>
      <c r="Y299" s="126">
        <f>IF($Z$1, C299, -0.2)</f>
        <v>-0.2</v>
      </c>
    </row>
    <row r="300" spans="2:25" x14ac:dyDescent="0.3">
      <c r="B300" s="12">
        <v>0.41119653584059757</v>
      </c>
      <c r="C300" s="12">
        <f t="shared" si="37"/>
        <v>1.9993035421398343E-2</v>
      </c>
      <c r="D300" s="126">
        <f t="shared" si="38"/>
        <v>4.4983566652581485E-2</v>
      </c>
      <c r="E300" s="12">
        <f t="shared" si="39"/>
        <v>-1.2440595378441716E-3</v>
      </c>
      <c r="F300" s="12">
        <f t="shared" si="40"/>
        <v>-1.2440588960410314E-3</v>
      </c>
      <c r="G300" s="122">
        <f t="shared" si="41"/>
        <v>0.41125249803243208</v>
      </c>
      <c r="H300" s="122">
        <f t="shared" si="42"/>
        <v>6.4976567263844043E-2</v>
      </c>
      <c r="I300" s="122">
        <f t="shared" si="43"/>
        <v>0.41114057364876305</v>
      </c>
      <c r="J300" s="122">
        <f t="shared" si="44"/>
        <v>-2.4990496421047354E-2</v>
      </c>
      <c r="K300" s="122">
        <f t="shared" si="45"/>
        <v>8.9967063684891393E-2</v>
      </c>
      <c r="Y300" s="126">
        <f>IF($Z$1, C300, -0.2)</f>
        <v>-0.2</v>
      </c>
    </row>
    <row r="301" spans="2:25" x14ac:dyDescent="0.3">
      <c r="B301" s="12">
        <v>0.41374381234756619</v>
      </c>
      <c r="C301" s="12">
        <f t="shared" si="37"/>
        <v>1.9989505979008605E-2</v>
      </c>
      <c r="D301" s="126">
        <f t="shared" si="38"/>
        <v>4.497524573521982E-2</v>
      </c>
      <c r="E301" s="12">
        <f t="shared" si="39"/>
        <v>-1.527090260840685E-3</v>
      </c>
      <c r="F301" s="12">
        <f t="shared" si="40"/>
        <v>-1.5270890737818087E-3</v>
      </c>
      <c r="G301" s="122">
        <f t="shared" si="41"/>
        <v>0.41381249352722499</v>
      </c>
      <c r="H301" s="122">
        <f t="shared" si="42"/>
        <v>6.4964699273078713E-2</v>
      </c>
      <c r="I301" s="122">
        <f t="shared" si="43"/>
        <v>0.41367513116790738</v>
      </c>
      <c r="J301" s="122">
        <f t="shared" si="44"/>
        <v>-2.4985687315061508E-2</v>
      </c>
      <c r="K301" s="122">
        <f t="shared" si="45"/>
        <v>8.9950386588140224E-2</v>
      </c>
      <c r="Y301" s="126">
        <f>IF($Z$1, C301, -0.2)</f>
        <v>-0.2</v>
      </c>
    </row>
    <row r="302" spans="2:25" x14ac:dyDescent="0.3">
      <c r="B302" s="12">
        <v>0.41629689818047322</v>
      </c>
      <c r="C302" s="12">
        <f t="shared" si="37"/>
        <v>1.998524506164974E-2</v>
      </c>
      <c r="D302" s="126">
        <f t="shared" si="38"/>
        <v>4.4965204578826072E-2</v>
      </c>
      <c r="E302" s="12">
        <f t="shared" si="39"/>
        <v>-1.8107664644970219E-3</v>
      </c>
      <c r="F302" s="12">
        <f t="shared" si="40"/>
        <v>-1.8107644854085043E-3</v>
      </c>
      <c r="G302" s="122">
        <f t="shared" si="41"/>
        <v>0.41637831953150867</v>
      </c>
      <c r="H302" s="122">
        <f t="shared" si="42"/>
        <v>6.4950375923010256E-2</v>
      </c>
      <c r="I302" s="122">
        <f t="shared" si="43"/>
        <v>0.41621547682943777</v>
      </c>
      <c r="J302" s="122">
        <f t="shared" si="44"/>
        <v>-2.4979885799710784E-2</v>
      </c>
      <c r="K302" s="122">
        <f t="shared" si="45"/>
        <v>8.9930261722721047E-2</v>
      </c>
      <c r="Y302" s="126">
        <f>IF($Z$1, C302, -0.2)</f>
        <v>-0.2</v>
      </c>
    </row>
    <row r="303" spans="2:25" x14ac:dyDescent="0.3">
      <c r="B303" s="12">
        <v>0.41885576804029723</v>
      </c>
      <c r="C303" s="12">
        <f t="shared" si="37"/>
        <v>1.9980247778422805E-2</v>
      </c>
      <c r="D303" s="126">
        <f t="shared" si="38"/>
        <v>4.4953433142892303E-2</v>
      </c>
      <c r="E303" s="12">
        <f t="shared" si="39"/>
        <v>-2.0950853378108006E-3</v>
      </c>
      <c r="F303" s="12">
        <f t="shared" si="40"/>
        <v>-2.0950822724418502E-3</v>
      </c>
      <c r="G303" s="122">
        <f t="shared" si="41"/>
        <v>0.41894994911226102</v>
      </c>
      <c r="H303" s="122">
        <f t="shared" si="42"/>
        <v>6.4933582262731881E-2</v>
      </c>
      <c r="I303" s="122">
        <f t="shared" si="43"/>
        <v>0.41876158696833343</v>
      </c>
      <c r="J303" s="122">
        <f t="shared" si="44"/>
        <v>-2.4973086705886278E-2</v>
      </c>
      <c r="K303" s="122">
        <f t="shared" si="45"/>
        <v>8.9906668968618167E-2</v>
      </c>
      <c r="Y303" s="126">
        <f>IF($Z$1, C303, -0.2)</f>
        <v>-0.2</v>
      </c>
    </row>
    <row r="304" spans="2:25" x14ac:dyDescent="0.3">
      <c r="B304" s="12">
        <v>0.42142039657070196</v>
      </c>
      <c r="C304" s="12">
        <f t="shared" si="37"/>
        <v>1.9974509256152989E-2</v>
      </c>
      <c r="D304" s="126">
        <f t="shared" si="38"/>
        <v>4.4939921448394975E-2</v>
      </c>
      <c r="E304" s="12">
        <f t="shared" si="39"/>
        <v>-2.3800440634113265E-3</v>
      </c>
      <c r="F304" s="12">
        <f t="shared" si="40"/>
        <v>-2.3800395694196699E-3</v>
      </c>
      <c r="G304" s="122">
        <f t="shared" si="41"/>
        <v>0.4215273552610162</v>
      </c>
      <c r="H304" s="122">
        <f t="shared" si="42"/>
        <v>6.4914303421530262E-2</v>
      </c>
      <c r="I304" s="122">
        <f t="shared" si="43"/>
        <v>0.42131343788038772</v>
      </c>
      <c r="J304" s="122">
        <f t="shared" si="44"/>
        <v>-2.4965284909224283E-2</v>
      </c>
      <c r="K304" s="122">
        <f t="shared" si="45"/>
        <v>8.9879588330754545E-2</v>
      </c>
      <c r="Y304" s="126">
        <f>IF($Z$1, C304, -0.2)</f>
        <v>-0.2</v>
      </c>
    </row>
    <row r="305" spans="2:25" x14ac:dyDescent="0.3">
      <c r="B305" s="12">
        <v>0.42399075835828748</v>
      </c>
      <c r="C305" s="12">
        <f t="shared" si="37"/>
        <v>1.9968024639633014E-2</v>
      </c>
      <c r="D305" s="126">
        <f t="shared" si="38"/>
        <v>4.4924659578333276E-2</v>
      </c>
      <c r="E305" s="12">
        <f t="shared" si="39"/>
        <v>-2.6656398175874951E-3</v>
      </c>
      <c r="F305" s="12">
        <f t="shared" si="40"/>
        <v>-2.6656335039259849E-3</v>
      </c>
      <c r="G305" s="122">
        <f t="shared" si="41"/>
        <v>0.42411051089419288</v>
      </c>
      <c r="H305" s="122">
        <f t="shared" si="42"/>
        <v>6.4892524609685837E-2</v>
      </c>
      <c r="I305" s="122">
        <f t="shared" si="43"/>
        <v>0.42387100582238207</v>
      </c>
      <c r="J305" s="122">
        <f t="shared" si="44"/>
        <v>-2.4956475330419808E-2</v>
      </c>
      <c r="K305" s="122">
        <f t="shared" si="45"/>
        <v>8.9848999940105645E-2</v>
      </c>
      <c r="Y305" s="126">
        <f>IF($Z$1, C305, -0.2)</f>
        <v>-0.2</v>
      </c>
    </row>
    <row r="306" spans="2:25" x14ac:dyDescent="0.3">
      <c r="B306" s="12">
        <v>0.42656682793284162</v>
      </c>
      <c r="C306" s="12">
        <f t="shared" si="37"/>
        <v>1.9960789091865935E-2</v>
      </c>
      <c r="D306" s="126">
        <f t="shared" si="38"/>
        <v>4.4907637678263737E-2</v>
      </c>
      <c r="E306" s="12">
        <f t="shared" si="39"/>
        <v>-2.9518697703157333E-3</v>
      </c>
      <c r="F306" s="12">
        <f t="shared" si="40"/>
        <v>-2.9518611966202328E-3</v>
      </c>
      <c r="G306" s="122">
        <f t="shared" si="41"/>
        <v>0.42669938885342451</v>
      </c>
      <c r="H306" s="122">
        <f t="shared" si="42"/>
        <v>6.4868231119268774E-2</v>
      </c>
      <c r="I306" s="122">
        <f t="shared" si="43"/>
        <v>0.42643426701225873</v>
      </c>
      <c r="J306" s="122">
        <f t="shared" si="44"/>
        <v>-2.4946652935536908E-2</v>
      </c>
      <c r="K306" s="122">
        <f t="shared" si="45"/>
        <v>8.9814884054805685E-2</v>
      </c>
      <c r="Y306" s="126">
        <f>IF($Z$1, C306, -0.2)</f>
        <v>-0.2</v>
      </c>
    </row>
    <row r="307" spans="2:25" x14ac:dyDescent="0.3">
      <c r="B307" s="12">
        <v>0.42914857976759269</v>
      </c>
      <c r="C307" s="12">
        <f t="shared" si="37"/>
        <v>1.9952797794307347E-2</v>
      </c>
      <c r="D307" s="126">
        <f t="shared" si="38"/>
        <v>4.4888845956831284E-2</v>
      </c>
      <c r="E307" s="12">
        <f t="shared" si="39"/>
        <v>-3.2387310852880738E-3</v>
      </c>
      <c r="F307" s="12">
        <f t="shared" si="40"/>
        <v>-3.2387197612666857E-3</v>
      </c>
      <c r="G307" s="122">
        <f t="shared" si="41"/>
        <v>0.42929396190589358</v>
      </c>
      <c r="H307" s="122">
        <f t="shared" si="42"/>
        <v>6.4841408324930724E-2</v>
      </c>
      <c r="I307" s="122">
        <f t="shared" si="43"/>
        <v>0.42900319762929179</v>
      </c>
      <c r="J307" s="122">
        <f t="shared" si="44"/>
        <v>-2.4935812736316027E-2</v>
      </c>
      <c r="K307" s="122">
        <f t="shared" si="45"/>
        <v>8.9777221061246748E-2</v>
      </c>
      <c r="Y307" s="126">
        <f>IF($Z$1, C307, -0.2)</f>
        <v>-0.2</v>
      </c>
    </row>
    <row r="308" spans="2:25" x14ac:dyDescent="0.3">
      <c r="B308" s="12">
        <v>0.43173598827946269</v>
      </c>
      <c r="C308" s="12">
        <f t="shared" si="37"/>
        <v>1.9944045947106991E-2</v>
      </c>
      <c r="D308" s="126">
        <f t="shared" si="38"/>
        <v>4.4868274686296526E-2</v>
      </c>
      <c r="E308" s="12">
        <f t="shared" si="39"/>
        <v>-3.5262209199402967E-3</v>
      </c>
      <c r="F308" s="12">
        <f t="shared" si="40"/>
        <v>-3.5262063047640101E-3</v>
      </c>
      <c r="G308" s="122">
        <f t="shared" si="41"/>
        <v>0.43189420274466833</v>
      </c>
      <c r="H308" s="122">
        <f t="shared" si="42"/>
        <v>6.4812041684692123E-2</v>
      </c>
      <c r="I308" s="122">
        <f t="shared" si="43"/>
        <v>0.43157777381425705</v>
      </c>
      <c r="J308" s="122">
        <f t="shared" si="44"/>
        <v>-2.4923949790478135E-2</v>
      </c>
      <c r="K308" s="122">
        <f t="shared" si="45"/>
        <v>8.9735991475170251E-2</v>
      </c>
      <c r="Y308" s="126">
        <f>IF($Z$1, C308, -0.2)</f>
        <v>-0.2</v>
      </c>
    </row>
    <row r="309" spans="2:25" x14ac:dyDescent="0.3">
      <c r="B309" s="12">
        <v>0.43432902782932004</v>
      </c>
      <c r="C309" s="12">
        <f t="shared" si="37"/>
        <v>1.9934528769349653E-2</v>
      </c>
      <c r="D309" s="126">
        <f t="shared" si="38"/>
        <v>4.4845914203059535E-2</v>
      </c>
      <c r="E309" s="12">
        <f t="shared" si="39"/>
        <v>-3.8143364254800017E-3</v>
      </c>
      <c r="F309" s="12">
        <f t="shared" si="40"/>
        <v>-3.8143179271748237E-3</v>
      </c>
      <c r="G309" s="122">
        <f t="shared" si="41"/>
        <v>0.43450008398904133</v>
      </c>
      <c r="H309" s="122">
        <f t="shared" si="42"/>
        <v>6.4780116740725369E-2</v>
      </c>
      <c r="I309" s="122">
        <f t="shared" si="43"/>
        <v>0.43415797166959874</v>
      </c>
      <c r="J309" s="122">
        <f t="shared" si="44"/>
        <v>-2.4911059202026062E-2</v>
      </c>
      <c r="K309" s="122">
        <f t="shared" si="45"/>
        <v>8.969117594275143E-2</v>
      </c>
      <c r="Y309" s="126">
        <f>IF($Z$1, C309, -0.2)</f>
        <v>-0.2</v>
      </c>
    </row>
    <row r="310" spans="2:25" x14ac:dyDescent="0.3">
      <c r="B310" s="12">
        <v>0.43692767272223476</v>
      </c>
      <c r="C310" s="12">
        <f t="shared" si="37"/>
        <v>1.9924241499295531E-2</v>
      </c>
      <c r="D310" s="126">
        <f t="shared" si="38"/>
        <v>4.4821754908179655E-2</v>
      </c>
      <c r="E310" s="12">
        <f t="shared" si="39"/>
        <v>-4.1030747469149717E-3</v>
      </c>
      <c r="F310" s="12">
        <f t="shared" si="40"/>
        <v>-4.1030517217556179E-3</v>
      </c>
      <c r="G310" s="122">
        <f t="shared" si="41"/>
        <v>0.43711157818487278</v>
      </c>
      <c r="H310" s="122">
        <f t="shared" si="42"/>
        <v>6.4745619120133324E-2</v>
      </c>
      <c r="I310" s="122">
        <f t="shared" si="43"/>
        <v>0.43674376725959674</v>
      </c>
      <c r="J310" s="122">
        <f t="shared" si="44"/>
        <v>-2.4897136121542263E-2</v>
      </c>
      <c r="K310" s="122">
        <f t="shared" si="45"/>
        <v>8.9642755241675587E-2</v>
      </c>
      <c r="Y310" s="126">
        <f>IF($Z$1, C310, -0.2)</f>
        <v>-0.2</v>
      </c>
    </row>
    <row r="311" spans="2:25" x14ac:dyDescent="0.3">
      <c r="B311" s="12">
        <v>0.43953189720773167</v>
      </c>
      <c r="C311" s="12">
        <f t="shared" si="37"/>
        <v>1.991317939461985E-2</v>
      </c>
      <c r="D311" s="126">
        <f t="shared" si="38"/>
        <v>4.4795787267891823E-2</v>
      </c>
      <c r="E311" s="12">
        <f t="shared" si="39"/>
        <v>-4.3924330230812941E-3</v>
      </c>
      <c r="F311" s="12">
        <f t="shared" si="40"/>
        <v>-4.3924047749865063E-3</v>
      </c>
      <c r="G311" s="122">
        <f t="shared" si="41"/>
        <v>0.43972865780493409</v>
      </c>
      <c r="H311" s="122">
        <f t="shared" si="42"/>
        <v>6.4708534535723575E-2</v>
      </c>
      <c r="I311" s="122">
        <f t="shared" si="43"/>
        <v>0.43933513661052925</v>
      </c>
      <c r="J311" s="122">
        <f t="shared" si="44"/>
        <v>-2.4882175746483878E-2</v>
      </c>
      <c r="K311" s="122">
        <f t="shared" si="45"/>
        <v>8.9590710282207456E-2</v>
      </c>
      <c r="Y311" s="126">
        <f>IF($Z$1, C311, -0.2)</f>
        <v>-0.2</v>
      </c>
    </row>
    <row r="312" spans="2:25" x14ac:dyDescent="0.3">
      <c r="B312" s="12">
        <v>0.4421416754800469</v>
      </c>
      <c r="C312" s="12">
        <f t="shared" si="37"/>
        <v>1.9901337732651913E-2</v>
      </c>
      <c r="D312" s="126">
        <f t="shared" si="38"/>
        <v>4.4768001814118968E-2</v>
      </c>
      <c r="E312" s="12">
        <f t="shared" si="39"/>
        <v>-4.6824083866718758E-3</v>
      </c>
      <c r="F312" s="12">
        <f t="shared" si="40"/>
        <v>-4.6823741666014405E-3</v>
      </c>
      <c r="G312" s="122">
        <f t="shared" si="41"/>
        <v>0.44235129524925715</v>
      </c>
      <c r="H312" s="122">
        <f t="shared" si="42"/>
        <v>6.4668848786778158E-2</v>
      </c>
      <c r="I312" s="122">
        <f t="shared" si="43"/>
        <v>0.44193205571083666</v>
      </c>
      <c r="J312" s="122">
        <f t="shared" si="44"/>
        <v>-2.4866173321474335E-2</v>
      </c>
      <c r="K312" s="122">
        <f t="shared" si="45"/>
        <v>8.9535022108252496E-2</v>
      </c>
      <c r="Y312" s="126">
        <f>IF($Z$1, C312, -0.2)</f>
        <v>-0.2</v>
      </c>
    </row>
    <row r="313" spans="2:25" x14ac:dyDescent="0.3">
      <c r="B313" s="12">
        <v>0.44475698167838285</v>
      </c>
      <c r="C313" s="12">
        <f t="shared" si="37"/>
        <v>1.9888711810613382E-2</v>
      </c>
      <c r="D313" s="126">
        <f t="shared" si="38"/>
        <v>4.4738389144980621E-2</v>
      </c>
      <c r="E313" s="12">
        <f t="shared" si="39"/>
        <v>-4.9729979642647582E-3</v>
      </c>
      <c r="F313" s="12">
        <f t="shared" si="40"/>
        <v>-4.9729569696182916E-3</v>
      </c>
      <c r="G313" s="122">
        <f t="shared" si="41"/>
        <v>0.44497946284548384</v>
      </c>
      <c r="H313" s="122">
        <f t="shared" si="42"/>
        <v>6.4626547759818673E-2</v>
      </c>
      <c r="I313" s="122">
        <f t="shared" si="43"/>
        <v>0.44453450051128185</v>
      </c>
      <c r="J313" s="122">
        <f t="shared" si="44"/>
        <v>-2.4849124138591912E-2</v>
      </c>
      <c r="K313" s="122">
        <f t="shared" si="45"/>
        <v>8.9475671898410589E-2</v>
      </c>
      <c r="Y313" s="126">
        <f>IF($Z$1, C313, -0.2)</f>
        <v>-0.2</v>
      </c>
    </row>
    <row r="314" spans="2:25" x14ac:dyDescent="0.3">
      <c r="B314" s="12">
        <v>0.44737778988716459</v>
      </c>
      <c r="C314" s="12">
        <f t="shared" si="37"/>
        <v>1.9875296945855981E-2</v>
      </c>
      <c r="D314" s="126">
        <f t="shared" si="38"/>
        <v>4.4706939925297846E-2</v>
      </c>
      <c r="E314" s="12">
        <f t="shared" si="39"/>
        <v>-5.2641988763516192E-3</v>
      </c>
      <c r="F314" s="12">
        <f t="shared" si="40"/>
        <v>-5.264150250369198E-3</v>
      </c>
      <c r="G314" s="122">
        <f t="shared" si="41"/>
        <v>0.44761313284921972</v>
      </c>
      <c r="H314" s="122">
        <f t="shared" si="42"/>
        <v>6.458161742936705E-2</v>
      </c>
      <c r="I314" s="122">
        <f t="shared" si="43"/>
        <v>0.44714244692510946</v>
      </c>
      <c r="J314" s="122">
        <f t="shared" si="44"/>
        <v>-2.4831023537655091E-2</v>
      </c>
      <c r="K314" s="122">
        <f t="shared" si="45"/>
        <v>8.9412640967022144E-2</v>
      </c>
      <c r="Y314" s="126">
        <f>IF($Z$1, C314, -0.2)</f>
        <v>-0.2</v>
      </c>
    </row>
    <row r="315" spans="2:25" x14ac:dyDescent="0.3">
      <c r="B315" s="12">
        <v>0.45000407413629695</v>
      </c>
      <c r="C315" s="12">
        <f t="shared" si="37"/>
        <v>1.9861088476098434E-2</v>
      </c>
      <c r="D315" s="126">
        <f t="shared" si="38"/>
        <v>4.4673644887094154E-2</v>
      </c>
      <c r="E315" s="12">
        <f t="shared" si="39"/>
        <v>-5.5560082373663257E-3</v>
      </c>
      <c r="F315" s="12">
        <f t="shared" si="40"/>
        <v>-5.5559510685310237E-3</v>
      </c>
      <c r="G315" s="122">
        <f t="shared" si="41"/>
        <v>0.45025227744439017</v>
      </c>
      <c r="H315" s="122">
        <f t="shared" si="42"/>
        <v>6.4534043858701512E-2</v>
      </c>
      <c r="I315" s="122">
        <f t="shared" si="43"/>
        <v>0.44975587082820373</v>
      </c>
      <c r="J315" s="122">
        <f t="shared" si="44"/>
        <v>-2.4811866906504641E-2</v>
      </c>
      <c r="K315" s="122">
        <f t="shared" si="45"/>
        <v>8.9345910765206149E-2</v>
      </c>
      <c r="Y315" s="126">
        <f>IF($Z$1, C315, -0.2)</f>
        <v>-0.2</v>
      </c>
    </row>
    <row r="316" spans="2:25" x14ac:dyDescent="0.3">
      <c r="B316" s="12">
        <v>0.45263580840142115</v>
      </c>
      <c r="C316" s="12">
        <f t="shared" si="37"/>
        <v>1.9846081759662716E-2</v>
      </c>
      <c r="D316" s="126">
        <f t="shared" si="38"/>
        <v>4.4638494830092725E-2</v>
      </c>
      <c r="E316" s="12">
        <f t="shared" si="39"/>
        <v>-5.8484231557134588E-3</v>
      </c>
      <c r="F316" s="12">
        <f t="shared" si="40"/>
        <v>-5.8483564771558685E-3</v>
      </c>
      <c r="G316" s="122">
        <f t="shared" si="41"/>
        <v>0.45289686874359891</v>
      </c>
      <c r="H316" s="122">
        <f t="shared" si="42"/>
        <v>6.4483813200608017E-2</v>
      </c>
      <c r="I316" s="122">
        <f t="shared" si="43"/>
        <v>0.45237474805924338</v>
      </c>
      <c r="J316" s="122">
        <f t="shared" si="44"/>
        <v>-2.4791649681282585E-2</v>
      </c>
      <c r="K316" s="122">
        <f t="shared" si="45"/>
        <v>8.9275462881890602E-2</v>
      </c>
      <c r="Y316" s="126">
        <f>IF($Z$1, C316, -0.2)</f>
        <v>-0.2</v>
      </c>
    </row>
    <row r="317" spans="2:25" x14ac:dyDescent="0.3">
      <c r="B317" s="12">
        <v>0.45527296660417349</v>
      </c>
      <c r="C317" s="12">
        <f t="shared" si="37"/>
        <v>1.9830272175709665E-2</v>
      </c>
      <c r="D317" s="126">
        <f t="shared" si="38"/>
        <v>4.4601480622209567E-2</v>
      </c>
      <c r="E317" s="12">
        <f t="shared" si="39"/>
        <v>-6.1414407337970524E-3</v>
      </c>
      <c r="F317" s="12">
        <f t="shared" si="40"/>
        <v>-6.1413635227018605E-3</v>
      </c>
      <c r="G317" s="122">
        <f t="shared" si="41"/>
        <v>0.45554687878848987</v>
      </c>
      <c r="H317" s="122">
        <f t="shared" si="42"/>
        <v>6.4430911698127036E-2</v>
      </c>
      <c r="I317" s="122">
        <f t="shared" si="43"/>
        <v>0.45499905441985711</v>
      </c>
      <c r="J317" s="122">
        <f t="shared" si="44"/>
        <v>-2.4770367346707706E-2</v>
      </c>
      <c r="K317" s="122">
        <f t="shared" si="45"/>
        <v>8.9201279044834741E-2</v>
      </c>
      <c r="Y317" s="126">
        <f>IF($Z$1, C317, -0.2)</f>
        <v>-0.2</v>
      </c>
    </row>
    <row r="318" spans="2:25" x14ac:dyDescent="0.3">
      <c r="B318" s="12">
        <v>0.45791552261244328</v>
      </c>
      <c r="C318" s="12">
        <f t="shared" si="37"/>
        <v>1.9813655124473754E-2</v>
      </c>
      <c r="D318" s="126">
        <f t="shared" si="38"/>
        <v>4.4562593200042952E-2</v>
      </c>
      <c r="E318" s="12">
        <f t="shared" si="39"/>
        <v>-6.4350580680492516E-3</v>
      </c>
      <c r="F318" s="12">
        <f t="shared" si="40"/>
        <v>-6.4349692450639357E-3</v>
      </c>
      <c r="G318" s="122">
        <f t="shared" si="41"/>
        <v>0.45820227955011145</v>
      </c>
      <c r="H318" s="122">
        <f t="shared" si="42"/>
        <v>6.4375325685295567E-2</v>
      </c>
      <c r="I318" s="122">
        <f t="shared" si="43"/>
        <v>0.45762876567477512</v>
      </c>
      <c r="J318" s="122">
        <f t="shared" si="44"/>
        <v>-2.4748015436348064E-2</v>
      </c>
      <c r="K318" s="122">
        <f t="shared" si="45"/>
        <v>8.9123341121643634E-2</v>
      </c>
      <c r="Y318" s="126">
        <f>IF($Z$1, C318, -0.2)</f>
        <v>-0.2</v>
      </c>
    </row>
    <row r="319" spans="2:25" x14ac:dyDescent="0.3">
      <c r="B319" s="12">
        <v>0.46056345024063217</v>
      </c>
      <c r="C319" s="12">
        <f t="shared" si="37"/>
        <v>1.9796226027497251E-2</v>
      </c>
      <c r="D319" s="126">
        <f t="shared" si="38"/>
        <v>4.4521823569358791E-2</v>
      </c>
      <c r="E319" s="12">
        <f t="shared" si="39"/>
        <v>-6.7292722489591273E-3</v>
      </c>
      <c r="F319" s="12">
        <f t="shared" si="40"/>
        <v>-6.7291706776048503E-3</v>
      </c>
      <c r="G319" s="122">
        <f t="shared" si="41"/>
        <v>0.46086304292928371</v>
      </c>
      <c r="H319" s="122">
        <f t="shared" si="42"/>
        <v>6.4317041587884483E-2</v>
      </c>
      <c r="I319" s="122">
        <f t="shared" si="43"/>
        <v>0.46026385755198063</v>
      </c>
      <c r="J319" s="122">
        <f t="shared" si="44"/>
        <v>-2.4724589532889984E-2</v>
      </c>
      <c r="K319" s="122">
        <f t="shared" si="45"/>
        <v>8.904163112077447E-2</v>
      </c>
      <c r="Y319" s="126">
        <f>IF($Z$1, C319, -0.2)</f>
        <v>-0.2</v>
      </c>
    </row>
    <row r="320" spans="2:25" x14ac:dyDescent="0.3">
      <c r="B320" s="12">
        <v>0.46321672324991292</v>
      </c>
      <c r="C320" s="12">
        <f t="shared" si="37"/>
        <v>1.9777980327863549E-2</v>
      </c>
      <c r="D320" s="126">
        <f t="shared" si="38"/>
        <v>4.4479162805572119E-2</v>
      </c>
      <c r="E320" s="12">
        <f t="shared" si="39"/>
        <v>-7.0240803611014337E-3</v>
      </c>
      <c r="F320" s="12">
        <f t="shared" si="40"/>
        <v>-7.0239648471862011E-3</v>
      </c>
      <c r="G320" s="122">
        <f t="shared" si="41"/>
        <v>0.46352914075696744</v>
      </c>
      <c r="H320" s="122">
        <f t="shared" si="42"/>
        <v>6.4256045924131061E-2</v>
      </c>
      <c r="I320" s="122">
        <f t="shared" si="43"/>
        <v>0.4629043057428584</v>
      </c>
      <c r="J320" s="122">
        <f t="shared" si="44"/>
        <v>-2.4700085268403969E-2</v>
      </c>
      <c r="K320" s="122">
        <f t="shared" si="45"/>
        <v>8.8956131192535037E-2</v>
      </c>
      <c r="Y320" s="126">
        <f>IF($Z$1, C320, -0.2)</f>
        <v>-0.2</v>
      </c>
    </row>
    <row r="321" spans="2:25" x14ac:dyDescent="0.3">
      <c r="B321" s="12">
        <v>0.46587531534849058</v>
      </c>
      <c r="C321" s="12">
        <f t="shared" ref="C321:C384" si="46">IF($A$1=0, 0, IF(B321&lt;=$A$2, ($A$1/$A$2^2)*(2*$A$2*B321-B321^2), ($A$1/(1-$A$2)^2)*((1-2*$A$2)+2*$A$2*B321-B321^2)))</f>
        <v>1.9758913490429832E-2</v>
      </c>
      <c r="D321" s="126">
        <f t="shared" ref="D321:D384" si="47">IF(B321&lt;$N$1, ($A$3/0.2)*($O$1*SQRT(B321)+$P$1*B321+$Q$1*(B321^2)+$R$1*(B321^3)), ($A$3/0.2)*($S$1+$T$1*(1-B321)+$U$1*((1-B321)^2)+$V$1*((1-B321)^3)))</f>
        <v>4.4434602054224559E-2</v>
      </c>
      <c r="E321" s="12">
        <f t="shared" si="39"/>
        <v>-7.319479483165618E-3</v>
      </c>
      <c r="F321" s="12">
        <f t="shared" si="40"/>
        <v>-7.3193487741997727E-3</v>
      </c>
      <c r="G321" s="122">
        <f t="shared" si="41"/>
        <v>0.46620054479463779</v>
      </c>
      <c r="H321" s="122">
        <f t="shared" si="42"/>
        <v>6.4192325305466674E-2</v>
      </c>
      <c r="I321" s="122">
        <f t="shared" si="43"/>
        <v>0.46555008590234337</v>
      </c>
      <c r="J321" s="122">
        <f t="shared" si="44"/>
        <v>-2.4674498324607018E-2</v>
      </c>
      <c r="K321" s="122">
        <f t="shared" si="45"/>
        <v>8.8866823630073699E-2</v>
      </c>
      <c r="Y321" s="126">
        <f>IF($Z$1, C321, -0.2)</f>
        <v>-0.2</v>
      </c>
    </row>
    <row r="322" spans="2:25" x14ac:dyDescent="0.3">
      <c r="B322" s="12">
        <v>0.46853920019186157</v>
      </c>
      <c r="C322" s="12">
        <f t="shared" si="46"/>
        <v>1.9739021002058883E-2</v>
      </c>
      <c r="D322" s="126">
        <f t="shared" si="47"/>
        <v>4.4388132531457861E-2</v>
      </c>
      <c r="E322" s="12">
        <f t="shared" ref="E322:E385" si="48">IF($A$1=0, 0, IF(B322&lt;=$A$2, ($A$1/$A$2^2) *(2*$A$2-2*B322), ($A$1/(1-$A$2)^2)*(2*$A$2-2*B322)))</f>
        <v>-7.6154666879846167E-3</v>
      </c>
      <c r="F322" s="12">
        <f t="shared" ref="F322:F385" si="49">IF($A$1=0, 0,  ATAN(E322))</f>
        <v>-7.6153194725987411E-3</v>
      </c>
      <c r="G322" s="122">
        <f t="shared" ref="G322:G385" si="50">B322-D322*SIN(F322)</f>
        <v>0.46887722673465793</v>
      </c>
      <c r="H322" s="122">
        <f t="shared" ref="H322:H385" si="51">C322+D322*COS(F322)</f>
        <v>6.4125866437239706E-2</v>
      </c>
      <c r="I322" s="122">
        <f t="shared" ref="I322:I385" si="52">B322+D322*SIN(F322)</f>
        <v>0.46820117364906522</v>
      </c>
      <c r="J322" s="122">
        <f t="shared" ref="J322:J385" si="53">C322-D322*COS(F322)</f>
        <v>-2.464782443312194E-2</v>
      </c>
      <c r="K322" s="122">
        <f t="shared" ref="K322:K385" si="54">2*D322*COS(F322)</f>
        <v>8.8773690870361646E-2</v>
      </c>
      <c r="Y322" s="126">
        <f>IF($Z$1, C322, -0.2)</f>
        <v>-0.2</v>
      </c>
    </row>
    <row r="323" spans="2:25" x14ac:dyDescent="0.3">
      <c r="B323" s="12">
        <v>0.47120835138307604</v>
      </c>
      <c r="C323" s="12">
        <f t="shared" si="46"/>
        <v>1.9718298371850247E-2</v>
      </c>
      <c r="D323" s="126">
        <f t="shared" si="47"/>
        <v>4.4339745524483345E-2</v>
      </c>
      <c r="E323" s="12">
        <f t="shared" si="48"/>
        <v>-7.9120390425640019E-3</v>
      </c>
      <c r="F323" s="12">
        <f t="shared" si="49"/>
        <v>-7.9118739499292965E-3</v>
      </c>
      <c r="G323" s="122">
        <f t="shared" si="50"/>
        <v>0.47155915820065808</v>
      </c>
      <c r="H323" s="122">
        <f t="shared" si="51"/>
        <v>6.4056656119433536E-2</v>
      </c>
      <c r="I323" s="122">
        <f t="shared" si="52"/>
        <v>0.470857544565494</v>
      </c>
      <c r="J323" s="122">
        <f t="shared" si="53"/>
        <v>-2.4620059375733042E-2</v>
      </c>
      <c r="K323" s="122">
        <f t="shared" si="54"/>
        <v>8.8676715495166578E-2</v>
      </c>
      <c r="Y323" s="126">
        <f>IF($Z$1, C323, -0.2)</f>
        <v>-0.2</v>
      </c>
    </row>
    <row r="324" spans="2:25" x14ac:dyDescent="0.3">
      <c r="B324" s="12">
        <v>0.47388274247299855</v>
      </c>
      <c r="C324" s="12">
        <f t="shared" si="46"/>
        <v>1.9696741131370477E-2</v>
      </c>
      <c r="D324" s="126">
        <f t="shared" si="47"/>
        <v>4.4289432392047308E-2</v>
      </c>
      <c r="E324" s="12">
        <f t="shared" si="48"/>
        <v>-8.2091936081109488E-3</v>
      </c>
      <c r="F324" s="12">
        <f t="shared" si="49"/>
        <v>-8.2090092073621602E-3</v>
      </c>
      <c r="G324" s="122">
        <f t="shared" si="50"/>
        <v>0.47424631074791529</v>
      </c>
      <c r="H324" s="122">
        <f t="shared" si="51"/>
        <v>6.3984681247379521E-2</v>
      </c>
      <c r="I324" s="122">
        <f t="shared" si="52"/>
        <v>0.47351917419808182</v>
      </c>
      <c r="J324" s="122">
        <f t="shared" si="53"/>
        <v>-2.459119898463857E-2</v>
      </c>
      <c r="K324" s="122">
        <f t="shared" si="54"/>
        <v>8.8575880232018095E-2</v>
      </c>
      <c r="Y324" s="126">
        <f>IF($Z$1, C324, -0.2)</f>
        <v>-0.2</v>
      </c>
    </row>
    <row r="325" spans="2:25" x14ac:dyDescent="0.3">
      <c r="B325" s="12">
        <v>0.47656234696057043</v>
      </c>
      <c r="C325" s="12">
        <f t="shared" si="46"/>
        <v>1.9674344834882729E-2</v>
      </c>
      <c r="D325" s="126">
        <f t="shared" si="47"/>
        <v>4.4237184564892507E-2</v>
      </c>
      <c r="E325" s="12">
        <f t="shared" si="48"/>
        <v>-8.506927440063379E-3</v>
      </c>
      <c r="F325" s="12">
        <f t="shared" si="49"/>
        <v>-8.5067222397243458E-3</v>
      </c>
      <c r="G325" s="122">
        <f t="shared" si="50"/>
        <v>0.47693865586373657</v>
      </c>
      <c r="H325" s="122">
        <f t="shared" si="51"/>
        <v>6.3909928812465322E-2</v>
      </c>
      <c r="I325" s="122">
        <f t="shared" si="52"/>
        <v>0.47618603805740428</v>
      </c>
      <c r="J325" s="122">
        <f t="shared" si="53"/>
        <v>-2.4561239142699864E-2</v>
      </c>
      <c r="K325" s="122">
        <f t="shared" si="54"/>
        <v>8.8471167955165186E-2</v>
      </c>
      <c r="Y325" s="126">
        <f>IF($Z$1, C325, -0.2)</f>
        <v>-0.2</v>
      </c>
    </row>
    <row r="326" spans="2:25" x14ac:dyDescent="0.3">
      <c r="B326" s="12">
        <v>0.47924713829307297</v>
      </c>
      <c r="C326" s="12">
        <f t="shared" si="46"/>
        <v>1.9651105059575475E-2</v>
      </c>
      <c r="D326" s="126">
        <f t="shared" si="47"/>
        <v>4.4182993546215368E-2</v>
      </c>
      <c r="E326" s="12">
        <f t="shared" si="48"/>
        <v>-8.805237588119217E-3</v>
      </c>
      <c r="F326" s="12">
        <f t="shared" si="49"/>
        <v>-8.8050100355311061E-3</v>
      </c>
      <c r="G326" s="122">
        <f t="shared" si="50"/>
        <v>0.47963616496784534</v>
      </c>
      <c r="H326" s="122">
        <f t="shared" si="51"/>
        <v>6.3832385902837865E-2</v>
      </c>
      <c r="I326" s="122">
        <f t="shared" si="52"/>
        <v>0.47885811161830061</v>
      </c>
      <c r="J326" s="122">
        <f t="shared" si="53"/>
        <v>-2.4530175783686919E-2</v>
      </c>
      <c r="K326" s="122">
        <f t="shared" si="54"/>
        <v>8.8362561686524788E-2</v>
      </c>
      <c r="Y326" s="126">
        <f>IF($Z$1, C326, -0.2)</f>
        <v>-0.2</v>
      </c>
    </row>
    <row r="327" spans="2:25" x14ac:dyDescent="0.3">
      <c r="B327" s="12">
        <v>0.48193708986638928</v>
      </c>
      <c r="C327" s="12">
        <f t="shared" si="46"/>
        <v>1.9627017405790408E-2</v>
      </c>
      <c r="D327" s="126">
        <f t="shared" si="47"/>
        <v>4.4126850912119153E-2</v>
      </c>
      <c r="E327" s="12">
        <f t="shared" si="48"/>
        <v>-9.1041210962654728E-3</v>
      </c>
      <c r="F327" s="12">
        <f t="shared" si="49"/>
        <v>-9.1038695770177726E-3</v>
      </c>
      <c r="G327" s="122">
        <f t="shared" si="50"/>
        <v>0.48233880941276852</v>
      </c>
      <c r="H327" s="122">
        <f t="shared" si="51"/>
        <v>6.3752039704101468E-2</v>
      </c>
      <c r="I327" s="122">
        <f t="shared" si="52"/>
        <v>0.48153537032001004</v>
      </c>
      <c r="J327" s="122">
        <f t="shared" si="53"/>
        <v>-2.4498004892520648E-2</v>
      </c>
      <c r="K327" s="122">
        <f t="shared" si="54"/>
        <v>8.8250044596622113E-2</v>
      </c>
      <c r="Y327" s="126">
        <f>IF($Z$1, C327, -0.2)</f>
        <v>-0.2</v>
      </c>
    </row>
    <row r="328" spans="2:25" x14ac:dyDescent="0.3">
      <c r="B328" s="12">
        <v>0.48463217502526945</v>
      </c>
      <c r="C328" s="12">
        <f t="shared" si="46"/>
        <v>1.960207749724956E-2</v>
      </c>
      <c r="D328" s="126">
        <f t="shared" si="47"/>
        <v>4.4068748312063144E-2</v>
      </c>
      <c r="E328" s="12">
        <f t="shared" si="48"/>
        <v>-9.403575002807715E-3</v>
      </c>
      <c r="F328" s="12">
        <f t="shared" si="49"/>
        <v>-9.4032978401720653E-3</v>
      </c>
      <c r="G328" s="122">
        <f t="shared" si="50"/>
        <v>0.48504656048422917</v>
      </c>
      <c r="H328" s="122">
        <f t="shared" si="51"/>
        <v>6.3668877500010948E-2</v>
      </c>
      <c r="I328" s="122">
        <f t="shared" si="52"/>
        <v>0.48421778956630973</v>
      </c>
      <c r="J328" s="122">
        <f t="shared" si="53"/>
        <v>-2.4464722505511825E-2</v>
      </c>
      <c r="K328" s="122">
        <f t="shared" si="54"/>
        <v>8.8133600005522769E-2</v>
      </c>
      <c r="Y328" s="126">
        <f>IF($Z$1, C328, -0.2)</f>
        <v>-0.2</v>
      </c>
    </row>
    <row r="329" spans="2:25" x14ac:dyDescent="0.3">
      <c r="B329" s="12">
        <v>0.48733236706359295</v>
      </c>
      <c r="C329" s="12">
        <f t="shared" si="46"/>
        <v>1.9576280981281658E-2</v>
      </c>
      <c r="D329" s="126">
        <f t="shared" si="47"/>
        <v>4.4008677469307471E-2</v>
      </c>
      <c r="E329" s="12">
        <f t="shared" si="48"/>
        <v>-9.7035963403992159E-3</v>
      </c>
      <c r="F329" s="12">
        <f t="shared" si="49"/>
        <v>-9.7032917947661272E-3</v>
      </c>
      <c r="G329" s="122">
        <f t="shared" si="50"/>
        <v>0.48775938940153807</v>
      </c>
      <c r="H329" s="122">
        <f t="shared" si="51"/>
        <v>6.358288667315963E-2</v>
      </c>
      <c r="I329" s="122">
        <f t="shared" si="52"/>
        <v>0.48690534472564784</v>
      </c>
      <c r="J329" s="122">
        <f t="shared" si="53"/>
        <v>-2.4430324710596311E-2</v>
      </c>
      <c r="K329" s="122">
        <f t="shared" si="54"/>
        <v>8.8013211383755938E-2</v>
      </c>
      <c r="Y329" s="126">
        <f>IF($Z$1, C329, -0.2)</f>
        <v>-0.2</v>
      </c>
    </row>
    <row r="330" spans="2:25" x14ac:dyDescent="0.3">
      <c r="B330" s="12">
        <v>0.49003763922463506</v>
      </c>
      <c r="C330" s="12">
        <f t="shared" si="46"/>
        <v>1.9549623529047464E-2</v>
      </c>
      <c r="D330" s="126">
        <f t="shared" si="47"/>
        <v>4.3946630181353939E-2</v>
      </c>
      <c r="E330" s="12">
        <f t="shared" si="48"/>
        <v>-1.000418213607056E-2</v>
      </c>
      <c r="F330" s="12">
        <f t="shared" si="49"/>
        <v>-1.0003848404389115E-2</v>
      </c>
      <c r="G330" s="122">
        <f t="shared" si="50"/>
        <v>0.49047726731799191</v>
      </c>
      <c r="H330" s="122">
        <f t="shared" si="51"/>
        <v>6.3494054705662106E-2</v>
      </c>
      <c r="I330" s="122">
        <f t="shared" si="52"/>
        <v>0.48959801113127821</v>
      </c>
      <c r="J330" s="122">
        <f t="shared" si="53"/>
        <v>-2.4394807647567174E-2</v>
      </c>
      <c r="K330" s="122">
        <f t="shared" si="54"/>
        <v>8.7888862353229277E-2</v>
      </c>
      <c r="Y330" s="126">
        <f>IF($Z$1, C330, -0.2)</f>
        <v>-0.2</v>
      </c>
    </row>
    <row r="331" spans="2:25" x14ac:dyDescent="0.3">
      <c r="B331" s="12">
        <v>0.49274796470133042</v>
      </c>
      <c r="C331" s="12">
        <f t="shared" si="46"/>
        <v>1.9522100835764489E-2</v>
      </c>
      <c r="D331" s="126">
        <f t="shared" si="47"/>
        <v>4.3882598320382604E-2</v>
      </c>
      <c r="E331" s="12">
        <f t="shared" si="48"/>
        <v>-1.0305329411258933E-2</v>
      </c>
      <c r="F331" s="12">
        <f t="shared" si="49"/>
        <v>-1.0304964626479526E-2</v>
      </c>
      <c r="G331" s="122">
        <f t="shared" si="50"/>
        <v>0.49320016532127048</v>
      </c>
      <c r="H331" s="122">
        <f t="shared" si="51"/>
        <v>6.3402369179831983E-2</v>
      </c>
      <c r="I331" s="122">
        <f t="shared" si="52"/>
        <v>0.49229576408139036</v>
      </c>
      <c r="J331" s="122">
        <f t="shared" si="53"/>
        <v>-2.4358167508303007E-2</v>
      </c>
      <c r="K331" s="122">
        <f t="shared" si="54"/>
        <v>8.7760536688134994E-2</v>
      </c>
      <c r="Y331" s="126">
        <f>IF($Z$1, C331, -0.2)</f>
        <v>-0.2</v>
      </c>
    </row>
    <row r="332" spans="2:25" x14ac:dyDescent="0.3">
      <c r="B332" s="12">
        <v>0.4954633166365402</v>
      </c>
      <c r="C332" s="12">
        <f t="shared" si="46"/>
        <v>1.9493708620930646E-2</v>
      </c>
      <c r="D332" s="126">
        <f t="shared" si="47"/>
        <v>4.3816573833684133E-2</v>
      </c>
      <c r="E332" s="12">
        <f t="shared" si="48"/>
        <v>-1.0607035181837797E-2</v>
      </c>
      <c r="F332" s="12">
        <f t="shared" si="49"/>
        <v>-1.0606637412357971E-2</v>
      </c>
      <c r="G332" s="122">
        <f t="shared" si="50"/>
        <v>0.49592805443383919</v>
      </c>
      <c r="H332" s="122">
        <f t="shared" si="51"/>
        <v>6.3307817778854358E-2</v>
      </c>
      <c r="I332" s="122">
        <f t="shared" si="52"/>
        <v>0.4949985788392412</v>
      </c>
      <c r="J332" s="122">
        <f t="shared" si="53"/>
        <v>-2.4320400536993067E-2</v>
      </c>
      <c r="K332" s="122">
        <f t="shared" si="54"/>
        <v>8.7628218315847425E-2</v>
      </c>
      <c r="Y332" s="126">
        <f>IF($Z$1, C332, -0.2)</f>
        <v>-0.2</v>
      </c>
    </row>
    <row r="333" spans="2:25" x14ac:dyDescent="0.3">
      <c r="B333" s="12">
        <v>0.4981836681233166</v>
      </c>
      <c r="C333" s="12">
        <f t="shared" si="46"/>
        <v>1.9464442628547247E-2</v>
      </c>
      <c r="D333" s="126">
        <f t="shared" si="47"/>
        <v>4.3748548744088019E-2</v>
      </c>
      <c r="E333" s="12">
        <f t="shared" si="48"/>
        <v>-1.0909296458146287E-2</v>
      </c>
      <c r="F333" s="12">
        <f t="shared" si="49"/>
        <v>-1.0908863707259775E-2</v>
      </c>
      <c r="G333" s="122">
        <f t="shared" si="50"/>
        <v>0.49866090561335158</v>
      </c>
      <c r="H333" s="122">
        <f t="shared" si="51"/>
        <v>6.3210388287453179E-2</v>
      </c>
      <c r="I333" s="122">
        <f t="shared" si="52"/>
        <v>0.49770643063328163</v>
      </c>
      <c r="J333" s="122">
        <f t="shared" si="53"/>
        <v>-2.4281503030358684E-2</v>
      </c>
      <c r="K333" s="122">
        <f t="shared" si="54"/>
        <v>8.7491891317811862E-2</v>
      </c>
      <c r="Y333" s="126">
        <f>IF($Z$1, C333, -0.2)</f>
        <v>-0.2</v>
      </c>
    </row>
    <row r="334" spans="2:25" x14ac:dyDescent="0.3">
      <c r="B334" s="12">
        <v>0.50090899220517071</v>
      </c>
      <c r="C334" s="12">
        <f t="shared" si="46"/>
        <v>1.9434298627340932E-2</v>
      </c>
      <c r="D334" s="126">
        <f t="shared" si="47"/>
        <v>4.3678515150386517E-2</v>
      </c>
      <c r="E334" s="12">
        <f t="shared" si="48"/>
        <v>-1.1212110245018966E-2</v>
      </c>
      <c r="F334" s="12">
        <f t="shared" si="49"/>
        <v>-1.1211640450367957E-2</v>
      </c>
      <c r="G334" s="122">
        <f t="shared" si="50"/>
        <v>0.50139868975305679</v>
      </c>
      <c r="H334" s="122">
        <f t="shared" si="51"/>
        <v>6.3110068592553206E-2</v>
      </c>
      <c r="I334" s="122">
        <f t="shared" si="52"/>
        <v>0.50041929465728463</v>
      </c>
      <c r="J334" s="122">
        <f t="shared" si="53"/>
        <v>-2.4241471337871343E-2</v>
      </c>
      <c r="K334" s="122">
        <f t="shared" si="54"/>
        <v>8.7351539930424549E-2</v>
      </c>
      <c r="Y334" s="126">
        <f>IF($Z$1, C334, -0.2)</f>
        <v>-0.2</v>
      </c>
    </row>
    <row r="335" spans="2:25" x14ac:dyDescent="0.3">
      <c r="B335" s="12">
        <v>0.50363926187633923</v>
      </c>
      <c r="C335" s="12">
        <f t="shared" si="46"/>
        <v>1.9403272410984867E-2</v>
      </c>
      <c r="D335" s="126">
        <f t="shared" si="47"/>
        <v>4.3606465227754264E-2</v>
      </c>
      <c r="E335" s="12">
        <f t="shared" si="48"/>
        <v>-1.1515473541815468E-2</v>
      </c>
      <c r="F335" s="12">
        <f t="shared" si="49"/>
        <v>-1.1514964574846215E-2</v>
      </c>
      <c r="G335" s="122">
        <f t="shared" si="50"/>
        <v>0.50414137768220801</v>
      </c>
      <c r="H335" s="122">
        <f t="shared" si="51"/>
        <v>6.3006846683936829E-2</v>
      </c>
      <c r="I335" s="122">
        <f t="shared" si="52"/>
        <v>0.50313714607047044</v>
      </c>
      <c r="J335" s="122">
        <f t="shared" si="53"/>
        <v>-2.4200301861967099E-2</v>
      </c>
      <c r="K335" s="122">
        <f t="shared" si="54"/>
        <v>8.7207148545903931E-2</v>
      </c>
      <c r="Y335" s="126">
        <f>IF($Z$1, C335, -0.2)</f>
        <v>-0.2</v>
      </c>
    </row>
    <row r="336" spans="2:25" x14ac:dyDescent="0.3">
      <c r="B336" s="12">
        <v>0.50637445008205195</v>
      </c>
      <c r="C336" s="12">
        <f t="shared" si="46"/>
        <v>1.937135979831894E-2</v>
      </c>
      <c r="D336" s="126">
        <f t="shared" si="47"/>
        <v>4.3532391228163742E-2</v>
      </c>
      <c r="E336" s="12">
        <f t="shared" si="48"/>
        <v>-1.1819383342450215E-2</v>
      </c>
      <c r="F336" s="12">
        <f t="shared" si="49"/>
        <v>-1.1818833007872016E-2</v>
      </c>
      <c r="G336" s="122">
        <f t="shared" si="50"/>
        <v>0.50688894016647379</v>
      </c>
      <c r="H336" s="122">
        <f t="shared" si="51"/>
        <v>6.2900710654895456E-2</v>
      </c>
      <c r="I336" s="122">
        <f t="shared" si="52"/>
        <v>0.50585995999763012</v>
      </c>
      <c r="J336" s="122">
        <f t="shared" si="53"/>
        <v>-2.415799105825758E-2</v>
      </c>
      <c r="K336" s="122">
        <f t="shared" si="54"/>
        <v>8.7058701713153039E-2</v>
      </c>
      <c r="Y336" s="126">
        <f>IF($Z$1, C336, -0.2)</f>
        <v>-0.2</v>
      </c>
    </row>
    <row r="337" spans="2:25" x14ac:dyDescent="0.3">
      <c r="B337" s="12">
        <v>0.50911452971880011</v>
      </c>
      <c r="C337" s="12">
        <f t="shared" si="46"/>
        <v>1.9338556633569173E-2</v>
      </c>
      <c r="D337" s="126">
        <f t="shared" si="47"/>
        <v>4.3456285480796386E-2</v>
      </c>
      <c r="E337" s="12">
        <f t="shared" si="48"/>
        <v>-1.2123836635422233E-2</v>
      </c>
      <c r="F337" s="12">
        <f t="shared" si="49"/>
        <v>-1.2123242670669878E-2</v>
      </c>
      <c r="G337" s="122">
        <f t="shared" si="50"/>
        <v>0.50964134790835236</v>
      </c>
      <c r="H337" s="122">
        <f t="shared" si="51"/>
        <v>6.2791648702875721E-2</v>
      </c>
      <c r="I337" s="122">
        <f t="shared" si="52"/>
        <v>0.50858771152924787</v>
      </c>
      <c r="J337" s="122">
        <f t="shared" si="53"/>
        <v>-2.4114535435737373E-2</v>
      </c>
      <c r="K337" s="122">
        <f t="shared" si="54"/>
        <v>8.6906184138613091E-2</v>
      </c>
      <c r="Y337" s="126">
        <f>IF($Z$1, C337, -0.2)</f>
        <v>-0.2</v>
      </c>
    </row>
    <row r="338" spans="2:25" x14ac:dyDescent="0.3">
      <c r="B338" s="12">
        <v>0.51185947363460449</v>
      </c>
      <c r="C338" s="12">
        <f t="shared" si="46"/>
        <v>1.9304858786566067E-2</v>
      </c>
      <c r="D338" s="126">
        <f t="shared" si="47"/>
        <v>4.3378140392449395E-2</v>
      </c>
      <c r="E338" s="12">
        <f t="shared" si="48"/>
        <v>-1.2428830403844942E-2</v>
      </c>
      <c r="F338" s="12">
        <f t="shared" si="49"/>
        <v>-1.2428190478544689E-2</v>
      </c>
      <c r="G338" s="122">
        <f t="shared" si="50"/>
        <v>0.51239857154758683</v>
      </c>
      <c r="H338" s="122">
        <f t="shared" si="51"/>
        <v>6.2679649130120099E-2</v>
      </c>
      <c r="I338" s="122">
        <f t="shared" si="52"/>
        <v>0.51132037572162214</v>
      </c>
      <c r="J338" s="122">
        <f t="shared" si="53"/>
        <v>-2.4069931556987962E-2</v>
      </c>
      <c r="K338" s="122">
        <f t="shared" si="54"/>
        <v>8.6749580687108058E-2</v>
      </c>
      <c r="Y338" s="126">
        <f>IF($Z$1, C338, -0.2)</f>
        <v>-0.2</v>
      </c>
    </row>
    <row r="339" spans="2:25" x14ac:dyDescent="0.3">
      <c r="B339" s="12">
        <v>0.51460925462928531</v>
      </c>
      <c r="C339" s="12">
        <f t="shared" si="46"/>
        <v>1.9270262152962205E-2</v>
      </c>
      <c r="D339" s="126">
        <f t="shared" si="47"/>
        <v>4.3297948447938182E-2</v>
      </c>
      <c r="E339" s="12">
        <f t="shared" si="48"/>
        <v>-1.2734361625476144E-2</v>
      </c>
      <c r="F339" s="12">
        <f t="shared" si="49"/>
        <v>-1.2733673340915285E-2</v>
      </c>
      <c r="G339" s="122">
        <f t="shared" si="50"/>
        <v>0.51516058166158563</v>
      </c>
      <c r="H339" s="122">
        <f t="shared" si="51"/>
        <v>6.2564700344302296E-2</v>
      </c>
      <c r="I339" s="122">
        <f t="shared" si="52"/>
        <v>0.51405792759698499</v>
      </c>
      <c r="J339" s="122">
        <f t="shared" si="53"/>
        <v>-2.4024176038377889E-2</v>
      </c>
      <c r="K339" s="122">
        <f t="shared" si="54"/>
        <v>8.6588876382680188E-2</v>
      </c>
      <c r="Y339" s="126">
        <f>IF($Z$1, C339, -0.2)</f>
        <v>-0.2</v>
      </c>
    </row>
    <row r="340" spans="2:25" x14ac:dyDescent="0.3">
      <c r="B340" s="12">
        <v>0.51736384545473046</v>
      </c>
      <c r="C340" s="12">
        <f t="shared" si="46"/>
        <v>1.9234762654448786E-2</v>
      </c>
      <c r="D340" s="126">
        <f t="shared" si="47"/>
        <v>4.3215702210494616E-2</v>
      </c>
      <c r="E340" s="12">
        <f t="shared" si="48"/>
        <v>-1.3040427272747828E-2</v>
      </c>
      <c r="F340" s="12">
        <f t="shared" si="49"/>
        <v>-1.3039688161347927E-2</v>
      </c>
      <c r="G340" s="122">
        <f t="shared" si="50"/>
        <v>0.5179273487658419</v>
      </c>
      <c r="H340" s="122">
        <f t="shared" si="51"/>
        <v>6.2446790859157206E-2</v>
      </c>
      <c r="I340" s="122">
        <f t="shared" si="52"/>
        <v>0.51680034214361903</v>
      </c>
      <c r="J340" s="122">
        <f t="shared" si="53"/>
        <v>-2.3977265550259631E-2</v>
      </c>
      <c r="K340" s="122">
        <f t="shared" si="54"/>
        <v>8.6424056409416833E-2</v>
      </c>
      <c r="Y340" s="126">
        <f>IF($Z$1, C340, -0.2)</f>
        <v>-0.2</v>
      </c>
    </row>
    <row r="341" spans="2:25" x14ac:dyDescent="0.3">
      <c r="B341" s="12">
        <v>0.52012321881516699</v>
      </c>
      <c r="C341" s="12">
        <f t="shared" si="46"/>
        <v>1.9198356238971304E-2</v>
      </c>
      <c r="D341" s="126">
        <f t="shared" si="47"/>
        <v>4.3131394322160642E-2</v>
      </c>
      <c r="E341" s="12">
        <f t="shared" si="48"/>
        <v>-1.3347024312796331E-2</v>
      </c>
      <c r="F341" s="12">
        <f t="shared" si="49"/>
        <v>-1.3346231837590192E-2</v>
      </c>
      <c r="G341" s="122">
        <f t="shared" si="50"/>
        <v>0.52069884331435867</v>
      </c>
      <c r="H341" s="122">
        <f t="shared" si="51"/>
        <v>6.2325909295105175E-2</v>
      </c>
      <c r="I341" s="122">
        <f t="shared" si="52"/>
        <v>0.5195475943159753</v>
      </c>
      <c r="J341" s="122">
        <f t="shared" si="53"/>
        <v>-2.3929196817162563E-2</v>
      </c>
      <c r="K341" s="122">
        <f t="shared" si="54"/>
        <v>8.6255106112267735E-2</v>
      </c>
      <c r="Y341" s="126">
        <f>IF($Z$1, C341, -0.2)</f>
        <v>-0.2</v>
      </c>
    </row>
    <row r="342" spans="2:25" x14ac:dyDescent="0.3">
      <c r="B342" s="12">
        <v>0.52288734736743059</v>
      </c>
      <c r="C342" s="12">
        <f t="shared" si="46"/>
        <v>1.9161038880944246E-2</v>
      </c>
      <c r="D342" s="126">
        <f t="shared" si="47"/>
        <v>4.3045017504177878E-2</v>
      </c>
      <c r="E342" s="12">
        <f t="shared" si="48"/>
        <v>-1.3654149707492286E-2</v>
      </c>
      <c r="F342" s="12">
        <f t="shared" si="49"/>
        <v>-1.3653301261604727E-2</v>
      </c>
      <c r="G342" s="122">
        <f t="shared" si="50"/>
        <v>0.52347503570007392</v>
      </c>
      <c r="H342" s="122">
        <f t="shared" si="51"/>
        <v>6.2202044379871133E-2</v>
      </c>
      <c r="I342" s="122">
        <f t="shared" si="52"/>
        <v>0.52229965903478726</v>
      </c>
      <c r="J342" s="122">
        <f t="shared" si="53"/>
        <v>-2.387996661798264E-2</v>
      </c>
      <c r="K342" s="122">
        <f t="shared" si="54"/>
        <v>8.6082010997853772E-2</v>
      </c>
      <c r="Y342" s="126">
        <f>IF($Z$1, C342, -0.2)</f>
        <v>-0.2</v>
      </c>
    </row>
    <row r="343" spans="2:25" x14ac:dyDescent="0.3">
      <c r="B343" s="12">
        <v>0.52565620372123711</v>
      </c>
      <c r="C343" s="12">
        <f t="shared" si="46"/>
        <v>1.912280658146483E-2</v>
      </c>
      <c r="D343" s="126">
        <f t="shared" si="47"/>
        <v>4.2956564557372526E-2</v>
      </c>
      <c r="E343" s="12">
        <f t="shared" si="48"/>
        <v>-1.3961800413470789E-2</v>
      </c>
      <c r="F343" s="12">
        <f t="shared" si="49"/>
        <v>-1.3960893319603283E-2</v>
      </c>
      <c r="G343" s="122">
        <f t="shared" si="50"/>
        <v>0.5262558962552899</v>
      </c>
      <c r="H343" s="122">
        <f t="shared" si="51"/>
        <v>6.2075184949097917E-2</v>
      </c>
      <c r="I343" s="122">
        <f t="shared" si="52"/>
        <v>0.52505651118718433</v>
      </c>
      <c r="J343" s="122">
        <f t="shared" si="53"/>
        <v>-2.382957178616826E-2</v>
      </c>
      <c r="K343" s="122">
        <f t="shared" si="54"/>
        <v>8.590475673526618E-2</v>
      </c>
      <c r="Y343" s="126">
        <f>IF($Z$1, C343, -0.2)</f>
        <v>-0.2</v>
      </c>
    </row>
    <row r="344" spans="2:25" x14ac:dyDescent="0.3">
      <c r="B344" s="12">
        <v>0.52842976043945322</v>
      </c>
      <c r="C344" s="12">
        <f t="shared" si="46"/>
        <v>1.9083655368525819E-2</v>
      </c>
      <c r="D344" s="126">
        <f t="shared" si="47"/>
        <v>4.2866028362536029E-2</v>
      </c>
      <c r="E344" s="12">
        <f t="shared" si="48"/>
        <v>-1.4269973382161467E-2</v>
      </c>
      <c r="F344" s="12">
        <f t="shared" si="49"/>
        <v>-1.4269004892080729E-2</v>
      </c>
      <c r="G344" s="122">
        <f t="shared" si="50"/>
        <v>0.52904139525210248</v>
      </c>
      <c r="H344" s="122">
        <f t="shared" si="51"/>
        <v>6.194531994695416E-2</v>
      </c>
      <c r="I344" s="122">
        <f t="shared" si="52"/>
        <v>0.52781812562680397</v>
      </c>
      <c r="J344" s="122">
        <f t="shared" si="53"/>
        <v>-2.3778009209902522E-2</v>
      </c>
      <c r="K344" s="122">
        <f t="shared" si="54"/>
        <v>8.5723329156856681E-2</v>
      </c>
      <c r="Y344" s="126">
        <f>IF($Z$1, C344, -0.2)</f>
        <v>-0.2</v>
      </c>
    </row>
    <row r="345" spans="2:25" x14ac:dyDescent="0.3">
      <c r="B345" s="12">
        <v>0.53120799003836905</v>
      </c>
      <c r="C345" s="12">
        <f t="shared" si="46"/>
        <v>1.9043581297227288E-2</v>
      </c>
      <c r="D345" s="126">
        <f t="shared" si="47"/>
        <v>4.2773401880801275E-2</v>
      </c>
      <c r="E345" s="12">
        <f t="shared" si="48"/>
        <v>-1.4578665559818781E-2</v>
      </c>
      <c r="F345" s="12">
        <f t="shared" si="49"/>
        <v>-1.4577632853849351E-2</v>
      </c>
      <c r="G345" s="122">
        <f t="shared" si="50"/>
        <v>0.53183150290283587</v>
      </c>
      <c r="H345" s="122">
        <f t="shared" si="51"/>
        <v>6.1812438426736588E-2</v>
      </c>
      <c r="I345" s="122">
        <f t="shared" si="52"/>
        <v>0.53058447717390222</v>
      </c>
      <c r="J345" s="122">
        <f t="shared" si="53"/>
        <v>-2.3725275832282011E-2</v>
      </c>
      <c r="K345" s="122">
        <f t="shared" si="54"/>
        <v>8.5537714259018599E-2</v>
      </c>
      <c r="Y345" s="126">
        <f>IF($Z$1, C345, -0.2)</f>
        <v>-0.2</v>
      </c>
    </row>
    <row r="346" spans="2:25" x14ac:dyDescent="0.3">
      <c r="B346" s="12">
        <v>0.53399086498797033</v>
      </c>
      <c r="C346" s="12">
        <f t="shared" si="46"/>
        <v>1.9002580449987535E-2</v>
      </c>
      <c r="D346" s="126">
        <f t="shared" si="47"/>
        <v>4.2678678154014334E-2</v>
      </c>
      <c r="E346" s="12">
        <f t="shared" si="48"/>
        <v>-1.4887873887552257E-2</v>
      </c>
      <c r="F346" s="12">
        <f t="shared" si="49"/>
        <v>-1.4886774074073164E-2</v>
      </c>
      <c r="G346" s="122">
        <f t="shared" si="50"/>
        <v>0.53462618936047701</v>
      </c>
      <c r="H346" s="122">
        <f t="shared" si="51"/>
        <v>6.1676529551466755E-2</v>
      </c>
      <c r="I346" s="122">
        <f t="shared" si="52"/>
        <v>0.53335554061546364</v>
      </c>
      <c r="J346" s="122">
        <f t="shared" si="53"/>
        <v>-2.3671368651491689E-2</v>
      </c>
      <c r="K346" s="122">
        <f t="shared" si="54"/>
        <v>8.5347898202958447E-2</v>
      </c>
      <c r="Y346" s="126">
        <f>IF($Z$1, C346, -0.2)</f>
        <v>-0.2</v>
      </c>
    </row>
    <row r="347" spans="2:25" x14ac:dyDescent="0.3">
      <c r="B347" s="12">
        <v>0.53677835771221083</v>
      </c>
      <c r="C347" s="12">
        <f t="shared" si="46"/>
        <v>1.8960648936752807E-2</v>
      </c>
      <c r="D347" s="126">
        <f t="shared" si="47"/>
        <v>4.2581850305101802E-2</v>
      </c>
      <c r="E347" s="12">
        <f t="shared" si="48"/>
        <v>-1.5197595301356757E-2</v>
      </c>
      <c r="F347" s="12">
        <f t="shared" si="49"/>
        <v>-1.5196425416302332E-2</v>
      </c>
      <c r="G347" s="122">
        <f t="shared" si="50"/>
        <v>0.5374254247191137</v>
      </c>
      <c r="H347" s="122">
        <f t="shared" si="51"/>
        <v>6.153758259448204E-2</v>
      </c>
      <c r="I347" s="122">
        <f t="shared" si="52"/>
        <v>0.53613129070530796</v>
      </c>
      <c r="J347" s="122">
        <f t="shared" si="53"/>
        <v>-2.3616284720976422E-2</v>
      </c>
      <c r="K347" s="122">
        <f t="shared" si="54"/>
        <v>8.5153867315458459E-2</v>
      </c>
      <c r="Y347" s="126">
        <f>IF($Z$1, C347, -0.2)</f>
        <v>-0.2</v>
      </c>
    </row>
    <row r="348" spans="2:25" x14ac:dyDescent="0.3">
      <c r="B348" s="12">
        <v>0.53957044058928638</v>
      </c>
      <c r="C348" s="12">
        <f t="shared" si="46"/>
        <v>1.8917782895206254E-2</v>
      </c>
      <c r="D348" s="126">
        <f t="shared" si="47"/>
        <v>4.2482911538433706E-2</v>
      </c>
      <c r="E348" s="12">
        <f t="shared" si="48"/>
        <v>-1.550782673214293E-2</v>
      </c>
      <c r="F348" s="12">
        <f t="shared" si="49"/>
        <v>-1.5506583738507811E-2</v>
      </c>
      <c r="G348" s="122">
        <f t="shared" si="50"/>
        <v>0.54022917901437528</v>
      </c>
      <c r="H348" s="122">
        <f t="shared" si="51"/>
        <v>6.1395586940021174E-2</v>
      </c>
      <c r="I348" s="122">
        <f t="shared" si="52"/>
        <v>0.53891170216419748</v>
      </c>
      <c r="J348" s="122">
        <f t="shared" si="53"/>
        <v>-2.356002114960867E-2</v>
      </c>
      <c r="K348" s="122">
        <f t="shared" si="54"/>
        <v>8.4955608089629847E-2</v>
      </c>
      <c r="Y348" s="126">
        <f>IF($Z$1, C348, -0.2)</f>
        <v>-0.2</v>
      </c>
    </row>
    <row r="349" spans="2:25" x14ac:dyDescent="0.3">
      <c r="B349" s="12">
        <v>0.54236708595190763</v>
      </c>
      <c r="C349" s="12">
        <f t="shared" si="46"/>
        <v>1.8873978490975676E-2</v>
      </c>
      <c r="D349" s="126">
        <f t="shared" si="47"/>
        <v>4.2381855140181751E-2</v>
      </c>
      <c r="E349" s="12">
        <f t="shared" si="48"/>
        <v>-1.5818565105767513E-2</v>
      </c>
      <c r="F349" s="12">
        <f t="shared" si="49"/>
        <v>-1.5817245893115943E-2</v>
      </c>
      <c r="G349" s="122">
        <f t="shared" si="50"/>
        <v>0.54303742222387386</v>
      </c>
      <c r="H349" s="122">
        <f t="shared" si="51"/>
        <v>6.1250532083803835E-2</v>
      </c>
      <c r="I349" s="122">
        <f t="shared" si="52"/>
        <v>0.54169674967994141</v>
      </c>
      <c r="J349" s="122">
        <f t="shared" si="53"/>
        <v>-2.3502575101852483E-2</v>
      </c>
      <c r="K349" s="122">
        <f t="shared" si="54"/>
        <v>8.4753107185656318E-2</v>
      </c>
      <c r="Y349" s="126">
        <f>IF($Z$1, C349, -0.2)</f>
        <v>-0.2</v>
      </c>
    </row>
    <row r="350" spans="2:25" x14ac:dyDescent="0.3">
      <c r="B350" s="12">
        <v>0.54516826608757496</v>
      </c>
      <c r="C350" s="12">
        <f t="shared" si="46"/>
        <v>1.8829231917840392E-2</v>
      </c>
      <c r="D350" s="126">
        <f t="shared" si="47"/>
        <v>4.2278674478673339E-2</v>
      </c>
      <c r="E350" s="12">
        <f t="shared" si="48"/>
        <v>-1.6129807343063882E-2</v>
      </c>
      <c r="F350" s="12">
        <f t="shared" si="49"/>
        <v>-1.6128408727043343E-2</v>
      </c>
      <c r="G350" s="122">
        <f t="shared" si="50"/>
        <v>0.54585012426764967</v>
      </c>
      <c r="H350" s="122">
        <f t="shared" si="51"/>
        <v>6.1102407633604749E-2</v>
      </c>
      <c r="I350" s="122">
        <f t="shared" si="52"/>
        <v>0.54448640790750025</v>
      </c>
      <c r="J350" s="122">
        <f t="shared" si="53"/>
        <v>-2.3443943797923968E-2</v>
      </c>
      <c r="K350" s="122">
        <f t="shared" si="54"/>
        <v>8.4546351431528721E-2</v>
      </c>
      <c r="Y350" s="126">
        <f>IF($Z$1, C350, -0.2)</f>
        <v>-0.2</v>
      </c>
    </row>
    <row r="351" spans="2:25" x14ac:dyDescent="0.3">
      <c r="B351" s="12">
        <v>0.54797395323885223</v>
      </c>
      <c r="C351" s="12">
        <f t="shared" si="46"/>
        <v>1.8783539397936998E-2</v>
      </c>
      <c r="D351" s="126">
        <f t="shared" si="47"/>
        <v>4.2173363004740866E-2</v>
      </c>
      <c r="E351" s="12">
        <f t="shared" si="48"/>
        <v>-1.6441550359872468E-2</v>
      </c>
      <c r="F351" s="12">
        <f t="shared" si="49"/>
        <v>-1.644006908173172E-2</v>
      </c>
      <c r="G351" s="122">
        <f t="shared" si="50"/>
        <v>0.54866725500861768</v>
      </c>
      <c r="H351" s="122">
        <f t="shared" si="51"/>
        <v>6.0951203309821962E-2</v>
      </c>
      <c r="I351" s="122">
        <f t="shared" si="52"/>
        <v>0.54728065146908678</v>
      </c>
      <c r="J351" s="122">
        <f t="shared" si="53"/>
        <v>-2.3384124513947967E-2</v>
      </c>
      <c r="K351" s="122">
        <f t="shared" si="54"/>
        <v>8.4335327823769929E-2</v>
      </c>
      <c r="Y351" s="126">
        <f>IF($Z$1, C351, -0.2)</f>
        <v>-0.2</v>
      </c>
    </row>
    <row r="352" spans="2:25" x14ac:dyDescent="0.3">
      <c r="B352" s="12">
        <v>0.55078411960364337</v>
      </c>
      <c r="C352" s="12">
        <f t="shared" si="46"/>
        <v>1.873689718196412E-2</v>
      </c>
      <c r="D352" s="126">
        <f t="shared" si="47"/>
        <v>4.2065914252066655E-2</v>
      </c>
      <c r="E352" s="12">
        <f t="shared" si="48"/>
        <v>-1.6753791067071484E-2</v>
      </c>
      <c r="F352" s="12">
        <f t="shared" si="49"/>
        <v>-1.6752223793183085E-2</v>
      </c>
      <c r="G352" s="122">
        <f t="shared" si="50"/>
        <v>0.55148878425301728</v>
      </c>
      <c r="H352" s="122">
        <f t="shared" si="51"/>
        <v>6.0796908946039355E-2</v>
      </c>
      <c r="I352" s="122">
        <f t="shared" si="52"/>
        <v>0.55007945495426946</v>
      </c>
      <c r="J352" s="122">
        <f t="shared" si="53"/>
        <v>-2.3323114582111115E-2</v>
      </c>
      <c r="K352" s="122">
        <f t="shared" si="54"/>
        <v>8.412002352815047E-2</v>
      </c>
      <c r="Y352" s="126">
        <f>IF($Z$1, C352, -0.2)</f>
        <v>-0.2</v>
      </c>
    </row>
    <row r="353" spans="2:25" x14ac:dyDescent="0.3">
      <c r="B353" s="12">
        <v>0.55359873733546627</v>
      </c>
      <c r="C353" s="12">
        <f t="shared" si="46"/>
        <v>1.8689301549386136E-2</v>
      </c>
      <c r="D353" s="126">
        <f t="shared" si="47"/>
        <v>4.1956321837523215E-2</v>
      </c>
      <c r="E353" s="12">
        <f t="shared" si="48"/>
        <v>-1.7066526370607363E-2</v>
      </c>
      <c r="F353" s="12">
        <f t="shared" si="49"/>
        <v>-1.7064869691994739E-2</v>
      </c>
      <c r="G353" s="122">
        <f t="shared" si="50"/>
        <v>0.55431468175086274</v>
      </c>
      <c r="H353" s="122">
        <f t="shared" si="51"/>
        <v>6.0639514489583352E-2</v>
      </c>
      <c r="I353" s="122">
        <f t="shared" si="52"/>
        <v>0.55288279292006981</v>
      </c>
      <c r="J353" s="122">
        <f t="shared" si="53"/>
        <v>-2.3260911390811077E-2</v>
      </c>
      <c r="K353" s="122">
        <f t="shared" si="54"/>
        <v>8.3900425880394425E-2</v>
      </c>
      <c r="Y353" s="126">
        <f>IF($Z$1, C353, -0.2)</f>
        <v>-0.2</v>
      </c>
    </row>
    <row r="354" spans="2:25" x14ac:dyDescent="0.3">
      <c r="B354" s="12">
        <v>0.55641777854372954</v>
      </c>
      <c r="C354" s="12">
        <f t="shared" si="46"/>
        <v>1.8640748808635827E-2</v>
      </c>
      <c r="D354" s="126">
        <f t="shared" si="47"/>
        <v>4.1844579461509088E-2</v>
      </c>
      <c r="E354" s="12">
        <f t="shared" si="48"/>
        <v>-1.7379753171525503E-2</v>
      </c>
      <c r="F354" s="12">
        <f t="shared" si="49"/>
        <v>-1.7378003603394605E-2</v>
      </c>
      <c r="G354" s="122">
        <f t="shared" si="50"/>
        <v>0.55714491719639725</v>
      </c>
      <c r="H354" s="122">
        <f t="shared" si="51"/>
        <v>6.0479010002073882E-2</v>
      </c>
      <c r="I354" s="122">
        <f t="shared" si="52"/>
        <v>0.55569063989106182</v>
      </c>
      <c r="J354" s="122">
        <f t="shared" si="53"/>
        <v>-2.3197512384802225E-2</v>
      </c>
      <c r="K354" s="122">
        <f t="shared" si="54"/>
        <v>8.3676522386876104E-2</v>
      </c>
      <c r="Y354" s="126">
        <f>IF($Z$1, C354, -0.2)</f>
        <v>-0.2</v>
      </c>
    </row>
    <row r="355" spans="2:25" x14ac:dyDescent="0.3">
      <c r="B355" s="12">
        <v>0.55924121529400872</v>
      </c>
      <c r="C355" s="12">
        <f t="shared" si="46"/>
        <v>1.8591235297315958E-2</v>
      </c>
      <c r="D355" s="126">
        <f t="shared" si="47"/>
        <v>4.1730680908280096E-2</v>
      </c>
      <c r="E355" s="12">
        <f t="shared" si="48"/>
        <v>-1.7693468366000966E-2</v>
      </c>
      <c r="F355" s="12">
        <f t="shared" si="49"/>
        <v>-1.7691622347276618E-2</v>
      </c>
      <c r="G355" s="122">
        <f t="shared" si="50"/>
        <v>0.55997946022854861</v>
      </c>
      <c r="H355" s="122">
        <f t="shared" si="51"/>
        <v>6.0315385659969467E-2</v>
      </c>
      <c r="I355" s="122">
        <f t="shared" si="52"/>
        <v>0.55850297035946883</v>
      </c>
      <c r="J355" s="122">
        <f t="shared" si="53"/>
        <v>-2.3132915065337555E-2</v>
      </c>
      <c r="K355" s="122">
        <f t="shared" si="54"/>
        <v>8.3448300725307026E-2</v>
      </c>
      <c r="Y355" s="126">
        <f>IF($Z$1, C355, -0.2)</f>
        <v>-0.2</v>
      </c>
    </row>
    <row r="356" spans="2:25" x14ac:dyDescent="0.3">
      <c r="B356" s="12">
        <v>0.56206901960832267</v>
      </c>
      <c r="C356" s="12">
        <f t="shared" si="46"/>
        <v>1.8540757382399846E-2</v>
      </c>
      <c r="D356" s="126">
        <f t="shared" si="47"/>
        <v>4.161462004627596E-2</v>
      </c>
      <c r="E356" s="12">
        <f t="shared" si="48"/>
        <v>-1.8007668845369185E-2</v>
      </c>
      <c r="F356" s="12">
        <f t="shared" si="49"/>
        <v>-1.8005722738236165E-2</v>
      </c>
      <c r="G356" s="122">
        <f t="shared" si="50"/>
        <v>0.56281828043138604</v>
      </c>
      <c r="H356" s="122">
        <f t="shared" si="51"/>
        <v>6.0148631755106458E-2</v>
      </c>
      <c r="I356" s="122">
        <f t="shared" si="52"/>
        <v>0.5613197587852593</v>
      </c>
      <c r="J356" s="122">
        <f t="shared" si="53"/>
        <v>-2.3067116990306766E-2</v>
      </c>
      <c r="K356" s="122">
        <f t="shared" si="54"/>
        <v>8.3215748745413223E-2</v>
      </c>
      <c r="Y356" s="126">
        <f>IF($Z$1, C356, -0.2)</f>
        <v>-0.2</v>
      </c>
    </row>
    <row r="357" spans="2:25" x14ac:dyDescent="0.3">
      <c r="B357" s="12">
        <v>0.56490116346541219</v>
      </c>
      <c r="C357" s="12">
        <f t="shared" si="46"/>
        <v>1.8489311460430743E-2</v>
      </c>
      <c r="D357" s="126">
        <f t="shared" si="47"/>
        <v>4.1496390828442441E-2</v>
      </c>
      <c r="E357" s="12">
        <f t="shared" si="48"/>
        <v>-1.8322351496156908E-2</v>
      </c>
      <c r="F357" s="12">
        <f t="shared" si="49"/>
        <v>-1.8320301585605828E-2</v>
      </c>
      <c r="G357" s="122">
        <f t="shared" si="50"/>
        <v>0.5656613473345824</v>
      </c>
      <c r="H357" s="122">
        <f t="shared" si="51"/>
        <v>5.9978738695232327E-2</v>
      </c>
      <c r="I357" s="122">
        <f t="shared" si="52"/>
        <v>0.56414097959624199</v>
      </c>
      <c r="J357" s="122">
        <f t="shared" si="53"/>
        <v>-2.300011577437084E-2</v>
      </c>
      <c r="K357" s="122">
        <f t="shared" si="54"/>
        <v>8.2978854469603167E-2</v>
      </c>
      <c r="Y357" s="126">
        <f>IF($Z$1, C357, -0.2)</f>
        <v>-0.2</v>
      </c>
    </row>
    <row r="358" spans="2:25" x14ac:dyDescent="0.3">
      <c r="B358" s="12">
        <v>0.56773761880101548</v>
      </c>
      <c r="C358" s="12">
        <f t="shared" si="46"/>
        <v>1.8436893957720291E-2</v>
      </c>
      <c r="D358" s="126">
        <f t="shared" si="47"/>
        <v>4.1375987292548863E-2</v>
      </c>
      <c r="E358" s="12">
        <f t="shared" si="48"/>
        <v>-1.863751320011283E-2</v>
      </c>
      <c r="F358" s="12">
        <f t="shared" si="49"/>
        <v>-1.8635355693490892E-2</v>
      </c>
      <c r="G358" s="122">
        <f t="shared" si="50"/>
        <v>0.56850863041387334</v>
      </c>
      <c r="H358" s="122">
        <f t="shared" si="51"/>
        <v>5.9805697004533281E-2</v>
      </c>
      <c r="I358" s="122">
        <f t="shared" si="52"/>
        <v>0.56696660718815761</v>
      </c>
      <c r="J358" s="122">
        <f t="shared" si="53"/>
        <v>-2.2931909089092695E-2</v>
      </c>
      <c r="K358" s="122">
        <f t="shared" si="54"/>
        <v>8.2737606093625973E-2</v>
      </c>
      <c r="Y358" s="126">
        <f>IF($Z$1, C358, -0.2)</f>
        <v>-0.2</v>
      </c>
    </row>
    <row r="359" spans="2:25" x14ac:dyDescent="0.3">
      <c r="B359" s="12">
        <v>0.57057835750814878</v>
      </c>
      <c r="C359" s="12">
        <f t="shared" si="46"/>
        <v>1.8383501330545678E-2</v>
      </c>
      <c r="D359" s="126">
        <f t="shared" si="47"/>
        <v>4.125340356150093E-2</v>
      </c>
      <c r="E359" s="12">
        <f t="shared" si="48"/>
        <v>-1.8953150834238753E-2</v>
      </c>
      <c r="F359" s="12">
        <f t="shared" si="49"/>
        <v>-1.8950881860805423E-2</v>
      </c>
      <c r="G359" s="122">
        <f t="shared" si="50"/>
        <v>0.57136009909152408</v>
      </c>
      <c r="H359" s="122">
        <f t="shared" si="51"/>
        <v>5.9629497324155525E-2</v>
      </c>
      <c r="I359" s="122">
        <f t="shared" si="52"/>
        <v>0.56979661592477349</v>
      </c>
      <c r="J359" s="122">
        <f t="shared" si="53"/>
        <v>-2.286249466306417E-2</v>
      </c>
      <c r="K359" s="122">
        <f t="shared" si="54"/>
        <v>8.2491991987219696E-2</v>
      </c>
      <c r="Y359" s="126">
        <f>IF($Z$1, C359, -0.2)</f>
        <v>-0.2</v>
      </c>
    </row>
    <row r="360" spans="2:25" x14ac:dyDescent="0.3">
      <c r="B360" s="12">
        <v>0.5734233514373821</v>
      </c>
      <c r="C360" s="12">
        <f t="shared" si="46"/>
        <v>1.8329130065345901E-2</v>
      </c>
      <c r="D360" s="126">
        <f t="shared" si="47"/>
        <v>4.1128633843649162E-2</v>
      </c>
      <c r="E360" s="12">
        <f t="shared" si="48"/>
        <v>-1.9269261270820234E-2</v>
      </c>
      <c r="F360" s="12">
        <f t="shared" si="49"/>
        <v>-1.9266876881307928E-2</v>
      </c>
      <c r="G360" s="122">
        <f t="shared" si="50"/>
        <v>0.57421572273679311</v>
      </c>
      <c r="H360" s="122">
        <f t="shared" si="51"/>
        <v>5.9450130412721118E-2</v>
      </c>
      <c r="I360" s="122">
        <f t="shared" si="52"/>
        <v>0.57263098013797109</v>
      </c>
      <c r="J360" s="122">
        <f t="shared" si="53"/>
        <v>-2.2791870282029315E-2</v>
      </c>
      <c r="K360" s="122">
        <f t="shared" si="54"/>
        <v>8.2242000694750433E-2</v>
      </c>
      <c r="Y360" s="126">
        <f>IF($Z$1, C360, -0.2)</f>
        <v>-0.2</v>
      </c>
    </row>
    <row r="361" spans="2:25" x14ac:dyDescent="0.3">
      <c r="B361" s="12">
        <v>0.57627257239712093</v>
      </c>
      <c r="C361" s="12">
        <f t="shared" si="46"/>
        <v>1.8273776678916765E-2</v>
      </c>
      <c r="D361" s="126">
        <f t="shared" si="47"/>
        <v>4.1001672433092391E-2</v>
      </c>
      <c r="E361" s="12">
        <f t="shared" si="48"/>
        <v>-1.9585841377457881E-2</v>
      </c>
      <c r="F361" s="12">
        <f t="shared" si="49"/>
        <v>-1.95833375436377E-2</v>
      </c>
      <c r="G361" s="122">
        <f t="shared" si="50"/>
        <v>0.57707547066640319</v>
      </c>
      <c r="H361" s="122">
        <f t="shared" si="51"/>
        <v>5.9267587146837317E-2</v>
      </c>
      <c r="I361" s="122">
        <f t="shared" si="52"/>
        <v>0.57546967412783867</v>
      </c>
      <c r="J361" s="122">
        <f t="shared" si="53"/>
        <v>-2.2720033789003783E-2</v>
      </c>
      <c r="K361" s="122">
        <f t="shared" si="54"/>
        <v>8.1987620935841096E-2</v>
      </c>
      <c r="Y361" s="126">
        <f>IF($Z$1, C361, -0.2)</f>
        <v>-0.2</v>
      </c>
    </row>
    <row r="362" spans="2:25" x14ac:dyDescent="0.3">
      <c r="B362" s="12">
        <v>0.5791259921538835</v>
      </c>
      <c r="C362" s="12">
        <f t="shared" si="46"/>
        <v>1.8217437718604828E-2</v>
      </c>
      <c r="D362" s="126">
        <f t="shared" si="47"/>
        <v>4.0872513709977042E-2</v>
      </c>
      <c r="E362" s="12">
        <f t="shared" si="48"/>
        <v>-1.9902888017098164E-2</v>
      </c>
      <c r="F362" s="12">
        <f t="shared" si="49"/>
        <v>-1.9900260631350759E-2</v>
      </c>
      <c r="G362" s="122">
        <f t="shared" si="50"/>
        <v>0.57993931214500904</v>
      </c>
      <c r="H362" s="122">
        <f t="shared" si="51"/>
        <v>5.9081858521600389E-2</v>
      </c>
      <c r="I362" s="122">
        <f t="shared" si="52"/>
        <v>0.57831267216275795</v>
      </c>
      <c r="J362" s="122">
        <f t="shared" si="53"/>
        <v>-2.2646983084390736E-2</v>
      </c>
      <c r="K362" s="122">
        <f t="shared" si="54"/>
        <v>8.1728841605991129E-2</v>
      </c>
      <c r="Y362" s="126">
        <f>IF($Z$1, C362, -0.2)</f>
        <v>-0.2</v>
      </c>
    </row>
    <row r="363" spans="2:25" x14ac:dyDescent="0.3">
      <c r="B363" s="12">
        <v>0.58198358243258186</v>
      </c>
      <c r="C363" s="12">
        <f t="shared" si="46"/>
        <v>1.8160109762500206E-2</v>
      </c>
      <c r="D363" s="126">
        <f t="shared" si="47"/>
        <v>4.0741152140791249E-2</v>
      </c>
      <c r="E363" s="12">
        <f t="shared" si="48"/>
        <v>-2.022039804806465E-2</v>
      </c>
      <c r="F363" s="12">
        <f t="shared" si="49"/>
        <v>-2.0217642922956261E-2</v>
      </c>
      <c r="G363" s="122">
        <f t="shared" si="50"/>
        <v>0.58280721638567168</v>
      </c>
      <c r="H363" s="122">
        <f t="shared" si="51"/>
        <v>5.889293565109302E-2</v>
      </c>
      <c r="I363" s="122">
        <f t="shared" si="52"/>
        <v>0.58115994847949204</v>
      </c>
      <c r="J363" s="122">
        <f t="shared" si="53"/>
        <v>-2.2572716126092605E-2</v>
      </c>
      <c r="K363" s="122">
        <f t="shared" si="54"/>
        <v>8.1465651777185621E-2</v>
      </c>
      <c r="Y363" s="126">
        <f>IF($Z$1, C363, -0.2)</f>
        <v>-0.2</v>
      </c>
    </row>
    <row r="364" spans="2:25" x14ac:dyDescent="0.3">
      <c r="B364" s="12">
        <v>0.58484531491680136</v>
      </c>
      <c r="C364" s="12">
        <f t="shared" si="46"/>
        <v>1.8101789419628252E-2</v>
      </c>
      <c r="D364" s="126">
        <f t="shared" si="47"/>
        <v>4.060758227865488E-2</v>
      </c>
      <c r="E364" s="12">
        <f t="shared" si="48"/>
        <v>-2.0538368324089038E-2</v>
      </c>
      <c r="F364" s="12">
        <f t="shared" si="49"/>
        <v>-2.0535481191952799E-2</v>
      </c>
      <c r="G364" s="122">
        <f t="shared" si="50"/>
        <v>0.58567915255033143</v>
      </c>
      <c r="H364" s="122">
        <f t="shared" si="51"/>
        <v>5.8700809768876025E-2</v>
      </c>
      <c r="I364" s="122">
        <f t="shared" si="52"/>
        <v>0.5840114772832713</v>
      </c>
      <c r="J364" s="122">
        <f t="shared" si="53"/>
        <v>-2.2497230929619524E-2</v>
      </c>
      <c r="K364" s="122">
        <f t="shared" si="54"/>
        <v>8.1198040698495552E-2</v>
      </c>
      <c r="Y364" s="126">
        <f>IF($Z$1, C364, -0.2)</f>
        <v>-0.2</v>
      </c>
    </row>
    <row r="365" spans="2:25" x14ac:dyDescent="0.3">
      <c r="B365" s="12">
        <v>0.58771116124908085</v>
      </c>
      <c r="C365" s="12">
        <f t="shared" si="46"/>
        <v>1.8042473330140089E-2</v>
      </c>
      <c r="D365" s="126">
        <f t="shared" si="47"/>
        <v>4.0471798763604502E-2</v>
      </c>
      <c r="E365" s="12">
        <f t="shared" si="48"/>
        <v>-2.0856795694342317E-2</v>
      </c>
      <c r="F365" s="12">
        <f t="shared" si="49"/>
        <v>-2.0853772206864855E-2</v>
      </c>
      <c r="G365" s="122">
        <f t="shared" si="50"/>
        <v>0.58855508975028381</v>
      </c>
      <c r="H365" s="122">
        <f t="shared" si="51"/>
        <v>5.8505472228473812E-2</v>
      </c>
      <c r="I365" s="122">
        <f t="shared" si="52"/>
        <v>0.58686723274787789</v>
      </c>
      <c r="J365" s="122">
        <f t="shared" si="53"/>
        <v>-2.2420525568193638E-2</v>
      </c>
      <c r="K365" s="122">
        <f t="shared" si="54"/>
        <v>8.0925997796667454E-2</v>
      </c>
      <c r="Y365" s="126">
        <f>IF($Z$1, C365, -0.2)</f>
        <v>-0.2</v>
      </c>
    </row>
    <row r="366" spans="2:25" x14ac:dyDescent="0.3">
      <c r="B366" s="12">
        <v>0.59058109303119544</v>
      </c>
      <c r="C366" s="12">
        <f t="shared" si="46"/>
        <v>1.798215816550194E-2</v>
      </c>
      <c r="D366" s="126">
        <f t="shared" si="47"/>
        <v>4.0333796322873781E-2</v>
      </c>
      <c r="E366" s="12">
        <f t="shared" si="48"/>
        <v>-2.1175677003466158E-2</v>
      </c>
      <c r="F366" s="12">
        <f t="shared" si="49"/>
        <v>-2.117251273127958E-2</v>
      </c>
      <c r="G366" s="122">
        <f t="shared" si="50"/>
        <v>0.5914349970466598</v>
      </c>
      <c r="H366" s="122">
        <f t="shared" si="51"/>
        <v>5.8306914503853696E-2</v>
      </c>
      <c r="I366" s="122">
        <f t="shared" si="52"/>
        <v>0.58972718901573107</v>
      </c>
      <c r="J366" s="122">
        <f t="shared" si="53"/>
        <v>-2.2342598172849819E-2</v>
      </c>
      <c r="K366" s="122">
        <f t="shared" si="54"/>
        <v>8.0649512676703519E-2</v>
      </c>
      <c r="Y366" s="126">
        <f>IF($Z$1, C366, -0.2)</f>
        <v>-0.2</v>
      </c>
    </row>
    <row r="367" spans="2:25" x14ac:dyDescent="0.3">
      <c r="B367" s="12">
        <v>0.59345508182443574</v>
      </c>
      <c r="C367" s="12">
        <f t="shared" si="46"/>
        <v>1.7920840628683384E-2</v>
      </c>
      <c r="D367" s="126">
        <f t="shared" si="47"/>
        <v>4.0193569771169307E-2</v>
      </c>
      <c r="E367" s="12">
        <f t="shared" si="48"/>
        <v>-2.149500909160397E-2</v>
      </c>
      <c r="F367" s="12">
        <f t="shared" si="49"/>
        <v>-2.1491699523883266E-2</v>
      </c>
      <c r="G367" s="122">
        <f t="shared" si="50"/>
        <v>0.59431884345090369</v>
      </c>
      <c r="H367" s="122">
        <f t="shared" si="51"/>
        <v>5.8105128189899352E-2</v>
      </c>
      <c r="I367" s="122">
        <f t="shared" si="52"/>
        <v>0.59259132019796779</v>
      </c>
      <c r="J367" s="122">
        <f t="shared" si="53"/>
        <v>-2.2263446932532585E-2</v>
      </c>
      <c r="K367" s="122">
        <f t="shared" si="54"/>
        <v>8.0368575122431937E-2</v>
      </c>
      <c r="Y367" s="126">
        <f>IF($Z$1, C367, -0.2)</f>
        <v>-0.2</v>
      </c>
    </row>
    <row r="368" spans="2:25" x14ac:dyDescent="0.3">
      <c r="B368" s="12">
        <v>0.59633309914989119</v>
      </c>
      <c r="C368" s="12">
        <f t="shared" si="46"/>
        <v>1.7858517454344389E-2</v>
      </c>
      <c r="D368" s="126">
        <f t="shared" si="47"/>
        <v>4.0051114010941656E-2</v>
      </c>
      <c r="E368" s="12">
        <f t="shared" si="48"/>
        <v>-2.1814788794432355E-2</v>
      </c>
      <c r="F368" s="12">
        <f t="shared" si="49"/>
        <v>-2.1811329338498324E-2</v>
      </c>
      <c r="G368" s="122">
        <f t="shared" si="50"/>
        <v>0.59720659792525621</v>
      </c>
      <c r="H368" s="122">
        <f t="shared" si="51"/>
        <v>5.7900105002878011E-2</v>
      </c>
      <c r="I368" s="122">
        <f t="shared" si="52"/>
        <v>0.59545960037452617</v>
      </c>
      <c r="J368" s="122">
        <f t="shared" si="53"/>
        <v>-2.2183070094189229E-2</v>
      </c>
      <c r="K368" s="122">
        <f t="shared" si="54"/>
        <v>8.0083175097067236E-2</v>
      </c>
      <c r="Y368" s="126">
        <f>IF($Z$1, C368, -0.2)</f>
        <v>-0.2</v>
      </c>
    </row>
    <row r="369" spans="2:25" x14ac:dyDescent="0.3">
      <c r="B369" s="12">
        <v>0.59921511648873138</v>
      </c>
      <c r="C369" s="12">
        <f t="shared" si="46"/>
        <v>1.7795185409021173E-2</v>
      </c>
      <c r="D369" s="126">
        <f t="shared" si="47"/>
        <v>3.9906424032651724E-2</v>
      </c>
      <c r="E369" s="12">
        <f t="shared" si="48"/>
        <v>-2.2135012943192374E-2</v>
      </c>
      <c r="F369" s="12">
        <f t="shared" si="49"/>
        <v>-2.2131398924120076E-2</v>
      </c>
      <c r="G369" s="122">
        <f t="shared" si="50"/>
        <v>0.60009822938323798</v>
      </c>
      <c r="H369" s="122">
        <f t="shared" si="51"/>
        <v>5.7691836780901479E-2</v>
      </c>
      <c r="I369" s="122">
        <f t="shared" si="52"/>
        <v>0.59833200359422478</v>
      </c>
      <c r="J369" s="122">
        <f t="shared" si="53"/>
        <v>-2.2101465962859137E-2</v>
      </c>
      <c r="K369" s="122">
        <f t="shared" si="54"/>
        <v>7.9793302743760619E-2</v>
      </c>
      <c r="Y369" s="126">
        <f>IF($Z$1, C369, -0.2)</f>
        <v>-0.2</v>
      </c>
    </row>
    <row r="370" spans="2:25" x14ac:dyDescent="0.3">
      <c r="B370" s="12">
        <v>0.6021011052824895</v>
      </c>
      <c r="C370" s="12">
        <f t="shared" si="46"/>
        <v>1.7730841291310896E-2</v>
      </c>
      <c r="D370" s="126">
        <f t="shared" si="47"/>
        <v>3.9759494915032438E-2</v>
      </c>
      <c r="E370" s="12">
        <f t="shared" si="48"/>
        <v>-2.2455678364721055E-2</v>
      </c>
      <c r="F370" s="12">
        <f t="shared" si="49"/>
        <v>-2.2451905024953901E-2</v>
      </c>
      <c r="G370" s="122">
        <f t="shared" si="50"/>
        <v>0.60299370669013586</v>
      </c>
      <c r="H370" s="122">
        <f t="shared" si="51"/>
        <v>5.748031548438115E-2</v>
      </c>
      <c r="I370" s="122">
        <f t="shared" si="52"/>
        <v>0.60120850387484315</v>
      </c>
      <c r="J370" s="122">
        <f t="shared" si="53"/>
        <v>-2.2018632901759358E-2</v>
      </c>
      <c r="K370" s="122">
        <f t="shared" si="54"/>
        <v>7.9498948386140508E-2</v>
      </c>
      <c r="Y370" s="126">
        <f>IF($Z$1, C370, -0.2)</f>
        <v>-0.2</v>
      </c>
    </row>
    <row r="371" spans="2:25" x14ac:dyDescent="0.3">
      <c r="B371" s="12">
        <v>0.60499103693334377</v>
      </c>
      <c r="C371" s="12">
        <f t="shared" si="46"/>
        <v>1.7665481932055142E-2</v>
      </c>
      <c r="D371" s="126">
        <f t="shared" si="47"/>
        <v>3.9610321825345754E-2</v>
      </c>
      <c r="E371" s="12">
        <f t="shared" si="48"/>
        <v>-2.277678188148264E-2</v>
      </c>
      <c r="F371" s="12">
        <f t="shared" si="49"/>
        <v>-2.2772844380452153E-2</v>
      </c>
      <c r="G371" s="122">
        <f t="shared" si="50"/>
        <v>0.605892998663489</v>
      </c>
      <c r="H371" s="122">
        <f t="shared" si="51"/>
        <v>5.7265533196476703E-2</v>
      </c>
      <c r="I371" s="122">
        <f t="shared" si="52"/>
        <v>0.60408907520319854</v>
      </c>
      <c r="J371" s="122">
        <f t="shared" si="53"/>
        <v>-2.1934569332366417E-2</v>
      </c>
      <c r="K371" s="122">
        <f t="shared" si="54"/>
        <v>7.9200102528843117E-2</v>
      </c>
      <c r="Y371" s="126">
        <f>IF($Z$1, C371, -0.2)</f>
        <v>-0.2</v>
      </c>
    </row>
    <row r="372" spans="2:25" x14ac:dyDescent="0.3">
      <c r="B372" s="12">
        <v>0.60788488280440323</v>
      </c>
      <c r="C372" s="12">
        <f t="shared" si="46"/>
        <v>1.7599104194522198E-2</v>
      </c>
      <c r="D372" s="126">
        <f t="shared" si="47"/>
        <v>3.9458900019634854E-2</v>
      </c>
      <c r="E372" s="12">
        <f t="shared" si="48"/>
        <v>-2.3098320311600359E-2</v>
      </c>
      <c r="F372" s="12">
        <f t="shared" si="49"/>
        <v>-2.309421372535167E-2</v>
      </c>
      <c r="G372" s="122">
        <f t="shared" si="50"/>
        <v>0.60879607407358072</v>
      </c>
      <c r="H372" s="122">
        <f t="shared" si="51"/>
        <v>5.7047482123538676E-2</v>
      </c>
      <c r="I372" s="122">
        <f t="shared" si="52"/>
        <v>0.60697369153522573</v>
      </c>
      <c r="J372" s="122">
        <f t="shared" si="53"/>
        <v>-2.1849273734494277E-2</v>
      </c>
      <c r="K372" s="122">
        <f t="shared" si="54"/>
        <v>7.8896755858032949E-2</v>
      </c>
      <c r="Y372" s="126">
        <f>IF($Z$1, C372, -0.2)</f>
        <v>-0.2</v>
      </c>
    </row>
    <row r="373" spans="2:25" x14ac:dyDescent="0.3">
      <c r="B373" s="12">
        <v>0.61078261421998925</v>
      </c>
      <c r="C373" s="12">
        <f t="shared" si="46"/>
        <v>1.753170497458818E-2</v>
      </c>
      <c r="D373" s="126">
        <f t="shared" si="47"/>
        <v>3.930522484297172E-2</v>
      </c>
      <c r="E373" s="12">
        <f t="shared" si="48"/>
        <v>-2.3420290468887692E-2</v>
      </c>
      <c r="F373" s="12">
        <f t="shared" si="49"/>
        <v>-2.3416009789710836E-2</v>
      </c>
      <c r="G373" s="122">
        <f t="shared" si="50"/>
        <v>0.61170290164392715</v>
      </c>
      <c r="H373" s="122">
        <f t="shared" si="51"/>
        <v>5.6826154595544867E-2</v>
      </c>
      <c r="I373" s="122">
        <f t="shared" si="52"/>
        <v>0.60986232679605135</v>
      </c>
      <c r="J373" s="122">
        <f t="shared" si="53"/>
        <v>-2.1762744646368504E-2</v>
      </c>
      <c r="K373" s="122">
        <f t="shared" si="54"/>
        <v>7.8588899241913368E-2</v>
      </c>
      <c r="Y373" s="126">
        <f>IF($Z$1, C373, -0.2)</f>
        <v>-0.2</v>
      </c>
    </row>
    <row r="374" spans="2:25" x14ac:dyDescent="0.3">
      <c r="B374" s="12">
        <v>0.61368420246592092</v>
      </c>
      <c r="C374" s="12">
        <f t="shared" si="46"/>
        <v>1.7463281200916846E-2</v>
      </c>
      <c r="D374" s="126">
        <f t="shared" si="47"/>
        <v>3.9149291729699928E-2</v>
      </c>
      <c r="E374" s="12">
        <f t="shared" si="48"/>
        <v>-2.3742689162880103E-2</v>
      </c>
      <c r="F374" s="12">
        <f t="shared" si="49"/>
        <v>-2.3738229298947169E-2</v>
      </c>
      <c r="G374" s="122">
        <f t="shared" si="50"/>
        <v>0.61461345005177159</v>
      </c>
      <c r="H374" s="122">
        <f t="shared" si="51"/>
        <v>5.6601543066530424E-2</v>
      </c>
      <c r="I374" s="122">
        <f t="shared" si="52"/>
        <v>0.61275495488007026</v>
      </c>
      <c r="J374" s="122">
        <f t="shared" si="53"/>
        <v>-2.1674980664696728E-2</v>
      </c>
      <c r="K374" s="122">
        <f t="shared" si="54"/>
        <v>7.8276523731227149E-2</v>
      </c>
      <c r="Y374" s="126">
        <f>IF($Z$1, C374, -0.2)</f>
        <v>-0.2</v>
      </c>
    </row>
    <row r="375" spans="2:25" x14ac:dyDescent="0.3">
      <c r="B375" s="12">
        <v>0.61658961878979923</v>
      </c>
      <c r="C375" s="12">
        <f t="shared" si="46"/>
        <v>1.7393829835138305E-2</v>
      </c>
      <c r="D375" s="126">
        <f t="shared" si="47"/>
        <v>3.8991096203672776E-2</v>
      </c>
      <c r="E375" s="12">
        <f t="shared" si="48"/>
        <v>-2.406551319886658E-2</v>
      </c>
      <c r="F375" s="12">
        <f t="shared" si="49"/>
        <v>-2.4060868973874768E-2</v>
      </c>
      <c r="G375" s="122">
        <f t="shared" si="50"/>
        <v>0.61752768792857882</v>
      </c>
      <c r="H375" s="122">
        <f t="shared" si="51"/>
        <v>5.6373640115011843E-2</v>
      </c>
      <c r="I375" s="122">
        <f t="shared" si="52"/>
        <v>0.61565154965101965</v>
      </c>
      <c r="J375" s="122">
        <f t="shared" si="53"/>
        <v>-2.1585980444735232E-2</v>
      </c>
      <c r="K375" s="122">
        <f t="shared" si="54"/>
        <v>7.7959620559747075E-2</v>
      </c>
      <c r="Y375" s="126">
        <f>IF($Z$1, C375, -0.2)</f>
        <v>-0.2</v>
      </c>
    </row>
    <row r="376" spans="2:25" x14ac:dyDescent="0.3">
      <c r="B376" s="12">
        <v>0.61949883440129161</v>
      </c>
      <c r="C376" s="12">
        <f t="shared" si="46"/>
        <v>1.7323347872026353E-2</v>
      </c>
      <c r="D376" s="126">
        <f t="shared" si="47"/>
        <v>3.8830633878486592E-2</v>
      </c>
      <c r="E376" s="12">
        <f t="shared" si="48"/>
        <v>-2.4388759377921287E-2</v>
      </c>
      <c r="F376" s="12">
        <f t="shared" si="49"/>
        <v>-2.4383925530741951E-2</v>
      </c>
      <c r="G376" s="122">
        <f t="shared" si="50"/>
        <v>0.62044558386053106</v>
      </c>
      <c r="H376" s="122">
        <f t="shared" si="51"/>
        <v>5.614243844440453E-2</v>
      </c>
      <c r="I376" s="122">
        <f t="shared" si="52"/>
        <v>0.61855208494205216</v>
      </c>
      <c r="J376" s="122">
        <f t="shared" si="53"/>
        <v>-2.1495742700351827E-2</v>
      </c>
      <c r="K376" s="122">
        <f t="shared" si="54"/>
        <v>7.763818114475636E-2</v>
      </c>
      <c r="Y376" s="126">
        <f>IF($Z$1, C376, -0.2)</f>
        <v>-0.2</v>
      </c>
    </row>
    <row r="377" spans="2:25" x14ac:dyDescent="0.3">
      <c r="B377" s="12">
        <v>0.6224118204724185</v>
      </c>
      <c r="C377" s="12">
        <f t="shared" si="46"/>
        <v>1.7251832339674707E-2</v>
      </c>
      <c r="D377" s="126">
        <f t="shared" si="47"/>
        <v>3.8667900457709285E-2</v>
      </c>
      <c r="E377" s="12">
        <f t="shared" si="48"/>
        <v>-2.4712424496935389E-2</v>
      </c>
      <c r="F377" s="12">
        <f t="shared" si="49"/>
        <v>-2.4707395681269097E-2</v>
      </c>
      <c r="G377" s="122">
        <f t="shared" si="50"/>
        <v>0.62336710638902726</v>
      </c>
      <c r="H377" s="122">
        <f t="shared" si="51"/>
        <v>5.5907930883434175E-2</v>
      </c>
      <c r="I377" s="122">
        <f t="shared" si="52"/>
        <v>0.62145653455580974</v>
      </c>
      <c r="J377" s="122">
        <f t="shared" si="53"/>
        <v>-2.1404266204084761E-2</v>
      </c>
      <c r="K377" s="122">
        <f t="shared" si="54"/>
        <v>7.7312197087518936E-2</v>
      </c>
      <c r="Y377" s="126">
        <f>IF($Z$1, C377, -0.2)</f>
        <v>-0.2</v>
      </c>
    </row>
    <row r="378" spans="2:25" x14ac:dyDescent="0.3">
      <c r="B378" s="12">
        <v>0.625328548137837</v>
      </c>
      <c r="C378" s="12">
        <f t="shared" si="46"/>
        <v>1.7179280299671914E-2</v>
      </c>
      <c r="D378" s="126">
        <f t="shared" si="47"/>
        <v>3.8502891735104308E-2</v>
      </c>
      <c r="E378" s="12">
        <f t="shared" si="48"/>
        <v>-2.5036505348648555E-2</v>
      </c>
      <c r="F378" s="12">
        <f t="shared" si="49"/>
        <v>-2.5031276132686242E-2</v>
      </c>
      <c r="G378" s="122">
        <f t="shared" si="50"/>
        <v>0.6262922240111809</v>
      </c>
      <c r="H378" s="122">
        <f t="shared" si="51"/>
        <v>5.5670110386541932E-2</v>
      </c>
      <c r="I378" s="122">
        <f t="shared" si="52"/>
        <v>0.62436487226449311</v>
      </c>
      <c r="J378" s="122">
        <f t="shared" si="53"/>
        <v>-2.1311549787198108E-2</v>
      </c>
      <c r="K378" s="122">
        <f t="shared" si="54"/>
        <v>7.6981660173740044E-2</v>
      </c>
      <c r="Y378" s="126">
        <f>IF($Z$1, C378, -0.2)</f>
        <v>-0.2</v>
      </c>
    </row>
    <row r="379" spans="2:25" x14ac:dyDescent="0.3">
      <c r="B379" s="12">
        <v>0.62824898849512922</v>
      </c>
      <c r="C379" s="12">
        <f t="shared" si="46"/>
        <v>1.7105688847275018E-2</v>
      </c>
      <c r="D379" s="126">
        <f t="shared" si="47"/>
        <v>3.8335603594849638E-2</v>
      </c>
      <c r="E379" s="12">
        <f t="shared" si="48"/>
        <v>-2.5360998721681023E-2</v>
      </c>
      <c r="F379" s="12">
        <f t="shared" si="49"/>
        <v>-2.5355563587771284E-2</v>
      </c>
      <c r="G379" s="122">
        <f t="shared" si="50"/>
        <v>0.62922090518032359</v>
      </c>
      <c r="H379" s="122">
        <f t="shared" si="51"/>
        <v>5.5428970034283126E-2</v>
      </c>
      <c r="I379" s="122">
        <f t="shared" si="52"/>
        <v>0.62727707180993486</v>
      </c>
      <c r="J379" s="122">
        <f t="shared" si="53"/>
        <v>-2.1217592339733086E-2</v>
      </c>
      <c r="K379" s="122">
        <f t="shared" si="54"/>
        <v>7.6646562374016208E-2</v>
      </c>
      <c r="Y379" s="126">
        <f>IF($Z$1, C379, -0.2)</f>
        <v>-0.2</v>
      </c>
    </row>
    <row r="380" spans="2:25" x14ac:dyDescent="0.3">
      <c r="B380" s="12">
        <v>0.63117311260508657</v>
      </c>
      <c r="C380" s="12">
        <f t="shared" si="46"/>
        <v>1.7031055111582E-2</v>
      </c>
      <c r="D380" s="126">
        <f t="shared" si="47"/>
        <v>3.8166032011752206E-2</v>
      </c>
      <c r="E380" s="12">
        <f t="shared" si="48"/>
        <v>-2.5685901400565175E-2</v>
      </c>
      <c r="F380" s="12">
        <f t="shared" si="49"/>
        <v>-2.5680254744887762E-2</v>
      </c>
      <c r="G380" s="122">
        <f t="shared" si="50"/>
        <v>0.63215311830650622</v>
      </c>
      <c r="H380" s="122">
        <f t="shared" si="51"/>
        <v>5.5184503033719773E-2</v>
      </c>
      <c r="I380" s="122">
        <f t="shared" si="52"/>
        <v>0.63019310690366692</v>
      </c>
      <c r="J380" s="122">
        <f t="shared" si="53"/>
        <v>-2.1122392810555776E-2</v>
      </c>
      <c r="K380" s="122">
        <f t="shared" si="54"/>
        <v>7.6306895844275552E-2</v>
      </c>
      <c r="Y380" s="126">
        <f>IF($Z$1, C380, -0.2)</f>
        <v>-0.2</v>
      </c>
    </row>
    <row r="381" spans="2:25" x14ac:dyDescent="0.3">
      <c r="B381" s="12">
        <v>0.63410089149199766</v>
      </c>
      <c r="C381" s="12">
        <f t="shared" si="46"/>
        <v>1.6955376255702884E-2</v>
      </c>
      <c r="D381" s="126">
        <f t="shared" si="47"/>
        <v>3.7994173051457442E-2</v>
      </c>
      <c r="E381" s="12">
        <f t="shared" si="48"/>
        <v>-2.6011210165777517E-2</v>
      </c>
      <c r="F381" s="12">
        <f t="shared" si="49"/>
        <v>-2.6005346298023084E-2</v>
      </c>
      <c r="G381" s="122">
        <f t="shared" si="50"/>
        <v>0.63508883175700448</v>
      </c>
      <c r="H381" s="122">
        <f t="shared" si="51"/>
        <v>5.493670271880674E-2</v>
      </c>
      <c r="I381" s="122">
        <f t="shared" si="52"/>
        <v>0.63311295122699085</v>
      </c>
      <c r="J381" s="122">
        <f t="shared" si="53"/>
        <v>-2.1025950207400973E-2</v>
      </c>
      <c r="K381" s="122">
        <f t="shared" si="54"/>
        <v>7.5962652926207713E-2</v>
      </c>
      <c r="Y381" s="126">
        <f>IF($Z$1, C381, -0.2)</f>
        <v>-0.2</v>
      </c>
    </row>
    <row r="382" spans="2:25" x14ac:dyDescent="0.3">
      <c r="B382" s="12">
        <v>0.63703229614393531</v>
      </c>
      <c r="C382" s="12">
        <f t="shared" si="46"/>
        <v>1.6878649476929655E-2</v>
      </c>
      <c r="D382" s="126">
        <f t="shared" si="47"/>
        <v>3.7820022870654078E-2</v>
      </c>
      <c r="E382" s="12">
        <f t="shared" si="48"/>
        <v>-2.633692179377059E-2</v>
      </c>
      <c r="F382" s="12">
        <f t="shared" si="49"/>
        <v>-2.6330834936826759E-2</v>
      </c>
      <c r="G382" s="122">
        <f t="shared" si="50"/>
        <v>0.63802801385682495</v>
      </c>
      <c r="H382" s="122">
        <f t="shared" si="51"/>
        <v>5.4685562550771519E-2</v>
      </c>
      <c r="I382" s="122">
        <f t="shared" si="52"/>
        <v>0.63603657843104566</v>
      </c>
      <c r="J382" s="122">
        <f t="shared" si="53"/>
        <v>-2.0928263596912213E-2</v>
      </c>
      <c r="K382" s="122">
        <f t="shared" si="54"/>
        <v>7.5613826147683735E-2</v>
      </c>
      <c r="Y382" s="126">
        <f>IF($Z$1, C382, -0.2)</f>
        <v>-0.2</v>
      </c>
    </row>
    <row r="383" spans="2:25" x14ac:dyDescent="0.3">
      <c r="B383" s="12">
        <v>0.63996729751304415</v>
      </c>
      <c r="C383" s="12">
        <f t="shared" si="46"/>
        <v>1.6800872006904787E-2</v>
      </c>
      <c r="D383" s="126">
        <f t="shared" si="47"/>
        <v>3.7643577717274161E-2</v>
      </c>
      <c r="E383" s="12">
        <f t="shared" si="48"/>
        <v>-2.6663033057004907E-2</v>
      </c>
      <c r="F383" s="12">
        <f t="shared" si="49"/>
        <v>-2.6656717346648696E-2</v>
      </c>
      <c r="G383" s="122">
        <f t="shared" si="50"/>
        <v>0.64097063288921308</v>
      </c>
      <c r="H383" s="122">
        <f t="shared" si="51"/>
        <v>5.4431076118487645E-2</v>
      </c>
      <c r="I383" s="122">
        <f t="shared" si="52"/>
        <v>0.63896396213687523</v>
      </c>
      <c r="J383" s="122">
        <f t="shared" si="53"/>
        <v>-2.0829332104678074E-2</v>
      </c>
      <c r="K383" s="122">
        <f t="shared" si="54"/>
        <v>7.5260408223165723E-2</v>
      </c>
      <c r="Y383" s="126">
        <f>IF($Z$1, C383, -0.2)</f>
        <v>-0.2</v>
      </c>
    </row>
    <row r="384" spans="2:25" x14ac:dyDescent="0.3">
      <c r="B384" s="12">
        <v>0.64290586651582782</v>
      </c>
      <c r="C384" s="12">
        <f t="shared" si="46"/>
        <v>1.6722041111788603E-2</v>
      </c>
      <c r="D384" s="126">
        <f t="shared" si="47"/>
        <v>3.7464833930688425E-2</v>
      </c>
      <c r="E384" s="12">
        <f t="shared" si="48"/>
        <v>-2.6989540723980868E-2</v>
      </c>
      <c r="F384" s="12">
        <f t="shared" si="49"/>
        <v>-2.6982990208577536E-2</v>
      </c>
      <c r="G384" s="122">
        <f t="shared" si="50"/>
        <v>0.64391665709616175</v>
      </c>
      <c r="H384" s="122">
        <f t="shared" si="51"/>
        <v>5.4173237138841882E-2</v>
      </c>
      <c r="I384" s="122">
        <f t="shared" si="52"/>
        <v>0.64189507593549389</v>
      </c>
      <c r="J384" s="122">
        <f t="shared" si="53"/>
        <v>-2.0729154915264673E-2</v>
      </c>
      <c r="K384" s="122">
        <f t="shared" si="54"/>
        <v>7.4902392054106551E-2</v>
      </c>
      <c r="Y384" s="126">
        <f>IF($Z$1, C384, -0.2)</f>
        <v>-0.2</v>
      </c>
    </row>
    <row r="385" spans="2:25" x14ac:dyDescent="0.3">
      <c r="B385" s="12">
        <v>0.64584797403343797</v>
      </c>
      <c r="C385" s="12">
        <f t="shared" ref="C385:C448" si="55">IF($A$1=0, 0, IF(B385&lt;=$A$2, ($A$1/$A$2^2)*(2*$A$2*B385-B385^2), ($A$1/(1-$A$2)^2)*((1-2*$A$2)+2*$A$2*B385-B385^2)))</f>
        <v>1.6642154092425223E-2</v>
      </c>
      <c r="D385" s="126">
        <f t="shared" ref="D385:D448" si="56">IF(B385&lt;$N$1, ($A$3/0.2)*($O$1*SQRT(B385)+$P$1*B385+$Q$1*(B385^2)+$R$1*(B385^3)), ($A$3/0.2)*($S$1+$T$1*(1-B385)+$U$1*((1-B385)^2)+$V$1*((1-B385)^3)))</f>
        <v>3.7283787941896691E-2</v>
      </c>
      <c r="E385" s="12">
        <f t="shared" si="48"/>
        <v>-2.7316441559270883E-2</v>
      </c>
      <c r="F385" s="12">
        <f t="shared" si="49"/>
        <v>-2.730965019947925E-2</v>
      </c>
      <c r="G385" s="122">
        <f t="shared" si="50"/>
        <v>0.64686605467892266</v>
      </c>
      <c r="H385" s="122">
        <f t="shared" si="51"/>
        <v>5.3912039457094788E-2</v>
      </c>
      <c r="I385" s="122">
        <f t="shared" si="52"/>
        <v>0.64482989338795327</v>
      </c>
      <c r="J385" s="122">
        <f t="shared" si="53"/>
        <v>-2.0627731272244338E-2</v>
      </c>
      <c r="K385" s="122">
        <f t="shared" si="54"/>
        <v>7.4539770729339122E-2</v>
      </c>
      <c r="Y385" s="126">
        <f>IF($Z$1, C385, -0.2)</f>
        <v>-0.2</v>
      </c>
    </row>
    <row r="386" spans="2:25" x14ac:dyDescent="0.3">
      <c r="B386" s="12">
        <v>0.64879359091196209</v>
      </c>
      <c r="C386" s="12">
        <f t="shared" si="55"/>
        <v>1.6561208284507294E-2</v>
      </c>
      <c r="D386" s="126">
        <f t="shared" si="56"/>
        <v>3.7100436273713601E-2</v>
      </c>
      <c r="E386" s="12">
        <f t="shared" ref="E386:E449" si="57">IF($A$1=0, 0, IF(B386&lt;=$A$2, ($A$1/$A$2^2) *(2*$A$2-2*B386), ($A$1/(1-$A$2)^2)*(2*$A$2-2*B386)))</f>
        <v>-2.7643732323551343E-2</v>
      </c>
      <c r="F386" s="12">
        <f t="shared" ref="F386:F449" si="58">IF($A$1=0, 0,  ATAN(E386))</f>
        <v>-2.7636693992035648E-2</v>
      </c>
      <c r="G386" s="122">
        <f t="shared" ref="G386:G449" si="59">B386-D386*SIN(F386)</f>
        <v>0.64981879379851826</v>
      </c>
      <c r="H386" s="122">
        <f t="shared" ref="H386:H449" si="60">C386+D386*COS(F386)</f>
        <v>5.3647477047235111E-2</v>
      </c>
      <c r="I386" s="122">
        <f t="shared" ref="I386:I449" si="61">B386+D386*SIN(F386)</f>
        <v>0.64776838802540593</v>
      </c>
      <c r="J386" s="122">
        <f t="shared" ref="J386:J449" si="62">C386-D386*COS(F386)</f>
        <v>-2.0525060478220523E-2</v>
      </c>
      <c r="K386" s="122">
        <f t="shared" ref="K386:K449" si="63">2*D386*COS(F386)</f>
        <v>7.4172537525455634E-2</v>
      </c>
      <c r="Y386" s="126">
        <f>IF($Z$1, C386, -0.2)</f>
        <v>-0.2</v>
      </c>
    </row>
    <row r="387" spans="2:25" x14ac:dyDescent="0.3">
      <c r="B387" s="12">
        <v>0.65174268796271284</v>
      </c>
      <c r="C387" s="12">
        <f t="shared" si="55"/>
        <v>1.6479201058739346E-2</v>
      </c>
      <c r="D387" s="126">
        <f t="shared" si="56"/>
        <v>3.6914775540949615E-2</v>
      </c>
      <c r="E387" s="12">
        <f t="shared" si="57"/>
        <v>-2.797140977363476E-2</v>
      </c>
      <c r="F387" s="12">
        <f t="shared" si="58"/>
        <v>-2.796411825478309E-2</v>
      </c>
      <c r="G387" s="122">
        <f t="shared" si="59"/>
        <v>0.65277484257625529</v>
      </c>
      <c r="H387" s="122">
        <f t="shared" si="60"/>
        <v>5.3379544012327661E-2</v>
      </c>
      <c r="I387" s="122">
        <f t="shared" si="61"/>
        <v>0.65071053334917039</v>
      </c>
      <c r="J387" s="122">
        <f t="shared" si="62"/>
        <v>-2.042114189484897E-2</v>
      </c>
      <c r="K387" s="122">
        <f t="shared" si="63"/>
        <v>7.380068590717663E-2</v>
      </c>
      <c r="Y387" s="126">
        <f>IF($Z$1, C387, -0.2)</f>
        <v>-0.2</v>
      </c>
    </row>
    <row r="388" spans="2:25" x14ac:dyDescent="0.3">
      <c r="B388" s="12">
        <v>0.65469523596251733</v>
      </c>
      <c r="C388" s="12">
        <f t="shared" si="55"/>
        <v>1.6396129820999864E-2</v>
      </c>
      <c r="D388" s="126">
        <f t="shared" si="56"/>
        <v>3.6726802450587098E-2</v>
      </c>
      <c r="E388" s="12">
        <f t="shared" si="57"/>
        <v>-2.8299470662501925E-2</v>
      </c>
      <c r="F388" s="12">
        <f t="shared" si="58"/>
        <v>-2.8291919652151283E-2</v>
      </c>
      <c r="G388" s="122">
        <f t="shared" si="59"/>
        <v>0.65573416909424076</v>
      </c>
      <c r="H388" s="122">
        <f t="shared" si="60"/>
        <v>5.3108234584854766E-2</v>
      </c>
      <c r="I388" s="122">
        <f t="shared" si="61"/>
        <v>0.6536563028307939</v>
      </c>
      <c r="J388" s="122">
        <f t="shared" si="62"/>
        <v>-2.0315974942855041E-2</v>
      </c>
      <c r="K388" s="122">
        <f t="shared" si="63"/>
        <v>7.3424209527709811E-2</v>
      </c>
      <c r="Y388" s="126">
        <f>IF($Z$1, C388, -0.2)</f>
        <v>-0.2</v>
      </c>
    </row>
    <row r="389" spans="2:25" x14ac:dyDescent="0.3">
      <c r="B389" s="12">
        <v>0.65765120565400648</v>
      </c>
      <c r="C389" s="12">
        <f t="shared" si="55"/>
        <v>1.6311992012502049E-2</v>
      </c>
      <c r="D389" s="126">
        <f t="shared" si="56"/>
        <v>3.6536513801951699E-2</v>
      </c>
      <c r="E389" s="12">
        <f t="shared" si="57"/>
        <v>-2.8627911739334051E-2</v>
      </c>
      <c r="F389" s="12">
        <f t="shared" si="58"/>
        <v>-2.8620094844502099E-2</v>
      </c>
      <c r="G389" s="122">
        <f t="shared" si="59"/>
        <v>0.6586967413958974</v>
      </c>
      <c r="H389" s="122">
        <f t="shared" si="60"/>
        <v>5.2833543127051324E-2</v>
      </c>
      <c r="I389" s="122">
        <f t="shared" si="61"/>
        <v>0.65660566991211555</v>
      </c>
      <c r="J389" s="122">
        <f t="shared" si="62"/>
        <v>-2.020955910204723E-2</v>
      </c>
      <c r="K389" s="122">
        <f t="shared" si="63"/>
        <v>7.3043102229098558E-2</v>
      </c>
      <c r="Y389" s="126">
        <f>IF($Z$1, C389, -0.2)</f>
        <v>-0.2</v>
      </c>
    </row>
    <row r="390" spans="2:25" x14ac:dyDescent="0.3">
      <c r="B390" s="12">
        <v>0.6606105677459051</v>
      </c>
      <c r="C390" s="12">
        <f t="shared" si="55"/>
        <v>1.6226785109953165E-2</v>
      </c>
      <c r="D390" s="126">
        <f t="shared" si="56"/>
        <v>3.6343906486878984E-2</v>
      </c>
      <c r="E390" s="12">
        <f t="shared" si="57"/>
        <v>-2.895672974954501E-2</v>
      </c>
      <c r="F390" s="12">
        <f t="shared" si="58"/>
        <v>-2.8948640488168569E-2</v>
      </c>
      <c r="G390" s="122">
        <f t="shared" si="59"/>
        <v>0.66166252748648224</v>
      </c>
      <c r="H390" s="122">
        <f t="shared" si="60"/>
        <v>5.2555464131233437E-2</v>
      </c>
      <c r="I390" s="122">
        <f t="shared" si="61"/>
        <v>0.65955860800532795</v>
      </c>
      <c r="J390" s="122">
        <f t="shared" si="62"/>
        <v>-2.0101893911327107E-2</v>
      </c>
      <c r="K390" s="122">
        <f t="shared" si="63"/>
        <v>7.2657358042560544E-2</v>
      </c>
      <c r="Y390" s="126">
        <f>IF($Z$1, C390, -0.2)</f>
        <v>-0.2</v>
      </c>
    </row>
    <row r="391" spans="2:25" x14ac:dyDescent="0.3">
      <c r="B391" s="12">
        <v>0.66357329291332134</v>
      </c>
      <c r="C391" s="12">
        <f t="shared" si="55"/>
        <v>1.6140506625712692E-2</v>
      </c>
      <c r="D391" s="126">
        <f t="shared" si="56"/>
        <v>3.6148977489876222E-2</v>
      </c>
      <c r="E391" s="12">
        <f t="shared" si="57"/>
        <v>-2.9285921434813483E-2</v>
      </c>
      <c r="F391" s="12">
        <f t="shared" si="58"/>
        <v>-2.9277553235493806E-2</v>
      </c>
      <c r="G391" s="122">
        <f t="shared" si="59"/>
        <v>0.6646314953336051</v>
      </c>
      <c r="H391" s="122">
        <f t="shared" si="60"/>
        <v>5.2273992220120594E-2</v>
      </c>
      <c r="I391" s="122">
        <f t="shared" si="61"/>
        <v>0.66251509049303758</v>
      </c>
      <c r="J391" s="122">
        <f t="shared" si="62"/>
        <v>-1.9992978968695205E-2</v>
      </c>
      <c r="K391" s="122">
        <f t="shared" si="63"/>
        <v>7.2266971188815796E-2</v>
      </c>
      <c r="Y391" s="126">
        <f>IF($Z$1, C391, -0.2)</f>
        <v>-0.2</v>
      </c>
    </row>
    <row r="392" spans="2:25" x14ac:dyDescent="0.3">
      <c r="B392" s="12">
        <v>0.66653935179803925</v>
      </c>
      <c r="C392" s="12">
        <f t="shared" si="55"/>
        <v>1.6053154107948952E-2</v>
      </c>
      <c r="D392" s="126">
        <f t="shared" si="56"/>
        <v>3.5951723888279323E-2</v>
      </c>
      <c r="E392" s="12">
        <f t="shared" si="57"/>
        <v>-2.961548353311547E-2</v>
      </c>
      <c r="F392" s="12">
        <f t="shared" si="58"/>
        <v>-2.9606829734870353E-2</v>
      </c>
      <c r="G392" s="122">
        <f t="shared" si="59"/>
        <v>0.66760361286775083</v>
      </c>
      <c r="H392" s="122">
        <f t="shared" si="60"/>
        <v>5.1989122147151276E-2</v>
      </c>
      <c r="I392" s="122">
        <f t="shared" si="61"/>
        <v>0.66547509072832767</v>
      </c>
      <c r="J392" s="122">
        <f t="shared" si="62"/>
        <v>-1.9882813931253369E-2</v>
      </c>
      <c r="K392" s="122">
        <f t="shared" si="63"/>
        <v>7.1871936078404641E-2</v>
      </c>
      <c r="Y392" s="126">
        <f>IF($Z$1, C392, -0.2)</f>
        <v>-0.2</v>
      </c>
    </row>
    <row r="393" spans="2:25" x14ac:dyDescent="0.3">
      <c r="B393" s="12">
        <v>0.66950871500880726</v>
      </c>
      <c r="C393" s="12">
        <f t="shared" si="55"/>
        <v>1.5964725140794528E-2</v>
      </c>
      <c r="D393" s="126">
        <f t="shared" si="56"/>
        <v>3.5752142852405161E-2</v>
      </c>
      <c r="E393" s="12">
        <f t="shared" si="57"/>
        <v>-2.9945412778756363E-2</v>
      </c>
      <c r="F393" s="12">
        <f t="shared" si="58"/>
        <v>-2.9936466630779167E-2</v>
      </c>
      <c r="G393" s="122">
        <f t="shared" si="59"/>
        <v>0.67057884798279876</v>
      </c>
      <c r="H393" s="122">
        <f t="shared" si="60"/>
        <v>5.1700848796792272E-2</v>
      </c>
      <c r="I393" s="122">
        <f t="shared" si="61"/>
        <v>0.66843858203481576</v>
      </c>
      <c r="J393" s="122">
        <f t="shared" si="62"/>
        <v>-1.9771398515203216E-2</v>
      </c>
      <c r="K393" s="122">
        <f t="shared" si="63"/>
        <v>7.1472247311995488E-2</v>
      </c>
      <c r="Y393" s="126">
        <f>IF($Z$1, C393, -0.2)</f>
        <v>-0.2</v>
      </c>
    </row>
    <row r="394" spans="2:25" x14ac:dyDescent="0.3">
      <c r="B394" s="12">
        <v>0.67248135312163138</v>
      </c>
      <c r="C394" s="12">
        <f t="shared" si="55"/>
        <v>1.5875217344500269E-2</v>
      </c>
      <c r="D394" s="126">
        <f t="shared" si="56"/>
        <v>3.5550231645698961E-2</v>
      </c>
      <c r="E394" s="12">
        <f t="shared" si="57"/>
        <v>-3.0275705902403485E-2</v>
      </c>
      <c r="F394" s="12">
        <f t="shared" si="58"/>
        <v>-3.0266460563829062E-2</v>
      </c>
      <c r="G394" s="122">
        <f t="shared" si="59"/>
        <v>0.67355716853654835</v>
      </c>
      <c r="H394" s="122">
        <f t="shared" si="60"/>
        <v>5.1409167184841453E-2</v>
      </c>
      <c r="I394" s="122">
        <f t="shared" si="61"/>
        <v>0.67140553770671441</v>
      </c>
      <c r="J394" s="122">
        <f t="shared" si="62"/>
        <v>-1.9658732495840912E-2</v>
      </c>
      <c r="K394" s="122">
        <f t="shared" si="63"/>
        <v>7.1067899680682362E-2</v>
      </c>
      <c r="Y394" s="126">
        <f>IF($Z$1, C394, -0.2)</f>
        <v>-0.2</v>
      </c>
    </row>
    <row r="395" spans="2:25" x14ac:dyDescent="0.3">
      <c r="B395" s="12">
        <v>0.6754572366800653</v>
      </c>
      <c r="C395" s="12">
        <f t="shared" si="55"/>
        <v>1.5784628375587913E-2</v>
      </c>
      <c r="D395" s="126">
        <f t="shared" si="56"/>
        <v>3.5345987624876979E-2</v>
      </c>
      <c r="E395" s="12">
        <f t="shared" si="57"/>
        <v>-3.0606359631118366E-2</v>
      </c>
      <c r="F395" s="12">
        <f t="shared" si="58"/>
        <v>-3.0596808170795999E-2</v>
      </c>
      <c r="G395" s="122">
        <f t="shared" si="59"/>
        <v>0.67653854235124122</v>
      </c>
      <c r="H395" s="122">
        <f t="shared" si="60"/>
        <v>5.1114072458724E-2</v>
      </c>
      <c r="I395" s="122">
        <f t="shared" si="61"/>
        <v>0.67437593100888937</v>
      </c>
      <c r="J395" s="122">
        <f t="shared" si="62"/>
        <v>-1.9544815707548169E-2</v>
      </c>
      <c r="K395" s="122">
        <f t="shared" si="63"/>
        <v>7.0658888166272166E-2</v>
      </c>
      <c r="Y395" s="126">
        <f>IF($Z$1, C395, -0.2)</f>
        <v>-0.2</v>
      </c>
    </row>
    <row r="396" spans="2:25" x14ac:dyDescent="0.3">
      <c r="B396" s="12">
        <v>0.67843633619550392</v>
      </c>
      <c r="C396" s="12">
        <f t="shared" si="55"/>
        <v>1.5692955927001352E-2</v>
      </c>
      <c r="D396" s="126">
        <f t="shared" si="56"/>
        <v>3.5139408240064236E-2</v>
      </c>
      <c r="E396" s="12">
        <f t="shared" si="57"/>
        <v>-3.0937370688389323E-2</v>
      </c>
      <c r="F396" s="12">
        <f t="shared" si="58"/>
        <v>-3.092750608466269E-2</v>
      </c>
      <c r="G396" s="122">
        <f t="shared" si="59"/>
        <v>0.67952293721408941</v>
      </c>
      <c r="H396" s="122">
        <f t="shared" si="60"/>
        <v>5.0815559897782095E-2</v>
      </c>
      <c r="I396" s="122">
        <f t="shared" si="61"/>
        <v>0.67734973517691843</v>
      </c>
      <c r="J396" s="122">
        <f t="shared" si="62"/>
        <v>-1.9429648043779391E-2</v>
      </c>
      <c r="K396" s="122">
        <f t="shared" si="63"/>
        <v>7.0245207941561486E-2</v>
      </c>
      <c r="Y396" s="126">
        <f>IF($Z$1, C396, -0.2)</f>
        <v>-0.2</v>
      </c>
    </row>
    <row r="397" spans="2:25" x14ac:dyDescent="0.3">
      <c r="B397" s="12">
        <v>0.68141862214747362</v>
      </c>
      <c r="C397" s="12">
        <f t="shared" si="55"/>
        <v>1.5600197728256528E-2</v>
      </c>
      <c r="D397" s="126">
        <f t="shared" si="56"/>
        <v>3.4930491034927826E-2</v>
      </c>
      <c r="E397" s="12">
        <f t="shared" si="57"/>
        <v>-3.1268735794163734E-2</v>
      </c>
      <c r="F397" s="12">
        <f t="shared" si="58"/>
        <v>-3.1258550934657965E-2</v>
      </c>
      <c r="G397" s="122">
        <f t="shared" si="59"/>
        <v>0.68251032087779961</v>
      </c>
      <c r="H397" s="122">
        <f t="shared" si="60"/>
        <v>5.051362491355843E-2</v>
      </c>
      <c r="I397" s="122">
        <f t="shared" si="61"/>
        <v>0.68032692341714762</v>
      </c>
      <c r="J397" s="122">
        <f t="shared" si="62"/>
        <v>-1.9313229457045375E-2</v>
      </c>
      <c r="K397" s="122">
        <f t="shared" si="63"/>
        <v>6.9826854370603805E-2</v>
      </c>
      <c r="Y397" s="126">
        <f>IF($Z$1, C397, -0.2)</f>
        <v>-0.2</v>
      </c>
    </row>
    <row r="398" spans="2:25" x14ac:dyDescent="0.3">
      <c r="B398" s="12">
        <v>0.68440406498392603</v>
      </c>
      <c r="C398" s="12">
        <f t="shared" si="55"/>
        <v>1.5506351545589931E-2</v>
      </c>
      <c r="D398" s="126">
        <f t="shared" si="56"/>
        <v>3.4719233646804987E-2</v>
      </c>
      <c r="E398" s="12">
        <f t="shared" si="57"/>
        <v>-3.1600451664880673E-2</v>
      </c>
      <c r="F398" s="12">
        <f t="shared" si="58"/>
        <v>-3.1589939346296517E-2</v>
      </c>
      <c r="G398" s="122">
        <f t="shared" si="59"/>
        <v>0.68550066106110241</v>
      </c>
      <c r="H398" s="122">
        <f t="shared" si="60"/>
        <v>5.0208263050072748E-2</v>
      </c>
      <c r="I398" s="122">
        <f t="shared" si="61"/>
        <v>0.68330746890674965</v>
      </c>
      <c r="J398" s="122">
        <f t="shared" si="62"/>
        <v>-1.919555995889289E-2</v>
      </c>
      <c r="K398" s="122">
        <f t="shared" si="63"/>
        <v>6.9403823008965637E-2</v>
      </c>
      <c r="Y398" s="126">
        <f>IF($Z$1, C398, -0.2)</f>
        <v>-0.2</v>
      </c>
    </row>
    <row r="399" spans="2:25" x14ac:dyDescent="0.3">
      <c r="B399" s="12">
        <v>0.68739263512153115</v>
      </c>
      <c r="C399" s="12">
        <f t="shared" si="55"/>
        <v>1.5411415182105693E-2</v>
      </c>
      <c r="D399" s="126">
        <f t="shared" si="56"/>
        <v>3.450563380682669E-2</v>
      </c>
      <c r="E399" s="12">
        <f t="shared" si="57"/>
        <v>-3.1932515013503464E-2</v>
      </c>
      <c r="F399" s="12">
        <f t="shared" si="58"/>
        <v>-3.1921667941418673E-2</v>
      </c>
      <c r="G399" s="122">
        <f t="shared" si="59"/>
        <v>0.68849392544928212</v>
      </c>
      <c r="H399" s="122">
        <f t="shared" si="60"/>
        <v>4.9899469984092185E-2</v>
      </c>
      <c r="I399" s="122">
        <f t="shared" si="61"/>
        <v>0.68629134479378018</v>
      </c>
      <c r="J399" s="122">
        <f t="shared" si="62"/>
        <v>-1.9076639619880795E-2</v>
      </c>
      <c r="K399" s="122">
        <f t="shared" si="63"/>
        <v>6.8976109603972977E-2</v>
      </c>
      <c r="Y399" s="126">
        <f>IF($Z$1, C399, -0.2)</f>
        <v>-0.2</v>
      </c>
    </row>
    <row r="400" spans="2:25" x14ac:dyDescent="0.3">
      <c r="B400" s="12">
        <v>0.6903843029459692</v>
      </c>
      <c r="C400" s="12">
        <f t="shared" si="55"/>
        <v>1.5315386477921314E-2</v>
      </c>
      <c r="D400" s="126">
        <f t="shared" si="56"/>
        <v>3.4289689340036365E-2</v>
      </c>
      <c r="E400" s="12">
        <f t="shared" si="57"/>
        <v>-3.2264922549552134E-2</v>
      </c>
      <c r="F400" s="12">
        <f t="shared" si="58"/>
        <v>-3.2253733338230013E-2</v>
      </c>
      <c r="G400" s="122">
        <f t="shared" si="59"/>
        <v>0.69149008169470538</v>
      </c>
      <c r="H400" s="122">
        <f t="shared" si="60"/>
        <v>4.9587241525394989E-2</v>
      </c>
      <c r="I400" s="122">
        <f t="shared" si="61"/>
        <v>0.68927852419723301</v>
      </c>
      <c r="J400" s="122">
        <f t="shared" si="62"/>
        <v>-1.8956468569552361E-2</v>
      </c>
      <c r="K400" s="122">
        <f t="shared" si="63"/>
        <v>6.8543710094947349E-2</v>
      </c>
      <c r="Y400" s="126">
        <f>IF($Z$1, C400, -0.2)</f>
        <v>-0.2</v>
      </c>
    </row>
    <row r="401" spans="2:25" x14ac:dyDescent="0.3">
      <c r="B401" s="12">
        <v>0.69337903881222562</v>
      </c>
      <c r="C401" s="12">
        <f t="shared" si="55"/>
        <v>1.5218263310311919E-2</v>
      </c>
      <c r="D401" s="126">
        <f t="shared" si="56"/>
        <v>3.4071398165503801E-2</v>
      </c>
      <c r="E401" s="12">
        <f t="shared" si="57"/>
        <v>-3.2597670979136177E-2</v>
      </c>
      <c r="F401" s="12">
        <f t="shared" si="58"/>
        <v>-3.2586132151341464E-2</v>
      </c>
      <c r="G401" s="122">
        <f t="shared" si="59"/>
        <v>0.69448909741735432</v>
      </c>
      <c r="H401" s="122">
        <f t="shared" si="60"/>
        <v>4.9271573617027699E-2</v>
      </c>
      <c r="I401" s="122">
        <f t="shared" si="61"/>
        <v>0.69226898020709693</v>
      </c>
      <c r="J401" s="122">
        <f t="shared" si="62"/>
        <v>-1.8835046996403863E-2</v>
      </c>
      <c r="K401" s="122">
        <f t="shared" si="63"/>
        <v>6.8106620613431562E-2</v>
      </c>
      <c r="Y401" s="126">
        <f>IF($Z$1, C401, -0.2)</f>
        <v>-0.2</v>
      </c>
    </row>
    <row r="402" spans="2:25" x14ac:dyDescent="0.3">
      <c r="B402" s="12">
        <v>0.69637681304488286</v>
      </c>
      <c r="C402" s="12">
        <f t="shared" si="55"/>
        <v>1.5120043593853254E-2</v>
      </c>
      <c r="D402" s="126">
        <f t="shared" si="56"/>
        <v>3.3850758296434379E-2</v>
      </c>
      <c r="E402" s="12">
        <f t="shared" si="57"/>
        <v>-3.2930757004986981E-2</v>
      </c>
      <c r="F402" s="12">
        <f t="shared" si="58"/>
        <v>-3.2918860991808997E-2</v>
      </c>
      <c r="G402" s="122">
        <f t="shared" si="59"/>
        <v>0.69749094020535685</v>
      </c>
      <c r="H402" s="122">
        <f t="shared" si="60"/>
        <v>4.8952462335555946E-2</v>
      </c>
      <c r="I402" s="122">
        <f t="shared" si="61"/>
        <v>0.69526268588440887</v>
      </c>
      <c r="J402" s="122">
        <f t="shared" si="62"/>
        <v>-1.8712375147849434E-2</v>
      </c>
      <c r="K402" s="122">
        <f t="shared" si="63"/>
        <v>6.7664837483405377E-2</v>
      </c>
      <c r="Y402" s="126">
        <f>IF($Z$1, C402, -0.2)</f>
        <v>-0.2</v>
      </c>
    </row>
    <row r="403" spans="2:25" x14ac:dyDescent="0.3">
      <c r="B403" s="12">
        <v>0.69937759593841675</v>
      </c>
      <c r="C403" s="12">
        <f t="shared" si="55"/>
        <v>1.5020725280563E-2</v>
      </c>
      <c r="D403" s="126">
        <f t="shared" si="56"/>
        <v>3.3627767840273368E-2</v>
      </c>
      <c r="E403" s="12">
        <f t="shared" si="57"/>
        <v>-3.326417732649075E-2</v>
      </c>
      <c r="F403" s="12">
        <f t="shared" si="58"/>
        <v>-3.3251916467173938E-2</v>
      </c>
      <c r="G403" s="122">
        <f t="shared" si="59"/>
        <v>0.70049557761552228</v>
      </c>
      <c r="H403" s="122">
        <f t="shared" si="60"/>
        <v>4.8629903891308314E-2</v>
      </c>
      <c r="I403" s="122">
        <f t="shared" si="61"/>
        <v>0.69825961426131122</v>
      </c>
      <c r="J403" s="122">
        <f t="shared" si="62"/>
        <v>-1.858845333018231E-2</v>
      </c>
      <c r="K403" s="122">
        <f t="shared" si="63"/>
        <v>6.7218357221490624E-2</v>
      </c>
      <c r="Y403" s="126">
        <f>IF($Z$1, C403, -0.2)</f>
        <v>-0.2</v>
      </c>
    </row>
    <row r="404" spans="2:25" x14ac:dyDescent="0.3">
      <c r="B404" s="12">
        <v>0.70238135775748911</v>
      </c>
      <c r="C404" s="12">
        <f t="shared" si="55"/>
        <v>1.4920306360040967E-2</v>
      </c>
      <c r="D404" s="126">
        <f t="shared" si="56"/>
        <v>3.3402424998805538E-2</v>
      </c>
      <c r="E404" s="12">
        <f t="shared" si="57"/>
        <v>-3.3597928639721011E-2</v>
      </c>
      <c r="F404" s="12">
        <f t="shared" si="58"/>
        <v>-3.3585295181502842E-2</v>
      </c>
      <c r="G404" s="122">
        <f t="shared" si="59"/>
        <v>0.70350297717387444</v>
      </c>
      <c r="H404" s="122">
        <f t="shared" si="60"/>
        <v>4.8303894628614147E-2</v>
      </c>
      <c r="I404" s="122">
        <f t="shared" si="61"/>
        <v>0.70125973834110378</v>
      </c>
      <c r="J404" s="122">
        <f t="shared" si="62"/>
        <v>-1.8463281908532209E-2</v>
      </c>
      <c r="K404" s="122">
        <f t="shared" si="63"/>
        <v>6.6767176537146353E-2</v>
      </c>
      <c r="Y404" s="126">
        <f>IF($Z$1, C404, -0.2)</f>
        <v>-0.2</v>
      </c>
    </row>
    <row r="405" spans="2:25" x14ac:dyDescent="0.3">
      <c r="B405" s="12">
        <v>0.70538806873724358</v>
      </c>
      <c r="C405" s="12">
        <f t="shared" si="55"/>
        <v>1.4818784859607591E-2</v>
      </c>
      <c r="D405" s="126">
        <f t="shared" si="56"/>
        <v>3.3174728068250031E-2</v>
      </c>
      <c r="E405" s="12">
        <f t="shared" si="57"/>
        <v>-3.3932007637471506E-2</v>
      </c>
      <c r="F405" s="12">
        <f t="shared" si="58"/>
        <v>-3.3918993735427873E-2</v>
      </c>
      <c r="G405" s="122">
        <f t="shared" si="59"/>
        <v>0.70651310637618803</v>
      </c>
      <c r="H405" s="122">
        <f t="shared" si="60"/>
        <v>4.7974431026034423E-2</v>
      </c>
      <c r="I405" s="122">
        <f t="shared" si="61"/>
        <v>0.70426303109829913</v>
      </c>
      <c r="J405" s="122">
        <f t="shared" si="62"/>
        <v>-1.8336861306819243E-2</v>
      </c>
      <c r="K405" s="122">
        <f t="shared" si="63"/>
        <v>6.6311292332853669E-2</v>
      </c>
      <c r="Y405" s="126">
        <f>IF($Z$1, C405, -0.2)</f>
        <v>-0.2</v>
      </c>
    </row>
    <row r="406" spans="2:25" x14ac:dyDescent="0.3">
      <c r="B406" s="12">
        <v>0.70839769908359895</v>
      </c>
      <c r="C406" s="12">
        <f t="shared" si="55"/>
        <v>1.471615884444122E-2</v>
      </c>
      <c r="D406" s="126">
        <f t="shared" si="56"/>
        <v>3.2944675439350479E-2</v>
      </c>
      <c r="E406" s="12">
        <f t="shared" si="57"/>
        <v>-3.4266411009288775E-2</v>
      </c>
      <c r="F406" s="12">
        <f t="shared" si="58"/>
        <v>-3.4253008726186841E-2</v>
      </c>
      <c r="G406" s="122">
        <f t="shared" si="59"/>
        <v>0.7095259326885236</v>
      </c>
      <c r="H406" s="122">
        <f t="shared" si="60"/>
        <v>4.7641509696586461E-2</v>
      </c>
      <c r="I406" s="122">
        <f t="shared" si="61"/>
        <v>0.70726946547867431</v>
      </c>
      <c r="J406" s="122">
        <f t="shared" si="62"/>
        <v>-1.8209192007704024E-2</v>
      </c>
      <c r="K406" s="122">
        <f t="shared" si="63"/>
        <v>6.5850701704290485E-2</v>
      </c>
      <c r="Y406" s="126">
        <f>IF($Z$1, C406, -0.2)</f>
        <v>-0.2</v>
      </c>
    </row>
    <row r="407" spans="2:25" x14ac:dyDescent="0.3">
      <c r="B407" s="12">
        <v>0.71141021897354673</v>
      </c>
      <c r="C407" s="12">
        <f t="shared" si="55"/>
        <v>1.4612426417713759E-2</v>
      </c>
      <c r="D407" s="126">
        <f t="shared" si="56"/>
        <v>3.2712265597460162E-2</v>
      </c>
      <c r="E407" s="12">
        <f t="shared" si="57"/>
        <v>-3.4601135441505192E-2</v>
      </c>
      <c r="F407" s="12">
        <f t="shared" si="58"/>
        <v>-3.4587336747663788E-2</v>
      </c>
      <c r="G407" s="122">
        <f t="shared" si="59"/>
        <v>0.71254142354776695</v>
      </c>
      <c r="H407" s="122">
        <f t="shared" si="60"/>
        <v>4.7305127387961519E-2</v>
      </c>
      <c r="I407" s="122">
        <f t="shared" si="61"/>
        <v>0.7102790143993265</v>
      </c>
      <c r="J407" s="122">
        <f t="shared" si="62"/>
        <v>-1.8080274552534005E-2</v>
      </c>
      <c r="K407" s="122">
        <f t="shared" si="63"/>
        <v>6.5385401940495524E-2</v>
      </c>
      <c r="Y407" s="126">
        <f>IF($Z$1, C407, -0.2)</f>
        <v>-0.2</v>
      </c>
    </row>
    <row r="408" spans="2:25" x14ac:dyDescent="0.3">
      <c r="B408" s="12">
        <v>0.71442559855544452</v>
      </c>
      <c r="C408" s="12">
        <f t="shared" si="55"/>
        <v>1.4507585720725026E-2</v>
      </c>
      <c r="D408" s="126">
        <f t="shared" si="56"/>
        <v>3.2477497122622684E-2</v>
      </c>
      <c r="E408" s="12">
        <f t="shared" si="57"/>
        <v>-3.4936177617271615E-2</v>
      </c>
      <c r="F408" s="12">
        <f t="shared" si="58"/>
        <v>-3.4921974390429211E-2</v>
      </c>
      <c r="G408" s="122">
        <f t="shared" si="59"/>
        <v>0.71555954636216546</v>
      </c>
      <c r="H408" s="122">
        <f t="shared" si="60"/>
        <v>4.6965280982736432E-2</v>
      </c>
      <c r="I408" s="122">
        <f t="shared" si="61"/>
        <v>0.71329165074872358</v>
      </c>
      <c r="J408" s="122">
        <f t="shared" si="62"/>
        <v>-1.7950109541286383E-2</v>
      </c>
      <c r="K408" s="122">
        <f t="shared" si="63"/>
        <v>6.4915390524022815E-2</v>
      </c>
      <c r="Y408" s="126">
        <f>IF($Z$1, C408, -0.2)</f>
        <v>-0.2</v>
      </c>
    </row>
    <row r="409" spans="2:25" x14ac:dyDescent="0.3">
      <c r="B409" s="12">
        <v>0.71744380794931262</v>
      </c>
      <c r="C409" s="12">
        <f t="shared" si="55"/>
        <v>1.4401634933035553E-2</v>
      </c>
      <c r="D409" s="126">
        <f t="shared" si="56"/>
        <v>3.2240368689647733E-2</v>
      </c>
      <c r="E409" s="12">
        <f t="shared" si="57"/>
        <v>-3.5271534216590288E-2</v>
      </c>
      <c r="F409" s="12">
        <f t="shared" si="58"/>
        <v>-3.5256918241780559E-2</v>
      </c>
      <c r="G409" s="122">
        <f t="shared" si="59"/>
        <v>0.71858026851186807</v>
      </c>
      <c r="H409" s="122">
        <f t="shared" si="60"/>
        <v>4.6621967498578297E-2</v>
      </c>
      <c r="I409" s="122">
        <f t="shared" si="61"/>
        <v>0.71630734738675716</v>
      </c>
      <c r="J409" s="122">
        <f t="shared" si="62"/>
        <v>-1.7818697632507187E-2</v>
      </c>
      <c r="K409" s="122">
        <f t="shared" si="63"/>
        <v>6.4440665131085484E-2</v>
      </c>
      <c r="Y409" s="126">
        <f>IF($Z$1, C409, -0.2)</f>
        <v>-0.2</v>
      </c>
    </row>
    <row r="410" spans="2:25" x14ac:dyDescent="0.3">
      <c r="B410" s="12">
        <v>0.72046481724713085</v>
      </c>
      <c r="C410" s="12">
        <f t="shared" si="55"/>
        <v>1.4294572272597944E-2</v>
      </c>
      <c r="D410" s="126">
        <f t="shared" si="56"/>
        <v>3.2000879068182032E-2</v>
      </c>
      <c r="E410" s="12">
        <f t="shared" si="57"/>
        <v>-3.5607201916347871E-2</v>
      </c>
      <c r="F410" s="12">
        <f t="shared" si="58"/>
        <v>-3.5592164885782936E-2</v>
      </c>
      <c r="G410" s="122">
        <f t="shared" si="59"/>
        <v>0.72160355734946602</v>
      </c>
      <c r="H410" s="122">
        <f t="shared" si="60"/>
        <v>4.6275184088442625E-2</v>
      </c>
      <c r="I410" s="122">
        <f t="shared" si="61"/>
        <v>0.71932607714479568</v>
      </c>
      <c r="J410" s="122">
        <f t="shared" si="62"/>
        <v>-1.768603954324674E-2</v>
      </c>
      <c r="K410" s="122">
        <f t="shared" si="63"/>
        <v>6.3961223631689365E-2</v>
      </c>
      <c r="Y410" s="126">
        <f>IF($Z$1, C410, -0.2)</f>
        <v>-0.2</v>
      </c>
    </row>
    <row r="411" spans="2:25" x14ac:dyDescent="0.3">
      <c r="B411" s="12">
        <v>0.72348859651313369</v>
      </c>
      <c r="C411" s="12">
        <f t="shared" si="55"/>
        <v>1.4186395995886831E-2</v>
      </c>
      <c r="D411" s="126">
        <f t="shared" si="56"/>
        <v>3.1759027122775736E-2</v>
      </c>
      <c r="E411" s="12">
        <f t="shared" si="57"/>
        <v>-3.5943177390348184E-2</v>
      </c>
      <c r="F411" s="12">
        <f t="shared" si="58"/>
        <v>-3.5927710903309512E-2</v>
      </c>
      <c r="G411" s="122">
        <f t="shared" si="59"/>
        <v>0.72462938020053203</v>
      </c>
      <c r="H411" s="122">
        <f t="shared" si="60"/>
        <v>4.5924928040765194E-2</v>
      </c>
      <c r="I411" s="122">
        <f t="shared" si="61"/>
        <v>0.72234781282573535</v>
      </c>
      <c r="J411" s="122">
        <f t="shared" si="62"/>
        <v>-1.7552136048991536E-2</v>
      </c>
      <c r="K411" s="122">
        <f t="shared" si="63"/>
        <v>6.347706408975673E-2</v>
      </c>
      <c r="Y411" s="126">
        <f>IF($Z$1, C411, -0.2)</f>
        <v>-0.2</v>
      </c>
    </row>
    <row r="412" spans="2:25" x14ac:dyDescent="0.3">
      <c r="B412" s="12">
        <v>0.72651511578410766</v>
      </c>
      <c r="C412" s="12">
        <f t="shared" si="55"/>
        <v>1.407710439802726E-2</v>
      </c>
      <c r="D412" s="126">
        <f t="shared" si="56"/>
        <v>3.1514811812943931E-2</v>
      </c>
      <c r="E412" s="12">
        <f t="shared" si="57"/>
        <v>-3.6279457309345294E-2</v>
      </c>
      <c r="F412" s="12">
        <f t="shared" si="58"/>
        <v>-3.6263552872082376E-2</v>
      </c>
      <c r="G412" s="122">
        <f t="shared" si="59"/>
        <v>0.72765770436416322</v>
      </c>
      <c r="H412" s="122">
        <f t="shared" si="60"/>
        <v>4.557119677964698E-2</v>
      </c>
      <c r="I412" s="122">
        <f t="shared" si="61"/>
        <v>0.7253725272040521</v>
      </c>
      <c r="J412" s="122">
        <f t="shared" si="62"/>
        <v>-1.7416987983592456E-2</v>
      </c>
      <c r="K412" s="122">
        <f t="shared" si="63"/>
        <v>6.2988184763239433E-2</v>
      </c>
      <c r="Y412" s="126">
        <f>IF($Z$1, C412, -0.2)</f>
        <v>-0.2</v>
      </c>
    </row>
    <row r="413" spans="2:25" x14ac:dyDescent="0.3">
      <c r="B413" s="12">
        <v>0.72954434506968779</v>
      </c>
      <c r="C413" s="12">
        <f t="shared" si="55"/>
        <v>1.3966695812921698E-2</v>
      </c>
      <c r="D413" s="126">
        <f t="shared" si="56"/>
        <v>3.1268232193223444E-2</v>
      </c>
      <c r="E413" s="12">
        <f t="shared" si="57"/>
        <v>-3.6616038341076421E-2</v>
      </c>
      <c r="F413" s="12">
        <f t="shared" si="58"/>
        <v>-3.6599687366713186E-2</v>
      </c>
      <c r="G413" s="122">
        <f t="shared" si="59"/>
        <v>0.73068849711352268</v>
      </c>
      <c r="H413" s="122">
        <f t="shared" si="60"/>
        <v>4.5213987865032765E-2</v>
      </c>
      <c r="I413" s="122">
        <f t="shared" si="61"/>
        <v>0.7284001930258529</v>
      </c>
      <c r="J413" s="122">
        <f t="shared" si="62"/>
        <v>-1.7280596239189372E-2</v>
      </c>
      <c r="K413" s="122">
        <f t="shared" si="63"/>
        <v>6.2494584104222137E-2</v>
      </c>
      <c r="Y413" s="126">
        <f>IF($Z$1, C413, -0.2)</f>
        <v>-0.2</v>
      </c>
    </row>
    <row r="414" spans="2:25" x14ac:dyDescent="0.3">
      <c r="B414" s="12">
        <v>0.73257625435265572</v>
      </c>
      <c r="C414" s="12">
        <f t="shared" si="55"/>
        <v>1.385516861337543E-2</v>
      </c>
      <c r="D414" s="126">
        <f t="shared" si="56"/>
        <v>3.1019287413224905E-2</v>
      </c>
      <c r="E414" s="12">
        <f t="shared" si="57"/>
        <v>-3.6952917150295077E-2</v>
      </c>
      <c r="F414" s="12">
        <f t="shared" si="58"/>
        <v>-3.6936110958744127E-2</v>
      </c>
      <c r="G414" s="122">
        <f t="shared" si="59"/>
        <v>0.73372172569638372</v>
      </c>
      <c r="H414" s="122">
        <f t="shared" si="60"/>
        <v>4.4853298992883019E-2</v>
      </c>
      <c r="I414" s="122">
        <f t="shared" si="61"/>
        <v>0.73143078300892772</v>
      </c>
      <c r="J414" s="122">
        <f t="shared" si="62"/>
        <v>-1.7142961766132156E-2</v>
      </c>
      <c r="K414" s="122">
        <f t="shared" si="63"/>
        <v>6.1996260759015175E-2</v>
      </c>
      <c r="Y414" s="126">
        <f>IF($Z$1, C414, -0.2)</f>
        <v>-0.2</v>
      </c>
    </row>
    <row r="415" spans="2:25" x14ac:dyDescent="0.3">
      <c r="B415" s="12">
        <v>0.73561081358923541</v>
      </c>
      <c r="C415" s="12">
        <f t="shared" si="55"/>
        <v>1.3742521211220635E-2</v>
      </c>
      <c r="D415" s="126">
        <f t="shared" si="56"/>
        <v>3.0767976717680154E-2</v>
      </c>
      <c r="E415" s="12">
        <f t="shared" si="57"/>
        <v>-3.7290090398803932E-2</v>
      </c>
      <c r="F415" s="12">
        <f t="shared" si="58"/>
        <v>-3.727282021668861E-2</v>
      </c>
      <c r="G415" s="122">
        <f t="shared" si="59"/>
        <v>0.73675735733567171</v>
      </c>
      <c r="H415" s="122">
        <f t="shared" si="60"/>
        <v>4.448912799533937E-2</v>
      </c>
      <c r="I415" s="122">
        <f t="shared" si="61"/>
        <v>0.73446426984279911</v>
      </c>
      <c r="J415" s="122">
        <f t="shared" si="62"/>
        <v>-1.7004085572898096E-2</v>
      </c>
      <c r="K415" s="122">
        <f t="shared" si="63"/>
        <v>6.1493213568237462E-2</v>
      </c>
      <c r="Y415" s="126">
        <f>IF($Z$1, C415, -0.2)</f>
        <v>-0.2</v>
      </c>
    </row>
    <row r="416" spans="2:25" x14ac:dyDescent="0.3">
      <c r="B416" s="12">
        <v>0.7386479927093933</v>
      </c>
      <c r="C416" s="12">
        <f t="shared" si="55"/>
        <v>1.3628752057438817E-2</v>
      </c>
      <c r="D416" s="126">
        <f t="shared" si="56"/>
        <v>3.0514299446484781E-2</v>
      </c>
      <c r="E416" s="12">
        <f t="shared" si="57"/>
        <v>-3.7627554745488144E-2</v>
      </c>
      <c r="F416" s="12">
        <f t="shared" si="58"/>
        <v>-3.7609811706072499E-2</v>
      </c>
      <c r="G416" s="122">
        <f t="shared" si="59"/>
        <v>0.73979535923001127</v>
      </c>
      <c r="H416" s="122">
        <f t="shared" si="60"/>
        <v>4.4121472840883288E-2</v>
      </c>
      <c r="I416" s="122">
        <f t="shared" si="61"/>
        <v>0.73750062618877532</v>
      </c>
      <c r="J416" s="122">
        <f t="shared" si="62"/>
        <v>-1.6863968726005658E-2</v>
      </c>
      <c r="K416" s="122">
        <f t="shared" si="63"/>
        <v>6.0985441566888947E-2</v>
      </c>
      <c r="Y416" s="126">
        <f>IF($Z$1, C416, -0.2)</f>
        <v>-0.2</v>
      </c>
    </row>
    <row r="417" spans="2:25" x14ac:dyDescent="0.3">
      <c r="B417" s="12">
        <v>0.74168776161713368</v>
      </c>
      <c r="C417" s="12">
        <f t="shared" si="55"/>
        <v>1.3513859642281826E-2</v>
      </c>
      <c r="D417" s="126">
        <f t="shared" si="56"/>
        <v>3.0258255034736163E-2</v>
      </c>
      <c r="E417" s="12">
        <f t="shared" si="57"/>
        <v>-3.7965306846348183E-2</v>
      </c>
      <c r="F417" s="12">
        <f t="shared" si="58"/>
        <v>-3.7947081989474843E-2</v>
      </c>
      <c r="G417" s="122">
        <f t="shared" si="59"/>
        <v>0.74283569855426879</v>
      </c>
      <c r="H417" s="122">
        <f t="shared" si="60"/>
        <v>4.3750331634488472E-2</v>
      </c>
      <c r="I417" s="122">
        <f t="shared" si="61"/>
        <v>0.74053982467999857</v>
      </c>
      <c r="J417" s="122">
        <f t="shared" si="62"/>
        <v>-1.6722612349924823E-2</v>
      </c>
      <c r="K417" s="122">
        <f t="shared" si="63"/>
        <v>6.0472943984413295E-2</v>
      </c>
      <c r="Y417" s="126">
        <f>IF($Z$1, C417, -0.2)</f>
        <v>-0.2</v>
      </c>
    </row>
    <row r="418" spans="2:25" x14ac:dyDescent="0.3">
      <c r="B418" s="12">
        <v>0.7447300901907985</v>
      </c>
      <c r="C418" s="12">
        <f t="shared" si="55"/>
        <v>1.3397842495391334E-2</v>
      </c>
      <c r="D418" s="126">
        <f t="shared" si="56"/>
        <v>2.9999843012766633E-2</v>
      </c>
      <c r="E418" s="12">
        <f t="shared" si="57"/>
        <v>-3.8303343354533163E-2</v>
      </c>
      <c r="F418" s="12">
        <f t="shared" si="58"/>
        <v>-3.8284627626569152E-2</v>
      </c>
      <c r="G418" s="122">
        <f t="shared" si="59"/>
        <v>0.74587834246009999</v>
      </c>
      <c r="H418" s="122">
        <f t="shared" si="60"/>
        <v>4.337570261776643E-2</v>
      </c>
      <c r="I418" s="122">
        <f t="shared" si="61"/>
        <v>0.74358183792149701</v>
      </c>
      <c r="J418" s="122">
        <f t="shared" si="62"/>
        <v>-1.6580017626983759E-2</v>
      </c>
      <c r="K418" s="122">
        <f t="shared" si="63"/>
        <v>5.9955720244750189E-2</v>
      </c>
      <c r="Y418" s="126">
        <f>IF($Z$1, C418, -0.2)</f>
        <v>-0.2</v>
      </c>
    </row>
    <row r="419" spans="2:25" x14ac:dyDescent="0.3">
      <c r="B419" s="12">
        <v>0.74777494828336577</v>
      </c>
      <c r="C419" s="12">
        <f t="shared" si="55"/>
        <v>1.3280699185916791E-2</v>
      </c>
      <c r="D419" s="126">
        <f t="shared" si="56"/>
        <v>2.9739063006171941E-2</v>
      </c>
      <c r="E419" s="12">
        <f t="shared" si="57"/>
        <v>-3.8641660920373973E-2</v>
      </c>
      <c r="F419" s="12">
        <f t="shared" si="58"/>
        <v>-3.8622445174164528E-2</v>
      </c>
      <c r="G419" s="122">
        <f t="shared" si="59"/>
        <v>0.74892325807649585</v>
      </c>
      <c r="H419" s="122">
        <f t="shared" si="60"/>
        <v>4.2997584169105485E-2</v>
      </c>
      <c r="I419" s="122">
        <f t="shared" si="61"/>
        <v>0.74662663849023569</v>
      </c>
      <c r="J419" s="122">
        <f t="shared" si="62"/>
        <v>-1.6436185797271907E-2</v>
      </c>
      <c r="K419" s="122">
        <f t="shared" si="63"/>
        <v>5.9433769966377392E-2</v>
      </c>
      <c r="Y419" s="126">
        <f>IF($Z$1, C419, -0.2)</f>
        <v>-0.2</v>
      </c>
    </row>
    <row r="420" spans="2:25" x14ac:dyDescent="0.3">
      <c r="B420" s="12">
        <v>0.75082230572274766</v>
      </c>
      <c r="C420" s="12">
        <f t="shared" si="55"/>
        <v>1.3162428322631944E-2</v>
      </c>
      <c r="D420" s="126">
        <f t="shared" si="56"/>
        <v>2.9475914735835152E-2</v>
      </c>
      <c r="E420" s="12">
        <f t="shared" si="57"/>
        <v>-3.8980256191416408E-2</v>
      </c>
      <c r="F420" s="12">
        <f t="shared" si="58"/>
        <v>-3.8960531186246809E-2</v>
      </c>
      <c r="G420" s="122">
        <f t="shared" si="59"/>
        <v>0.75197041251032948</v>
      </c>
      <c r="H420" s="122">
        <f t="shared" si="60"/>
        <v>4.2615974803803483E-2</v>
      </c>
      <c r="I420" s="122">
        <f t="shared" si="61"/>
        <v>0.74967419893516585</v>
      </c>
      <c r="J420" s="122">
        <f t="shared" si="62"/>
        <v>-1.6291118158539591E-2</v>
      </c>
      <c r="K420" s="122">
        <f t="shared" si="63"/>
        <v>5.8907092962343074E-2</v>
      </c>
      <c r="Y420" s="126">
        <f>IF($Z$1, C420, -0.2)</f>
        <v>-0.2</v>
      </c>
    </row>
    <row r="421" spans="2:25" x14ac:dyDescent="0.3">
      <c r="B421" s="12">
        <v>0.75387213231209049</v>
      </c>
      <c r="C421" s="12">
        <f t="shared" si="55"/>
        <v>1.304302855404969E-2</v>
      </c>
      <c r="D421" s="126">
        <f t="shared" si="56"/>
        <v>2.9210398017945727E-2</v>
      </c>
      <c r="E421" s="12">
        <f t="shared" si="57"/>
        <v>-3.9319125812454503E-2</v>
      </c>
      <c r="F421" s="12">
        <f t="shared" si="58"/>
        <v>-3.9298882214019969E-2</v>
      </c>
      <c r="G421" s="122">
        <f t="shared" si="59"/>
        <v>0.75501977284690425</v>
      </c>
      <c r="H421" s="122">
        <f t="shared" si="60"/>
        <v>4.2230873174193537E-2</v>
      </c>
      <c r="I421" s="122">
        <f t="shared" si="61"/>
        <v>0.75272449177727674</v>
      </c>
      <c r="J421" s="122">
        <f t="shared" si="62"/>
        <v>-1.6144816066094154E-2</v>
      </c>
      <c r="K421" s="122">
        <f t="shared" si="63"/>
        <v>5.8375689240287687E-2</v>
      </c>
      <c r="Y421" s="126">
        <f>IF($Z$1, C421, -0.2)</f>
        <v>-0.2</v>
      </c>
    </row>
    <row r="422" spans="2:25" x14ac:dyDescent="0.3">
      <c r="B422" s="12">
        <v>0.75692439783007204</v>
      </c>
      <c r="C422" s="12">
        <f t="shared" si="55"/>
        <v>1.2922498568535582E-2</v>
      </c>
      <c r="D422" s="126">
        <f t="shared" si="56"/>
        <v>2.8942512764014123E-2</v>
      </c>
      <c r="E422" s="12">
        <f t="shared" si="57"/>
        <v>-3.9658266425563561E-2</v>
      </c>
      <c r="F422" s="12">
        <f t="shared" si="58"/>
        <v>-3.9637494805947193E-2</v>
      </c>
      <c r="G422" s="122">
        <f t="shared" si="59"/>
        <v>0.75807130615050033</v>
      </c>
      <c r="H422" s="122">
        <f t="shared" si="60"/>
        <v>4.1842278069763678E-2</v>
      </c>
      <c r="I422" s="122">
        <f t="shared" si="61"/>
        <v>0.75577748950964374</v>
      </c>
      <c r="J422" s="122">
        <f t="shared" si="62"/>
        <v>-1.5997280932692516E-2</v>
      </c>
      <c r="K422" s="122">
        <f t="shared" si="63"/>
        <v>5.7839559002456194E-2</v>
      </c>
      <c r="Y422" s="126">
        <f>IF($Z$1, C422, -0.2)</f>
        <v>-0.2</v>
      </c>
    </row>
    <row r="423" spans="2:25" x14ac:dyDescent="0.3">
      <c r="B423" s="12">
        <v>0.75997907203120352</v>
      </c>
      <c r="C423" s="12">
        <f t="shared" si="55"/>
        <v>1.2800837094419643E-2</v>
      </c>
      <c r="D423" s="126">
        <f t="shared" si="56"/>
        <v>2.8672258980881375E-2</v>
      </c>
      <c r="E423" s="12">
        <f t="shared" si="57"/>
        <v>-3.9997674670133723E-2</v>
      </c>
      <c r="F423" s="12">
        <f t="shared" si="58"/>
        <v>-3.9976365507792627E-2</v>
      </c>
      <c r="G423" s="122">
        <f t="shared" si="59"/>
        <v>0.76112497946492519</v>
      </c>
      <c r="H423" s="122">
        <f t="shared" si="60"/>
        <v>4.1450188417269419E-2</v>
      </c>
      <c r="I423" s="122">
        <f t="shared" si="61"/>
        <v>0.75883316459748185</v>
      </c>
      <c r="J423" s="122">
        <f t="shared" si="62"/>
        <v>-1.584851422843013E-2</v>
      </c>
      <c r="K423" s="122">
        <f t="shared" si="63"/>
        <v>5.7298702645699549E-2</v>
      </c>
      <c r="Y423" s="126">
        <f>IF($Z$1, C423, -0.2)</f>
        <v>-0.2</v>
      </c>
    </row>
    <row r="424" spans="2:25" x14ac:dyDescent="0.3">
      <c r="B424" s="12">
        <v>0.76303612464612713</v>
      </c>
      <c r="C424" s="12">
        <f t="shared" si="55"/>
        <v>1.2678042900106755E-2</v>
      </c>
      <c r="D424" s="126">
        <f t="shared" si="56"/>
        <v>2.8399636770724448E-2</v>
      </c>
      <c r="E424" s="12">
        <f t="shared" si="57"/>
        <v>-4.0337347182903015E-2</v>
      </c>
      <c r="F424" s="12">
        <f t="shared" si="58"/>
        <v>-4.0315490862662499E-2</v>
      </c>
      <c r="G424" s="122">
        <f t="shared" si="59"/>
        <v>0.76418075981406142</v>
      </c>
      <c r="H424" s="122">
        <f t="shared" si="60"/>
        <v>4.1054603280840221E-2</v>
      </c>
      <c r="I424" s="122">
        <f t="shared" si="61"/>
        <v>0.76189148947819285</v>
      </c>
      <c r="J424" s="122">
        <f t="shared" si="62"/>
        <v>-1.5698517480626714E-2</v>
      </c>
      <c r="K424" s="122">
        <f t="shared" si="63"/>
        <v>5.6753120761466935E-2</v>
      </c>
      <c r="Y424" s="126">
        <f>IF($Z$1, C424, -0.2)</f>
        <v>-0.2</v>
      </c>
    </row>
    <row r="425" spans="2:25" x14ac:dyDescent="0.3">
      <c r="B425" s="12">
        <v>0.76609552538191783</v>
      </c>
      <c r="C425" s="12">
        <f t="shared" si="55"/>
        <v>1.255411479418542E-2</v>
      </c>
      <c r="D425" s="126">
        <f t="shared" si="56"/>
        <v>2.8124646331056539E-2</v>
      </c>
      <c r="E425" s="12">
        <f t="shared" si="57"/>
        <v>-4.0677280597990868E-2</v>
      </c>
      <c r="F425" s="12">
        <f t="shared" si="58"/>
        <v>-4.0654867411046881E-2</v>
      </c>
      <c r="G425" s="122">
        <f t="shared" si="59"/>
        <v>0.7672386142024169</v>
      </c>
      <c r="H425" s="122">
        <f t="shared" si="60"/>
        <v>4.0655521862079054E-2</v>
      </c>
      <c r="I425" s="122">
        <f t="shared" si="61"/>
        <v>0.76495243656141876</v>
      </c>
      <c r="J425" s="122">
        <f t="shared" si="62"/>
        <v>-1.5547292273708213E-2</v>
      </c>
      <c r="K425" s="122">
        <f t="shared" si="63"/>
        <v>5.6202814135787267E-2</v>
      </c>
      <c r="Y425" s="126">
        <f>IF($Z$1, C425, -0.2)</f>
        <v>-0.2</v>
      </c>
    </row>
    <row r="426" spans="2:25" x14ac:dyDescent="0.3">
      <c r="B426" s="12">
        <v>0.76915724392238149</v>
      </c>
      <c r="C426" s="12">
        <f t="shared" si="55"/>
        <v>1.2429051625535075E-2</v>
      </c>
      <c r="D426" s="126">
        <f t="shared" si="56"/>
        <v>2.7847287954723091E-2</v>
      </c>
      <c r="E426" s="12">
        <f t="shared" si="57"/>
        <v>-4.1017471546931278E-2</v>
      </c>
      <c r="F426" s="12">
        <f t="shared" si="58"/>
        <v>-4.0994491690861029E-2</v>
      </c>
      <c r="G426" s="122">
        <f t="shared" si="59"/>
        <v>0.77029850961567359</v>
      </c>
      <c r="H426" s="122">
        <f t="shared" si="60"/>
        <v>4.0252943500155708E-2</v>
      </c>
      <c r="I426" s="122">
        <f t="shared" si="61"/>
        <v>0.7680159782290894</v>
      </c>
      <c r="J426" s="122">
        <f t="shared" si="62"/>
        <v>-1.5394840249085561E-2</v>
      </c>
      <c r="K426" s="122">
        <f t="shared" si="63"/>
        <v>5.5647783749241272E-2</v>
      </c>
      <c r="Y426" s="126">
        <f>IF($Z$1, C426, -0.2)</f>
        <v>-0.2</v>
      </c>
    </row>
    <row r="427" spans="2:25" x14ac:dyDescent="0.3">
      <c r="B427" s="12">
        <v>0.77222124992835761</v>
      </c>
      <c r="C427" s="12">
        <f t="shared" si="55"/>
        <v>1.2302852283431729E-2</v>
      </c>
      <c r="D427" s="126">
        <f t="shared" si="56"/>
        <v>2.7567562029892825E-2</v>
      </c>
      <c r="E427" s="12">
        <f t="shared" si="57"/>
        <v>-4.1357916658706403E-2</v>
      </c>
      <c r="F427" s="12">
        <f t="shared" si="58"/>
        <v>-4.1334360237487211E-2</v>
      </c>
      <c r="G427" s="122">
        <f t="shared" si="59"/>
        <v>0.7733604130212397</v>
      </c>
      <c r="H427" s="122">
        <f t="shared" si="60"/>
        <v>3.984686767189323E-2</v>
      </c>
      <c r="I427" s="122">
        <f t="shared" si="61"/>
        <v>0.77108208683547552</v>
      </c>
      <c r="J427" s="122">
        <f t="shared" si="62"/>
        <v>-1.5241163105029772E-2</v>
      </c>
      <c r="K427" s="122">
        <f t="shared" si="63"/>
        <v>5.5088030776923001E-2</v>
      </c>
      <c r="Y427" s="126">
        <f>IF($Z$1, C427, -0.2)</f>
        <v>-0.2</v>
      </c>
    </row>
    <row r="428" spans="2:25" x14ac:dyDescent="0.3">
      <c r="B428" s="12">
        <v>0.77528751303801791</v>
      </c>
      <c r="C428" s="12">
        <f t="shared" si="55"/>
        <v>1.2175515697652198E-2</v>
      </c>
      <c r="D428" s="126">
        <f t="shared" si="56"/>
        <v>2.7285469040044502E-2</v>
      </c>
      <c r="E428" s="12">
        <f t="shared" si="57"/>
        <v>-4.1698612559779767E-2</v>
      </c>
      <c r="F428" s="12">
        <f t="shared" si="58"/>
        <v>-4.1674469583816202E-2</v>
      </c>
      <c r="G428" s="122">
        <f t="shared" si="59"/>
        <v>0.7764242913687982</v>
      </c>
      <c r="H428" s="122">
        <f t="shared" si="60"/>
        <v>3.9437293991848185E-2</v>
      </c>
      <c r="I428" s="122">
        <f t="shared" si="61"/>
        <v>0.77415073470723761</v>
      </c>
      <c r="J428" s="122">
        <f t="shared" si="62"/>
        <v>-1.508626259654379E-2</v>
      </c>
      <c r="K428" s="122">
        <f t="shared" si="63"/>
        <v>5.4523556588391975E-2</v>
      </c>
      <c r="Y428" s="126">
        <f>IF($Z$1, C428, -0.2)</f>
        <v>-0.2</v>
      </c>
    </row>
    <row r="429" spans="2:25" x14ac:dyDescent="0.3">
      <c r="B429" s="12">
        <v>0.77835600286716788</v>
      </c>
      <c r="C429" s="12">
        <f t="shared" si="55"/>
        <v>1.2047040838576649E-2</v>
      </c>
      <c r="D429" s="126">
        <f t="shared" si="56"/>
        <v>2.7001009563948838E-2</v>
      </c>
      <c r="E429" s="12">
        <f t="shared" si="57"/>
        <v>-4.2039555874129768E-2</v>
      </c>
      <c r="F429" s="12">
        <f t="shared" si="58"/>
        <v>-4.2014816260289044E-2</v>
      </c>
      <c r="G429" s="122">
        <f t="shared" si="59"/>
        <v>0.77949011159085857</v>
      </c>
      <c r="H429" s="122">
        <f t="shared" si="60"/>
        <v>3.9024222212384128E-2</v>
      </c>
      <c r="I429" s="122">
        <f t="shared" si="61"/>
        <v>0.7772218941434772</v>
      </c>
      <c r="J429" s="122">
        <f t="shared" si="62"/>
        <v>-1.4930140535230832E-2</v>
      </c>
      <c r="K429" s="122">
        <f t="shared" si="63"/>
        <v>5.3954362747614962E-2</v>
      </c>
      <c r="Y429" s="126">
        <f>IF($Z$1, C429, -0.2)</f>
        <v>-0.2</v>
      </c>
    </row>
    <row r="430" spans="2:25" x14ac:dyDescent="0.3">
      <c r="B430" s="12">
        <v>0.78142668900954892</v>
      </c>
      <c r="C430" s="12">
        <f t="shared" si="55"/>
        <v>1.1917426717289601E-2</v>
      </c>
      <c r="D430" s="126">
        <f t="shared" si="56"/>
        <v>2.6714184275645765E-2</v>
      </c>
      <c r="E430" s="12">
        <f t="shared" si="57"/>
        <v>-4.2380743223283217E-2</v>
      </c>
      <c r="F430" s="12">
        <f t="shared" si="58"/>
        <v>-4.2355396794938958E-2</v>
      </c>
      <c r="G430" s="122">
        <f t="shared" si="59"/>
        <v>0.78255784060330924</v>
      </c>
      <c r="H430" s="122">
        <f t="shared" si="60"/>
        <v>3.8607652223738451E-2</v>
      </c>
      <c r="I430" s="122">
        <f t="shared" si="61"/>
        <v>0.78029553741578861</v>
      </c>
      <c r="J430" s="122">
        <f t="shared" si="62"/>
        <v>-1.4772798789159252E-2</v>
      </c>
      <c r="K430" s="122">
        <f t="shared" si="63"/>
        <v>5.3380451012897706E-2</v>
      </c>
      <c r="Y430" s="126">
        <f>IF($Z$1, C430, -0.2)</f>
        <v>-0.2</v>
      </c>
    </row>
    <row r="431" spans="2:25" x14ac:dyDescent="0.3">
      <c r="B431" s="12">
        <v>0.78449954103713782</v>
      </c>
      <c r="C431" s="12">
        <f t="shared" si="55"/>
        <v>1.1786672385679469E-2</v>
      </c>
      <c r="D431" s="126">
        <f t="shared" si="56"/>
        <v>2.6424993944417385E-2</v>
      </c>
      <c r="E431" s="12">
        <f t="shared" si="57"/>
        <v>-4.2722171226348644E-2</v>
      </c>
      <c r="F431" s="12">
        <f t="shared" si="58"/>
        <v>-4.2696207713432952E-2</v>
      </c>
      <c r="G431" s="122">
        <f t="shared" si="59"/>
        <v>0.78562744530596706</v>
      </c>
      <c r="H431" s="122">
        <f t="shared" si="60"/>
        <v>3.8187584054083124E-2</v>
      </c>
      <c r="I431" s="122">
        <f t="shared" si="61"/>
        <v>0.78337163676830857</v>
      </c>
      <c r="J431" s="122">
        <f t="shared" si="62"/>
        <v>-1.4614239282724185E-2</v>
      </c>
      <c r="K431" s="122">
        <f t="shared" si="63"/>
        <v>5.2801823336807309E-2</v>
      </c>
      <c r="Y431" s="126">
        <f>IF($Z$1, C431, -0.2)</f>
        <v>-0.2</v>
      </c>
    </row>
    <row r="432" spans="2:25" x14ac:dyDescent="0.3">
      <c r="B432" s="12">
        <v>0.78757452850045018</v>
      </c>
      <c r="C432" s="12">
        <f t="shared" si="55"/>
        <v>1.1654776936536321E-2</v>
      </c>
      <c r="D432" s="126">
        <f t="shared" si="56"/>
        <v>2.6133439434755972E-2</v>
      </c>
      <c r="E432" s="12">
        <f t="shared" si="57"/>
        <v>-4.3063836500050023E-2</v>
      </c>
      <c r="F432" s="12">
        <f t="shared" si="58"/>
        <v>-4.3037245539113929E-2</v>
      </c>
      <c r="G432" s="122">
        <f t="shared" si="59"/>
        <v>0.78869889258313108</v>
      </c>
      <c r="H432" s="122">
        <f t="shared" si="60"/>
        <v>3.7764017869578316E-2</v>
      </c>
      <c r="I432" s="122">
        <f t="shared" si="61"/>
        <v>0.78645016441776927</v>
      </c>
      <c r="J432" s="122">
        <f t="shared" si="62"/>
        <v>-1.4454463996505676E-2</v>
      </c>
      <c r="K432" s="122">
        <f t="shared" si="63"/>
        <v>5.2218481866083993E-2</v>
      </c>
      <c r="Y432" s="126">
        <f>IF($Z$1, C432, -0.2)</f>
        <v>-0.2</v>
      </c>
    </row>
    <row r="433" spans="2:25" x14ac:dyDescent="0.3">
      <c r="B433" s="12">
        <v>0.79065162092883967</v>
      </c>
      <c r="C433" s="12">
        <f t="shared" si="55"/>
        <v>1.152173950364834E-2</v>
      </c>
      <c r="D433" s="126">
        <f t="shared" si="56"/>
        <v>2.5839521706327844E-2</v>
      </c>
      <c r="E433" s="12">
        <f t="shared" si="57"/>
        <v>-4.3405735658759964E-2</v>
      </c>
      <c r="F433" s="12">
        <f t="shared" si="58"/>
        <v>-4.3378506793042303E-2</v>
      </c>
      <c r="G433" s="122">
        <f t="shared" si="59"/>
        <v>0.7917721493041322</v>
      </c>
      <c r="H433" s="122">
        <f t="shared" si="60"/>
        <v>3.7336953974420266E-2</v>
      </c>
      <c r="I433" s="122">
        <f t="shared" si="61"/>
        <v>0.78953109255354714</v>
      </c>
      <c r="J433" s="122">
        <f t="shared" si="62"/>
        <v>-1.4293474967123585E-2</v>
      </c>
      <c r="K433" s="122">
        <f t="shared" si="63"/>
        <v>5.1630428941543849E-2</v>
      </c>
      <c r="Y433" s="126">
        <f>IF($Z$1, C433, -0.2)</f>
        <v>-0.2</v>
      </c>
    </row>
    <row r="434" spans="2:25" x14ac:dyDescent="0.3">
      <c r="B434" s="12">
        <v>0.79373078783080309</v>
      </c>
      <c r="C434" s="12">
        <f t="shared" si="55"/>
        <v>1.1387559261896392E-2</v>
      </c>
      <c r="D434" s="126">
        <f t="shared" si="56"/>
        <v>2.5543241813932138E-2</v>
      </c>
      <c r="E434" s="12">
        <f t="shared" si="57"/>
        <v>-4.3747865314533674E-2</v>
      </c>
      <c r="F434" s="12">
        <f t="shared" si="58"/>
        <v>-4.3719987994038319E-2</v>
      </c>
      <c r="G434" s="122">
        <f t="shared" si="59"/>
        <v>0.79484718232388807</v>
      </c>
      <c r="H434" s="122">
        <f t="shared" si="60"/>
        <v>3.6906392810881747E-2</v>
      </c>
      <c r="I434" s="122">
        <f t="shared" si="61"/>
        <v>0.7926143933377181</v>
      </c>
      <c r="J434" s="122">
        <f t="shared" si="62"/>
        <v>-1.4131274287088966E-2</v>
      </c>
      <c r="K434" s="122">
        <f t="shared" si="63"/>
        <v>5.1037667097970717E-2</v>
      </c>
      <c r="Y434" s="126">
        <f>IF($Z$1, C434, -0.2)</f>
        <v>-0.2</v>
      </c>
    </row>
    <row r="435" spans="2:25" x14ac:dyDescent="0.3">
      <c r="B435" s="12">
        <v>0.79681199869427966</v>
      </c>
      <c r="C435" s="12">
        <f t="shared" si="55"/>
        <v>1.1252235427347275E-2</v>
      </c>
      <c r="D435" s="126">
        <f t="shared" si="56"/>
        <v>2.5244600907455544E-2</v>
      </c>
      <c r="E435" s="12">
        <f t="shared" si="57"/>
        <v>-4.4090222077142187E-2</v>
      </c>
      <c r="F435" s="12">
        <f t="shared" si="58"/>
        <v>-4.4061685658723815E-2</v>
      </c>
      <c r="G435" s="122">
        <f t="shared" si="59"/>
        <v>0.7979239584834531</v>
      </c>
      <c r="H435" s="122">
        <f t="shared" si="60"/>
        <v>3.6472334959346875E-2</v>
      </c>
      <c r="I435" s="122">
        <f t="shared" si="61"/>
        <v>0.79570003890510621</v>
      </c>
      <c r="J435" s="122">
        <f t="shared" si="62"/>
        <v>-1.3967864104652325E-2</v>
      </c>
      <c r="K435" s="122">
        <f t="shared" si="63"/>
        <v>5.04401990639992E-2</v>
      </c>
      <c r="Y435" s="126">
        <f>IF($Z$1, C435, -0.2)</f>
        <v>-0.2</v>
      </c>
    </row>
    <row r="436" spans="2:25" x14ac:dyDescent="0.3">
      <c r="B436" s="12">
        <v>0.79989522298695537</v>
      </c>
      <c r="C436" s="12">
        <f t="shared" si="55"/>
        <v>1.1115767257345182E-2</v>
      </c>
      <c r="D436" s="126">
        <f t="shared" si="56"/>
        <v>2.4943600231822124E-2</v>
      </c>
      <c r="E436" s="12">
        <f t="shared" si="57"/>
        <v>-4.443280255410615E-2</v>
      </c>
      <c r="F436" s="12">
        <f t="shared" si="58"/>
        <v>-4.4403596301564374E-2</v>
      </c>
      <c r="G436" s="122">
        <f t="shared" si="59"/>
        <v>0.80100244461057257</v>
      </c>
      <c r="H436" s="122">
        <f t="shared" si="60"/>
        <v>3.6034781138338773E-2</v>
      </c>
      <c r="I436" s="122">
        <f t="shared" si="61"/>
        <v>0.79878800136333816</v>
      </c>
      <c r="J436" s="122">
        <f t="shared" si="62"/>
        <v>-1.3803246623648405E-2</v>
      </c>
      <c r="K436" s="122">
        <f t="shared" si="63"/>
        <v>4.9838027761987175E-2</v>
      </c>
      <c r="Y436" s="126">
        <f>IF($Z$1, C436, -0.2)</f>
        <v>-0.2</v>
      </c>
    </row>
    <row r="437" spans="2:25" x14ac:dyDescent="0.3">
      <c r="B437" s="12">
        <v>0.80298043015656417</v>
      </c>
      <c r="C437" s="12">
        <f t="shared" si="55"/>
        <v>1.0978154050601695E-2</v>
      </c>
      <c r="D437" s="126">
        <f t="shared" si="56"/>
        <v>2.4640241126938887E-2</v>
      </c>
      <c r="E437" s="12">
        <f t="shared" si="57"/>
        <v>-4.4775603350729352E-2</v>
      </c>
      <c r="F437" s="12">
        <f t="shared" si="58"/>
        <v>-4.4745716434911431E-2</v>
      </c>
      <c r="G437" s="122">
        <f t="shared" si="59"/>
        <v>0.80408260752023386</v>
      </c>
      <c r="H437" s="122">
        <f t="shared" si="60"/>
        <v>3.559373220454122E-2</v>
      </c>
      <c r="I437" s="122">
        <f t="shared" si="61"/>
        <v>0.80187825279289449</v>
      </c>
      <c r="J437" s="122">
        <f t="shared" si="62"/>
        <v>-1.3637424103337828E-2</v>
      </c>
      <c r="K437" s="122">
        <f t="shared" si="63"/>
        <v>4.9231156307879047E-2</v>
      </c>
      <c r="Y437" s="126">
        <f>IF($Z$1, C437, -0.2)</f>
        <v>-0.2</v>
      </c>
    </row>
    <row r="438" spans="2:25" x14ac:dyDescent="0.3">
      <c r="B438" s="12">
        <v>0.80606758963119207</v>
      </c>
      <c r="C438" s="12">
        <f t="shared" si="55"/>
        <v>1.0839395147284098E-2</v>
      </c>
      <c r="D438" s="126">
        <f t="shared" si="56"/>
        <v>2.4334525027636542E-2</v>
      </c>
      <c r="E438" s="12">
        <f t="shared" si="57"/>
        <v>-4.5118621070132453E-2</v>
      </c>
      <c r="F438" s="12">
        <f t="shared" si="58"/>
        <v>-4.5088042569044438E-2</v>
      </c>
      <c r="G438" s="122">
        <f t="shared" si="59"/>
        <v>0.80716441401522054</v>
      </c>
      <c r="H438" s="122">
        <f t="shared" si="60"/>
        <v>3.5149189152813426E-2</v>
      </c>
      <c r="I438" s="122">
        <f t="shared" si="61"/>
        <v>0.8049707652471636</v>
      </c>
      <c r="J438" s="122">
        <f t="shared" si="62"/>
        <v>-1.3470398858245232E-2</v>
      </c>
      <c r="K438" s="122">
        <f t="shared" si="63"/>
        <v>4.8619588011058659E-2</v>
      </c>
      <c r="Y438" s="126">
        <f>IF($Z$1, C438, -0.2)</f>
        <v>-0.2</v>
      </c>
    </row>
    <row r="439" spans="2:25" x14ac:dyDescent="0.3">
      <c r="B439" s="12">
        <v>0.80915667081957843</v>
      </c>
      <c r="C439" s="12">
        <f t="shared" si="55"/>
        <v>1.0699489929102178E-2</v>
      </c>
      <c r="D439" s="126">
        <f t="shared" si="56"/>
        <v>2.4026453463606171E-2</v>
      </c>
      <c r="E439" s="12">
        <f t="shared" si="57"/>
        <v>-4.5461852313286491E-2</v>
      </c>
      <c r="F439" s="12">
        <f t="shared" si="58"/>
        <v>-4.5430571212212965E-2</v>
      </c>
      <c r="G439" s="122">
        <f t="shared" si="59"/>
        <v>0.81024783088666341</v>
      </c>
      <c r="H439" s="122">
        <f t="shared" si="60"/>
        <v>3.4701153116198862E-2</v>
      </c>
      <c r="I439" s="122">
        <f t="shared" si="61"/>
        <v>0.80806551075249344</v>
      </c>
      <c r="J439" s="122">
        <f t="shared" si="62"/>
        <v>-1.3302173257994503E-2</v>
      </c>
      <c r="K439" s="122">
        <f t="shared" si="63"/>
        <v>4.8003326374193363E-2</v>
      </c>
      <c r="Y439" s="126">
        <f>IF($Z$1, C439, -0.2)</f>
        <v>-0.2</v>
      </c>
    </row>
    <row r="440" spans="2:25" x14ac:dyDescent="0.3">
      <c r="B440" s="12">
        <v>0.81224764311142017</v>
      </c>
      <c r="C440" s="12">
        <f t="shared" si="55"/>
        <v>1.0558437819393283E-2</v>
      </c>
      <c r="D440" s="126">
        <f t="shared" si="56"/>
        <v>2.3716028059330957E-2</v>
      </c>
      <c r="E440" s="12">
        <f t="shared" si="57"/>
        <v>-4.5805293679046684E-2</v>
      </c>
      <c r="F440" s="12">
        <f t="shared" si="58"/>
        <v>-4.5773298870679005E-2</v>
      </c>
      <c r="G440" s="122">
        <f t="shared" si="59"/>
        <v>0.81333282491459447</v>
      </c>
      <c r="H440" s="122">
        <f t="shared" si="60"/>
        <v>3.4249625365926961E-2</v>
      </c>
      <c r="I440" s="122">
        <f t="shared" si="61"/>
        <v>0.81116246130824587</v>
      </c>
      <c r="J440" s="122">
        <f t="shared" si="62"/>
        <v>-1.3132749727140396E-2</v>
      </c>
      <c r="K440" s="122">
        <f t="shared" si="63"/>
        <v>4.7382375093067357E-2</v>
      </c>
      <c r="Y440" s="126">
        <f>IF($Z$1, C440, -0.2)</f>
        <v>-0.2</v>
      </c>
    </row>
    <row r="441" spans="2:25" x14ac:dyDescent="0.3">
      <c r="B441" s="12">
        <v>0.81534047587767555</v>
      </c>
      <c r="C441" s="12">
        <f t="shared" si="55"/>
        <v>1.0416238283205889E-2</v>
      </c>
      <c r="D441" s="126">
        <f t="shared" si="56"/>
        <v>2.3403250534013684E-2</v>
      </c>
      <c r="E441" s="12">
        <f t="shared" si="57"/>
        <v>-4.6148941764186172E-2</v>
      </c>
      <c r="F441" s="12">
        <f t="shared" si="58"/>
        <v>-4.611622204875928E-2</v>
      </c>
      <c r="G441" s="122">
        <f t="shared" si="59"/>
        <v>0.8164193628684997</v>
      </c>
      <c r="H441" s="122">
        <f t="shared" si="60"/>
        <v>3.3794607311408903E-2</v>
      </c>
      <c r="I441" s="122">
        <f t="shared" si="61"/>
        <v>0.81426158888685141</v>
      </c>
      <c r="J441" s="122">
        <f t="shared" si="62"/>
        <v>-1.2962130744997127E-2</v>
      </c>
      <c r="K441" s="122">
        <f t="shared" si="63"/>
        <v>4.6756738056406032E-2</v>
      </c>
      <c r="Y441" s="126">
        <f>IF($Z$1, C441, -0.2)</f>
        <v>-0.2</v>
      </c>
    </row>
    <row r="442" spans="2:25" x14ac:dyDescent="0.3">
      <c r="B442" s="12">
        <v>0.81843513847086635</v>
      </c>
      <c r="C442" s="12">
        <f t="shared" si="55"/>
        <v>1.0272890827381495E-2</v>
      </c>
      <c r="D442" s="126">
        <f t="shared" si="56"/>
        <v>2.3088122701499819E-2</v>
      </c>
      <c r="E442" s="12">
        <f t="shared" si="57"/>
        <v>-4.6492793163429594E-2</v>
      </c>
      <c r="F442" s="12">
        <f t="shared" si="58"/>
        <v>-4.6459337248867458E-2</v>
      </c>
      <c r="G442" s="122">
        <f t="shared" si="59"/>
        <v>0.81950741150787076</v>
      </c>
      <c r="H442" s="122">
        <f t="shared" si="60"/>
        <v>3.3336100500226784E-2</v>
      </c>
      <c r="I442" s="122">
        <f t="shared" si="61"/>
        <v>0.81736286543386194</v>
      </c>
      <c r="J442" s="122">
        <f t="shared" si="62"/>
        <v>-1.2790318845463796E-2</v>
      </c>
      <c r="K442" s="122">
        <f t="shared" si="63"/>
        <v>4.6126419345690582E-2</v>
      </c>
      <c r="Y442" s="126">
        <f>IF($Z$1, C442, -0.2)</f>
        <v>-0.2</v>
      </c>
    </row>
    <row r="443" spans="2:25" x14ac:dyDescent="0.3">
      <c r="B443" s="12">
        <v>0.82153160022538252</v>
      </c>
      <c r="C443" s="12">
        <f t="shared" si="55"/>
        <v>1.0128395000634907E-2</v>
      </c>
      <c r="D443" s="126">
        <f t="shared" si="56"/>
        <v>2.2770646470195964E-2</v>
      </c>
      <c r="E443" s="12">
        <f t="shared" si="57"/>
        <v>-4.6836844469486945E-2</v>
      </c>
      <c r="F443" s="12">
        <f t="shared" si="58"/>
        <v>-4.6802640971556557E-2</v>
      </c>
      <c r="G443" s="122">
        <f t="shared" si="59"/>
        <v>0.82259693758275831</v>
      </c>
      <c r="H443" s="122">
        <f t="shared" si="60"/>
        <v>3.2874106618116294E-2</v>
      </c>
      <c r="I443" s="122">
        <f t="shared" si="61"/>
        <v>0.82046626286800672</v>
      </c>
      <c r="J443" s="122">
        <f t="shared" si="62"/>
        <v>-1.2617316616846477E-2</v>
      </c>
      <c r="K443" s="122">
        <f t="shared" si="63"/>
        <v>4.5491423234962768E-2</v>
      </c>
      <c r="Y443" s="126">
        <f>IF($Z$1, C443, -0.2)</f>
        <v>-0.2</v>
      </c>
    </row>
    <row r="444" spans="2:25" x14ac:dyDescent="0.3">
      <c r="B444" s="12">
        <v>0.82462983045778548</v>
      </c>
      <c r="C444" s="12">
        <f t="shared" si="55"/>
        <v>9.9827503936329078E-3</v>
      </c>
      <c r="D444" s="126">
        <f t="shared" si="56"/>
        <v>2.2450823842984049E-2</v>
      </c>
      <c r="E444" s="12">
        <f t="shared" si="57"/>
        <v>-4.7181092273087276E-2</v>
      </c>
      <c r="F444" s="12">
        <f t="shared" si="58"/>
        <v>-4.7146129715561279E-2</v>
      </c>
      <c r="G444" s="122">
        <f t="shared" si="59"/>
        <v>0.82568790783432422</v>
      </c>
      <c r="H444" s="122">
        <f t="shared" si="60"/>
        <v>3.240862748894309E-2</v>
      </c>
      <c r="I444" s="122">
        <f t="shared" si="61"/>
        <v>0.82357175308124675</v>
      </c>
      <c r="J444" s="122">
        <f t="shared" si="62"/>
        <v>-1.2443126701677276E-2</v>
      </c>
      <c r="K444" s="122">
        <f t="shared" si="63"/>
        <v>4.4851754190620367E-2</v>
      </c>
      <c r="Y444" s="126">
        <f>IF($Z$1, C444, -0.2)</f>
        <v>-0.2</v>
      </c>
    </row>
    <row r="445" spans="2:25" x14ac:dyDescent="0.3">
      <c r="B445" s="12">
        <v>0.82772979846711325</v>
      </c>
      <c r="C445" s="12">
        <f t="shared" si="55"/>
        <v>9.8359566390712628E-3</v>
      </c>
      <c r="D445" s="126">
        <f t="shared" si="56"/>
        <v>2.2128656917130878E-2</v>
      </c>
      <c r="E445" s="12">
        <f t="shared" si="57"/>
        <v>-4.7525533163012584E-2</v>
      </c>
      <c r="F445" s="12">
        <f t="shared" si="58"/>
        <v>-4.7489799977840565E-2</v>
      </c>
      <c r="G445" s="122">
        <f t="shared" si="59"/>
        <v>0.82878028899539502</v>
      </c>
      <c r="H445" s="122">
        <f t="shared" si="60"/>
        <v>3.1939665074672621E-2</v>
      </c>
      <c r="I445" s="122">
        <f t="shared" si="61"/>
        <v>0.82667930793883149</v>
      </c>
      <c r="J445" s="122">
        <f t="shared" si="62"/>
        <v>-1.2267751796530094E-2</v>
      </c>
      <c r="K445" s="122">
        <f t="shared" si="63"/>
        <v>4.4207416871202714E-2</v>
      </c>
      <c r="Y445" s="126">
        <f>IF($Z$1, C445, -0.2)</f>
        <v>-0.2</v>
      </c>
    </row>
    <row r="446" spans="2:25" x14ac:dyDescent="0.3">
      <c r="B446" s="12">
        <v>0.8308314735351825</v>
      </c>
      <c r="C446" s="12">
        <f t="shared" si="55"/>
        <v>9.6880134117501848E-3</v>
      </c>
      <c r="D446" s="126">
        <f t="shared" si="56"/>
        <v>2.1804147884193621E-2</v>
      </c>
      <c r="E446" s="12">
        <f t="shared" si="57"/>
        <v>-4.7870163726131391E-2</v>
      </c>
      <c r="F446" s="12">
        <f t="shared" si="58"/>
        <v>-4.7833648253619777E-2</v>
      </c>
      <c r="G446" s="122">
        <f t="shared" si="59"/>
        <v>0.83187404779101171</v>
      </c>
      <c r="H446" s="122">
        <f t="shared" si="60"/>
        <v>3.1467221475333838E-2</v>
      </c>
      <c r="I446" s="122">
        <f t="shared" si="61"/>
        <v>0.82978889927935329</v>
      </c>
      <c r="J446" s="122">
        <f t="shared" si="62"/>
        <v>-1.2091194651833469E-2</v>
      </c>
      <c r="K446" s="122">
        <f t="shared" si="63"/>
        <v>4.3558416127167307E-2</v>
      </c>
      <c r="Y446" s="126">
        <f>IF($Z$1, C446, -0.2)</f>
        <v>-0.2</v>
      </c>
    </row>
    <row r="447" spans="2:25" x14ac:dyDescent="0.3">
      <c r="B447" s="12">
        <v>0.83393482492689608</v>
      </c>
      <c r="C447" s="12">
        <f t="shared" si="55"/>
        <v>9.5389204286480071E-3</v>
      </c>
      <c r="D447" s="126">
        <f t="shared" si="56"/>
        <v>2.1477299029920405E-2</v>
      </c>
      <c r="E447" s="12">
        <f t="shared" si="57"/>
        <v>-4.8214980547432895E-2</v>
      </c>
      <c r="F447" s="12">
        <f t="shared" si="58"/>
        <v>-4.8177671036433563E-2</v>
      </c>
      <c r="G447" s="122">
        <f t="shared" si="59"/>
        <v>0.8349691509389856</v>
      </c>
      <c r="H447" s="122">
        <f t="shared" si="60"/>
        <v>3.0991298928976008E-2</v>
      </c>
      <c r="I447" s="122">
        <f t="shared" si="61"/>
        <v>0.83290049891480655</v>
      </c>
      <c r="J447" s="122">
        <f t="shared" si="62"/>
        <v>-1.1913458071679992E-2</v>
      </c>
      <c r="K447" s="122">
        <f t="shared" si="63"/>
        <v>4.2904757000655998E-2</v>
      </c>
      <c r="Y447" s="126">
        <f>IF($Z$1, C447, -0.2)</f>
        <v>-0.2</v>
      </c>
    </row>
    <row r="448" spans="2:25" x14ac:dyDescent="0.3">
      <c r="B448" s="12">
        <v>0.83703982189054416</v>
      </c>
      <c r="C448" s="12">
        <f t="shared" si="55"/>
        <v>9.3886774489934169E-3</v>
      </c>
      <c r="D448" s="126">
        <f t="shared" si="56"/>
        <v>2.1148112734147132E-2</v>
      </c>
      <c r="E448" s="12">
        <f t="shared" si="57"/>
        <v>-4.8559980210060465E-2</v>
      </c>
      <c r="F448" s="12">
        <f t="shared" si="58"/>
        <v>-4.8521864818167997E-2</v>
      </c>
      <c r="G448" s="122">
        <f t="shared" si="59"/>
        <v>0.83806556515044606</v>
      </c>
      <c r="H448" s="122">
        <f t="shared" si="60"/>
        <v>3.0511899811619864E-2</v>
      </c>
      <c r="I448" s="122">
        <f t="shared" si="61"/>
        <v>0.83601407863064225</v>
      </c>
      <c r="J448" s="122">
        <f t="shared" si="62"/>
        <v>-1.173454491363303E-2</v>
      </c>
      <c r="K448" s="122">
        <f t="shared" si="63"/>
        <v>4.2246444725252894E-2</v>
      </c>
      <c r="Y448" s="126">
        <f>IF($Z$1, C448, -0.2)</f>
        <v>-0.2</v>
      </c>
    </row>
    <row r="449" spans="2:25" x14ac:dyDescent="0.3">
      <c r="B449" s="12">
        <v>0.8401464336581117</v>
      </c>
      <c r="C449" s="12">
        <f t="shared" ref="C449:C500" si="64">IF($A$1=0, 0, IF(B449&lt;=$A$2, ($A$1/$A$2^2)*(2*$A$2*B449-B449^2), ($A$1/(1-$A$2)^2)*((1-2*$A$2)+2*$A$2*B449-B449^2)))</f>
        <v>9.2372842743358562E-3</v>
      </c>
      <c r="D449" s="126">
        <f t="shared" ref="D449:D500" si="65">IF(B449&lt;$N$1, ($A$3/0.2)*($O$1*SQRT(B449)+$P$1*B449+$Q$1*(B449^2)+$R$1*(B449^3)), ($A$3/0.2)*($S$1+$T$1*(1-B449)+$U$1*((1-B449)^2)+$V$1*((1-B449)^3)))</f>
        <v>2.0816591470689341E-2</v>
      </c>
      <c r="E449" s="12">
        <f t="shared" si="57"/>
        <v>-4.8905159295345745E-2</v>
      </c>
      <c r="F449" s="12">
        <f t="shared" si="58"/>
        <v>-4.8866226089103376E-2</v>
      </c>
      <c r="G449" s="122">
        <f t="shared" si="59"/>
        <v>0.84116325713039541</v>
      </c>
      <c r="H449" s="122">
        <f t="shared" si="60"/>
        <v>3.0029026637201674E-2</v>
      </c>
      <c r="I449" s="122">
        <f t="shared" si="61"/>
        <v>0.83912961018582799</v>
      </c>
      <c r="J449" s="122">
        <f t="shared" si="62"/>
        <v>-1.1554458088529963E-2</v>
      </c>
      <c r="K449" s="122">
        <f t="shared" si="63"/>
        <v>4.1583484725731638E-2</v>
      </c>
      <c r="Y449" s="126">
        <f>IF($Z$1, C449, -0.2)</f>
        <v>-0.2</v>
      </c>
    </row>
    <row r="450" spans="2:25" x14ac:dyDescent="0.3">
      <c r="B450" s="12">
        <v>0.84325462944558205</v>
      </c>
      <c r="C450" s="12">
        <f t="shared" si="64"/>
        <v>9.0847407486144352E-3</v>
      </c>
      <c r="D450" s="126">
        <f t="shared" si="65"/>
        <v>2.0482737807230124E-2</v>
      </c>
      <c r="E450" s="12">
        <f t="shared" ref="E450:E500" si="66">IF($A$1=0, 0, IF(B450&lt;=$A$2, ($A$1/$A$2^2) *(2*$A$2-2*B450), ($A$1/(1-$A$2)^2)*(2*$A$2-2*B450)))</f>
        <v>-4.9250514382842447E-2</v>
      </c>
      <c r="F450" s="12">
        <f t="shared" ref="F450:F500" si="67">IF($A$1=0, 0,  ATAN(E450))</f>
        <v>-4.9210751337956743E-2</v>
      </c>
      <c r="G450" s="122">
        <f t="shared" ref="G450:G500" si="68">B450-D450*SIN(F450)</f>
        <v>0.84426219357825927</v>
      </c>
      <c r="H450" s="122">
        <f t="shared" ref="H450:H500" si="69">C450+D450*COS(F450)</f>
        <v>2.9542682057511496E-2</v>
      </c>
      <c r="I450" s="122">
        <f t="shared" ref="I450:I500" si="70">B450+D450*SIN(F450)</f>
        <v>0.84224706531290483</v>
      </c>
      <c r="J450" s="122">
        <f t="shared" ref="J450:J500" si="71">C450-D450*COS(F450)</f>
        <v>-1.1373200560282626E-2</v>
      </c>
      <c r="K450" s="122">
        <f t="shared" ref="K450:K500" si="72">2*D450*COS(F450)</f>
        <v>4.0915882617794122E-2</v>
      </c>
      <c r="Y450" s="126">
        <f>IF($Z$1, C450, -0.2)</f>
        <v>-0.2</v>
      </c>
    </row>
    <row r="451" spans="2:25" x14ac:dyDescent="0.3">
      <c r="B451" s="12">
        <v>0.84636437845324164</v>
      </c>
      <c r="C451" s="12">
        <f t="shared" si="64"/>
        <v>8.9310467582250676E-3</v>
      </c>
      <c r="D451" s="126">
        <f t="shared" si="65"/>
        <v>2.01465544052036E-2</v>
      </c>
      <c r="E451" s="12">
        <f t="shared" si="66"/>
        <v>-4.9596042050360181E-2</v>
      </c>
      <c r="F451" s="12">
        <f t="shared" si="67"/>
        <v>-4.9555437051924396E-2</v>
      </c>
      <c r="G451" s="122">
        <f t="shared" si="68"/>
        <v>0.84736234118843656</v>
      </c>
      <c r="H451" s="122">
        <f t="shared" si="69"/>
        <v>2.9052868862124874E-2</v>
      </c>
      <c r="I451" s="122">
        <f t="shared" si="70"/>
        <v>0.84536641571804672</v>
      </c>
      <c r="J451" s="122">
        <f t="shared" si="71"/>
        <v>-1.1190775345674739E-2</v>
      </c>
      <c r="K451" s="122">
        <f t="shared" si="72"/>
        <v>4.0243644207799613E-2</v>
      </c>
      <c r="Y451" s="126">
        <f>IF($Z$1, C451, -0.2)</f>
        <v>-0.2</v>
      </c>
    </row>
    <row r="452" spans="2:25" x14ac:dyDescent="0.3">
      <c r="B452" s="12">
        <v>0.84947564986598656</v>
      </c>
      <c r="C452" s="12">
        <f t="shared" si="64"/>
        <v>8.776202232086059E-3</v>
      </c>
      <c r="D452" s="126">
        <f t="shared" si="65"/>
        <v>1.9808044019673916E-2</v>
      </c>
      <c r="E452" s="12">
        <f t="shared" si="66"/>
        <v>-4.9941738873998505E-2</v>
      </c>
      <c r="F452" s="12">
        <f t="shared" si="67"/>
        <v>-4.9900279716724706E-2</v>
      </c>
      <c r="G452" s="122">
        <f t="shared" si="68"/>
        <v>0.85046366665085249</v>
      </c>
      <c r="H452" s="122">
        <f t="shared" si="69"/>
        <v>2.8559589978328179E-2</v>
      </c>
      <c r="I452" s="122">
        <f t="shared" si="70"/>
        <v>0.84848763308112063</v>
      </c>
      <c r="J452" s="122">
        <f t="shared" si="71"/>
        <v>-1.1007185514156061E-2</v>
      </c>
      <c r="K452" s="122">
        <f t="shared" si="72"/>
        <v>3.9566775492484239E-2</v>
      </c>
      <c r="Y452" s="126">
        <f>IF($Z$1, C452, -0.2)</f>
        <v>-0.2</v>
      </c>
    </row>
    <row r="453" spans="2:25" x14ac:dyDescent="0.3">
      <c r="B453" s="12">
        <v>0.85258841285362663</v>
      </c>
      <c r="C453" s="12">
        <f t="shared" si="64"/>
        <v>8.620207141701957E-3</v>
      </c>
      <c r="D453" s="126">
        <f t="shared" si="65"/>
        <v>1.9467209499210159E-2</v>
      </c>
      <c r="E453" s="12">
        <f t="shared" si="66"/>
        <v>-5.0287601428180735E-2</v>
      </c>
      <c r="F453" s="12">
        <f t="shared" si="67"/>
        <v>-5.0245275816640622E-2</v>
      </c>
      <c r="G453" s="122">
        <f t="shared" si="68"/>
        <v>0.85356613665150738</v>
      </c>
      <c r="H453" s="122">
        <f t="shared" si="69"/>
        <v>2.8062848471037741E-2</v>
      </c>
      <c r="I453" s="122">
        <f t="shared" si="70"/>
        <v>0.85161068905574588</v>
      </c>
      <c r="J453" s="122">
        <f t="shared" si="71"/>
        <v>-1.0822434187633827E-2</v>
      </c>
      <c r="K453" s="122">
        <f t="shared" si="72"/>
        <v>3.8885282658671569E-2</v>
      </c>
      <c r="Y453" s="126">
        <f>IF($Z$1, C453, -0.2)</f>
        <v>-0.2</v>
      </c>
    </row>
    <row r="454" spans="2:25" x14ac:dyDescent="0.3">
      <c r="B454" s="12">
        <v>0.85570263657119128</v>
      </c>
      <c r="C454" s="12">
        <f t="shared" si="64"/>
        <v>8.4630615012258204E-3</v>
      </c>
      <c r="D454" s="126">
        <f t="shared" si="65"/>
        <v>1.9124053785756906E-2</v>
      </c>
      <c r="E454" s="12">
        <f t="shared" si="66"/>
        <v>-5.0633626285687919E-2</v>
      </c>
      <c r="F454" s="12">
        <f t="shared" si="67"/>
        <v>-5.0590421834562402E-2</v>
      </c>
      <c r="G454" s="122">
        <f t="shared" si="68"/>
        <v>0.85666971787302726</v>
      </c>
      <c r="H454" s="122">
        <f t="shared" si="69"/>
        <v>2.7562647542712745E-2</v>
      </c>
      <c r="I454" s="122">
        <f t="shared" si="70"/>
        <v>0.8547355552693553</v>
      </c>
      <c r="J454" s="122">
        <f t="shared" si="71"/>
        <v>-1.0636524540261106E-2</v>
      </c>
      <c r="K454" s="122">
        <f t="shared" si="72"/>
        <v>3.8199172082973853E-2</v>
      </c>
      <c r="Y454" s="126">
        <f>IF($Z$1, C454, -0.2)</f>
        <v>-0.2</v>
      </c>
    </row>
    <row r="455" spans="2:25" x14ac:dyDescent="0.3">
      <c r="B455" s="12">
        <v>0.85881829015923528</v>
      </c>
      <c r="C455" s="12">
        <f t="shared" si="64"/>
        <v>8.3047653675197668E-3</v>
      </c>
      <c r="D455" s="126">
        <f t="shared" si="65"/>
        <v>1.877857991450043E-2</v>
      </c>
      <c r="E455" s="12">
        <f t="shared" si="66"/>
        <v>-5.0979810017692813E-2</v>
      </c>
      <c r="F455" s="12">
        <f t="shared" si="67"/>
        <v>-5.0935714252030348E-2</v>
      </c>
      <c r="G455" s="122">
        <f t="shared" si="68"/>
        <v>0.85977437699521386</v>
      </c>
      <c r="H455" s="122">
        <f t="shared" si="69"/>
        <v>2.7058990533261686E-2</v>
      </c>
      <c r="I455" s="122">
        <f t="shared" si="70"/>
        <v>0.85786220332325669</v>
      </c>
      <c r="J455" s="122">
        <f t="shared" si="71"/>
        <v>-1.0449459798222153E-2</v>
      </c>
      <c r="K455" s="122">
        <f t="shared" si="72"/>
        <v>3.7508450331483839E-2</v>
      </c>
      <c r="Y455" s="126">
        <f>IF($Z$1, C455, -0.2)</f>
        <v>-0.2</v>
      </c>
    </row>
    <row r="456" spans="2:25" x14ac:dyDescent="0.3">
      <c r="B456" s="12">
        <v>0.86193534274414518</v>
      </c>
      <c r="C456" s="12">
        <f t="shared" si="64"/>
        <v>8.1453188402138381E-3</v>
      </c>
      <c r="D456" s="126">
        <f t="shared" si="65"/>
        <v>1.8430791013730644E-2</v>
      </c>
      <c r="E456" s="12">
        <f t="shared" si="66"/>
        <v>-5.1326149193793913E-2</v>
      </c>
      <c r="F456" s="12">
        <f t="shared" si="67"/>
        <v>-5.1281149549277608E-2</v>
      </c>
      <c r="G456" s="122">
        <f t="shared" si="68"/>
        <v>0.86288008069559419</v>
      </c>
      <c r="H456" s="122">
        <f t="shared" si="69"/>
        <v>2.6551880919942532E-2</v>
      </c>
      <c r="I456" s="122">
        <f t="shared" si="70"/>
        <v>0.86099060479269618</v>
      </c>
      <c r="J456" s="122">
        <f t="shared" si="71"/>
        <v>-1.0261243239514856E-2</v>
      </c>
      <c r="K456" s="122">
        <f t="shared" si="72"/>
        <v>3.6813124159457387E-2</v>
      </c>
      <c r="Y456" s="126">
        <f>IF($Z$1, C456, -0.2)</f>
        <v>-0.2</v>
      </c>
    </row>
    <row r="457" spans="2:25" x14ac:dyDescent="0.3">
      <c r="B457" s="12">
        <v>0.86505376343844365</v>
      </c>
      <c r="C457" s="12">
        <f t="shared" si="64"/>
        <v>7.9847220617633354E-3</v>
      </c>
      <c r="D457" s="126">
        <f t="shared" si="65"/>
        <v>1.8080690304699051E-2</v>
      </c>
      <c r="E457" s="12">
        <f t="shared" si="66"/>
        <v>-5.1672640382049294E-2</v>
      </c>
      <c r="F457" s="12">
        <f t="shared" si="67"/>
        <v>-5.1626724205272756E-2</v>
      </c>
      <c r="G457" s="122">
        <f t="shared" si="68"/>
        <v>0.86598679564996817</v>
      </c>
      <c r="H457" s="122">
        <f t="shared" si="69"/>
        <v>2.6041322317257053E-2</v>
      </c>
      <c r="I457" s="122">
        <f t="shared" si="70"/>
        <v>0.86412073122691913</v>
      </c>
      <c r="J457" s="122">
        <f t="shared" si="71"/>
        <v>-1.0071878193730384E-2</v>
      </c>
      <c r="K457" s="122">
        <f t="shared" si="72"/>
        <v>3.6113200510987438E-2</v>
      </c>
      <c r="Y457" s="126">
        <f>IF($Z$1, C457, -0.2)</f>
        <v>-0.2</v>
      </c>
    </row>
    <row r="458" spans="2:25" x14ac:dyDescent="0.3">
      <c r="B458" s="12">
        <v>0.86817352134109738</v>
      </c>
      <c r="C458" s="12">
        <f t="shared" si="64"/>
        <v>7.8229752175042779E-3</v>
      </c>
      <c r="D458" s="126">
        <f t="shared" si="65"/>
        <v>1.7728281101472051E-2</v>
      </c>
      <c r="E458" s="12">
        <f t="shared" si="66"/>
        <v>-5.2019280149010819E-2</v>
      </c>
      <c r="F458" s="12">
        <f t="shared" si="67"/>
        <v>-5.1972434697762769E-2</v>
      </c>
      <c r="G458" s="122">
        <f t="shared" si="68"/>
        <v>0.8690944885329589</v>
      </c>
      <c r="H458" s="122">
        <f t="shared" si="69"/>
        <v>2.5527318476838291E-2</v>
      </c>
      <c r="I458" s="122">
        <f t="shared" si="70"/>
        <v>0.86725255414923585</v>
      </c>
      <c r="J458" s="122">
        <f t="shared" si="71"/>
        <v>-9.8813680418297356E-3</v>
      </c>
      <c r="K458" s="122">
        <f t="shared" si="72"/>
        <v>3.5408686518668027E-2</v>
      </c>
      <c r="Y458" s="126">
        <f>IF($Z$1, C458, -0.2)</f>
        <v>-0.2</v>
      </c>
    </row>
    <row r="459" spans="2:25" x14ac:dyDescent="0.3">
      <c r="B459" s="12">
        <v>0.87129458553782158</v>
      </c>
      <c r="C459" s="12">
        <f t="shared" si="64"/>
        <v>7.6600785357073889E-3</v>
      </c>
      <c r="D459" s="126">
        <f t="shared" si="65"/>
        <v>1.7373566810780505E-2</v>
      </c>
      <c r="E459" s="12">
        <f t="shared" si="66"/>
        <v>-5.2366065059757952E-2</v>
      </c>
      <c r="F459" s="12">
        <f t="shared" si="67"/>
        <v>-5.2318277503315663E-2</v>
      </c>
      <c r="G459" s="122">
        <f t="shared" si="68"/>
        <v>0.87220312601855865</v>
      </c>
      <c r="H459" s="122">
        <f t="shared" si="69"/>
        <v>2.5009873287332434E-2</v>
      </c>
      <c r="I459" s="122">
        <f t="shared" si="70"/>
        <v>0.8703860450570845</v>
      </c>
      <c r="J459" s="122">
        <f t="shared" si="71"/>
        <v>-9.6897162159176563E-3</v>
      </c>
      <c r="K459" s="122">
        <f t="shared" si="72"/>
        <v>3.469958950325009E-2</v>
      </c>
      <c r="Y459" s="126">
        <f>IF($Z$1, C459, -0.2)</f>
        <v>-0.2</v>
      </c>
    </row>
    <row r="460" spans="2:25" x14ac:dyDescent="0.3">
      <c r="B460" s="12">
        <v>0.87441692510138791</v>
      </c>
      <c r="C460" s="12">
        <f t="shared" si="64"/>
        <v>7.4960322876302266E-3</v>
      </c>
      <c r="D460" s="126">
        <f t="shared" si="65"/>
        <v>1.7016550931864653E-2</v>
      </c>
      <c r="E460" s="12">
        <f t="shared" si="66"/>
        <v>-5.2712991677931989E-2</v>
      </c>
      <c r="F460" s="12">
        <f t="shared" si="67"/>
        <v>-5.2664249097363461E-2</v>
      </c>
      <c r="G460" s="122">
        <f t="shared" si="68"/>
        <v>0.87531267478067776</v>
      </c>
      <c r="H460" s="122">
        <f t="shared" si="69"/>
        <v>2.4488990774273918E-2</v>
      </c>
      <c r="I460" s="122">
        <f t="shared" si="70"/>
        <v>0.87352117542209806</v>
      </c>
      <c r="J460" s="122">
        <f t="shared" si="71"/>
        <v>-9.496926199013463E-3</v>
      </c>
      <c r="K460" s="122">
        <f t="shared" si="72"/>
        <v>3.3985916973287379E-2</v>
      </c>
      <c r="Y460" s="126">
        <f>IF($Z$1, C460, -0.2)</f>
        <v>-0.2</v>
      </c>
    </row>
    <row r="461" spans="2:25" x14ac:dyDescent="0.3">
      <c r="B461" s="12">
        <v>0.87754050909192971</v>
      </c>
      <c r="C461" s="12">
        <f t="shared" si="64"/>
        <v>7.330836787567809E-3</v>
      </c>
      <c r="D461" s="126">
        <f t="shared" si="65"/>
        <v>1.6657237056315277E-2</v>
      </c>
      <c r="E461" s="12">
        <f t="shared" si="66"/>
        <v>-5.3060056565769967E-2</v>
      </c>
      <c r="F461" s="12">
        <f t="shared" si="67"/>
        <v>-5.3010345954244885E-2</v>
      </c>
      <c r="G461" s="122">
        <f t="shared" si="68"/>
        <v>0.87842310149369085</v>
      </c>
      <c r="H461" s="122">
        <f t="shared" si="69"/>
        <v>2.3964675099954893E-2</v>
      </c>
      <c r="I461" s="122">
        <f t="shared" si="70"/>
        <v>0.87665791669016857</v>
      </c>
      <c r="J461" s="122">
        <f t="shared" si="71"/>
        <v>-9.3030015248192731E-3</v>
      </c>
      <c r="K461" s="122">
        <f t="shared" si="72"/>
        <v>3.3267676624774166E-2</v>
      </c>
      <c r="Y461" s="126">
        <f>IF($Z$1, C461, -0.2)</f>
        <v>-0.2</v>
      </c>
    </row>
    <row r="462" spans="2:25" x14ac:dyDescent="0.3">
      <c r="B462" s="12">
        <v>0.88066530655724884</v>
      </c>
      <c r="C462" s="12">
        <f t="shared" si="64"/>
        <v>7.1644923929014498E-3</v>
      </c>
      <c r="D462" s="126">
        <f t="shared" si="65"/>
        <v>1.6295628867910444E-2</v>
      </c>
      <c r="E462" s="12">
        <f t="shared" si="66"/>
        <v>-5.3407256284138761E-2</v>
      </c>
      <c r="F462" s="12">
        <f t="shared" si="67"/>
        <v>-5.3356564547248284E-2</v>
      </c>
      <c r="G462" s="122">
        <f t="shared" si="68"/>
        <v>0.88153437283298253</v>
      </c>
      <c r="H462" s="122">
        <f t="shared" si="69"/>
        <v>2.3436930563288168E-2</v>
      </c>
      <c r="I462" s="122">
        <f t="shared" si="70"/>
        <v>0.87979624028151515</v>
      </c>
      <c r="J462" s="122">
        <f t="shared" si="71"/>
        <v>-9.1079457774852698E-3</v>
      </c>
      <c r="K462" s="122">
        <f t="shared" si="72"/>
        <v>3.2544876340773438E-2</v>
      </c>
      <c r="Y462" s="126">
        <f>IF($Z$1, C462, -0.2)</f>
        <v>-0.2</v>
      </c>
    </row>
    <row r="463" spans="2:25" x14ac:dyDescent="0.3">
      <c r="B463" s="12">
        <v>0.88379128653312367</v>
      </c>
      <c r="C463" s="12">
        <f t="shared" si="64"/>
        <v>6.9969995041458408E-3</v>
      </c>
      <c r="D463" s="126">
        <f t="shared" si="65"/>
        <v>1.5931730142448069E-2</v>
      </c>
      <c r="E463" s="12">
        <f t="shared" si="66"/>
        <v>-5.3754587392569296E-2</v>
      </c>
      <c r="F463" s="12">
        <f t="shared" si="67"/>
        <v>-5.3702901348654582E-2</v>
      </c>
      <c r="G463" s="122">
        <f t="shared" si="68"/>
        <v>0.88464645547549481</v>
      </c>
      <c r="H463" s="122">
        <f t="shared" si="69"/>
        <v>2.2905761599663902E-2</v>
      </c>
      <c r="I463" s="122">
        <f t="shared" si="70"/>
        <v>0.88293611759075252</v>
      </c>
      <c r="J463" s="122">
        <f t="shared" si="71"/>
        <v>-8.9117625913722222E-3</v>
      </c>
      <c r="K463" s="122">
        <f t="shared" si="72"/>
        <v>3.1817524191036124E-2</v>
      </c>
      <c r="Y463" s="126">
        <f>IF($Z$1, C463, -0.2)</f>
        <v>-0.2</v>
      </c>
    </row>
    <row r="464" spans="2:25" x14ac:dyDescent="0.3">
      <c r="B464" s="12">
        <v>0.88691841804361304</v>
      </c>
      <c r="C464" s="12">
        <f t="shared" si="64"/>
        <v>6.8283585649947399E-3</v>
      </c>
      <c r="D464" s="126">
        <f t="shared" si="65"/>
        <v>1.5565544747574813E-2</v>
      </c>
      <c r="E464" s="12">
        <f t="shared" si="66"/>
        <v>-5.4102046449290342E-2</v>
      </c>
      <c r="F464" s="12">
        <f t="shared" si="67"/>
        <v>-5.4049352829779899E-2</v>
      </c>
      <c r="G464" s="122">
        <f t="shared" si="68"/>
        <v>0.88775931610026926</v>
      </c>
      <c r="H464" s="122">
        <f t="shared" si="69"/>
        <v>2.2371172780800884E-2</v>
      </c>
      <c r="I464" s="122">
        <f t="shared" si="70"/>
        <v>0.88607751998695683</v>
      </c>
      <c r="J464" s="122">
        <f t="shared" si="71"/>
        <v>-8.7144556508114059E-3</v>
      </c>
      <c r="K464" s="122">
        <f t="shared" si="72"/>
        <v>3.1085628431612292E-2</v>
      </c>
      <c r="Y464" s="126">
        <f>IF($Z$1, C464, -0.2)</f>
        <v>-0.2</v>
      </c>
    </row>
    <row r="465" spans="2:25" x14ac:dyDescent="0.3">
      <c r="B465" s="12">
        <v>0.89004667010136695</v>
      </c>
      <c r="C465" s="12">
        <f t="shared" si="64"/>
        <v>6.6585700623645579E-3</v>
      </c>
      <c r="D465" s="126">
        <f t="shared" si="65"/>
        <v>1.5197076642610108E-2</v>
      </c>
      <c r="E465" s="12">
        <f t="shared" si="66"/>
        <v>-5.4449630011262996E-2</v>
      </c>
      <c r="F465" s="12">
        <f t="shared" si="67"/>
        <v>-5.4395915461018823E-2</v>
      </c>
      <c r="G465" s="122">
        <f t="shared" si="68"/>
        <v>0.89087292138899499</v>
      </c>
      <c r="H465" s="122">
        <f t="shared" si="69"/>
        <v>2.1833168814590551E-2</v>
      </c>
      <c r="I465" s="122">
        <f t="shared" si="70"/>
        <v>0.88922041881373892</v>
      </c>
      <c r="J465" s="122">
        <f t="shared" si="71"/>
        <v>-8.5160286898614337E-3</v>
      </c>
      <c r="K465" s="122">
        <f t="shared" si="72"/>
        <v>3.0349197504451985E-2</v>
      </c>
      <c r="Y465" s="126">
        <f>IF($Z$1, C465, -0.2)</f>
        <v>-0.2</v>
      </c>
    </row>
    <row r="466" spans="2:25" x14ac:dyDescent="0.3">
      <c r="B466" s="12">
        <v>0.89317601170793026</v>
      </c>
      <c r="C466" s="12">
        <f t="shared" si="64"/>
        <v>6.4876345264366373E-3</v>
      </c>
      <c r="D466" s="126">
        <f t="shared" si="65"/>
        <v>1.482632987836693E-2</v>
      </c>
      <c r="E466" s="12">
        <f t="shared" si="66"/>
        <v>-5.4797334634214476E-2</v>
      </c>
      <c r="F466" s="12">
        <f t="shared" si="67"/>
        <v>-5.4742585711886962E-2</v>
      </c>
      <c r="G466" s="122">
        <f t="shared" si="68"/>
        <v>0.893987238026549</v>
      </c>
      <c r="H466" s="122">
        <f t="shared" si="69"/>
        <v>2.1291754544936089E-2</v>
      </c>
      <c r="I466" s="122">
        <f t="shared" si="70"/>
        <v>0.89236478538931152</v>
      </c>
      <c r="J466" s="122">
        <f t="shared" si="71"/>
        <v>-8.3164854920628126E-3</v>
      </c>
      <c r="K466" s="122">
        <f t="shared" si="72"/>
        <v>2.9608240036998901E-2</v>
      </c>
      <c r="Y466" s="126">
        <f>IF($Z$1, C466, -0.2)</f>
        <v>-0.2</v>
      </c>
    </row>
    <row r="467" spans="2:25" x14ac:dyDescent="0.3">
      <c r="B467" s="12">
        <v>0.89630641185405224</v>
      </c>
      <c r="C467" s="12">
        <f t="shared" si="64"/>
        <v>6.3155525306975505E-3</v>
      </c>
      <c r="D467" s="126">
        <f t="shared" si="65"/>
        <v>1.4453308596967836E-2</v>
      </c>
      <c r="E467" s="12">
        <f t="shared" si="66"/>
        <v>-5.514515687267247E-2</v>
      </c>
      <c r="F467" s="12">
        <f t="shared" si="67"/>
        <v>-5.5089360051064122E-2</v>
      </c>
      <c r="G467" s="122">
        <f t="shared" si="68"/>
        <v>0.89710223270154155</v>
      </c>
      <c r="H467" s="122">
        <f t="shared" si="69"/>
        <v>2.0746934951584528E-2</v>
      </c>
      <c r="I467" s="122">
        <f t="shared" si="70"/>
        <v>0.89551059100656294</v>
      </c>
      <c r="J467" s="122">
        <f t="shared" si="71"/>
        <v>-8.1158298901894289E-3</v>
      </c>
      <c r="K467" s="122">
        <f t="shared" si="72"/>
        <v>2.8862764841773959E-2</v>
      </c>
      <c r="Y467" s="126">
        <f>IF($Z$1, C467, -0.2)</f>
        <v>-0.2</v>
      </c>
    </row>
    <row r="468" spans="2:25" x14ac:dyDescent="0.3">
      <c r="B468" s="12">
        <v>0.8994378395199919</v>
      </c>
      <c r="C468" s="12">
        <f t="shared" si="64"/>
        <v>6.1423246919779396E-3</v>
      </c>
      <c r="D468" s="126">
        <f t="shared" si="65"/>
        <v>1.4078017031657491E-2</v>
      </c>
      <c r="E468" s="12">
        <f t="shared" si="66"/>
        <v>-5.5493093279999101E-2</v>
      </c>
      <c r="F468" s="12">
        <f t="shared" si="67"/>
        <v>-5.5436234946437034E-2</v>
      </c>
      <c r="G468" s="122">
        <f t="shared" si="68"/>
        <v>0.90021787210685644</v>
      </c>
      <c r="H468" s="122">
        <f t="shared" si="69"/>
        <v>2.0198715149953549E-2</v>
      </c>
      <c r="I468" s="122">
        <f t="shared" si="70"/>
        <v>0.89865780693312736</v>
      </c>
      <c r="J468" s="122">
        <f t="shared" si="71"/>
        <v>-7.9140657659976712E-3</v>
      </c>
      <c r="K468" s="122">
        <f t="shared" si="72"/>
        <v>2.8112780915951222E-2</v>
      </c>
      <c r="Y468" s="126">
        <f>IF($Z$1, C468, -0.2)</f>
        <v>-0.2</v>
      </c>
    </row>
    <row r="469" spans="2:25" x14ac:dyDescent="0.3">
      <c r="B469" s="12">
        <v>0.9025702636758276</v>
      </c>
      <c r="C469" s="12">
        <f t="shared" si="64"/>
        <v>5.9679516704893949E-3</v>
      </c>
      <c r="D469" s="126">
        <f t="shared" si="65"/>
        <v>1.3700459506610649E-2</v>
      </c>
      <c r="E469" s="12">
        <f t="shared" si="66"/>
        <v>-5.5841140408425291E-2</v>
      </c>
      <c r="F469" s="12">
        <f t="shared" si="67"/>
        <v>-5.5783206865142494E-2</v>
      </c>
      <c r="G469" s="122">
        <f t="shared" si="68"/>
        <v>0.90333412294019466</v>
      </c>
      <c r="H469" s="122">
        <f t="shared" si="69"/>
        <v>1.9647100390951452E-2</v>
      </c>
      <c r="I469" s="122">
        <f t="shared" si="70"/>
        <v>0.90180640441146054</v>
      </c>
      <c r="J469" s="122">
        <f t="shared" si="71"/>
        <v>-7.7111970499726618E-3</v>
      </c>
      <c r="K469" s="122">
        <f t="shared" si="72"/>
        <v>2.7358297440924113E-2</v>
      </c>
      <c r="Y469" s="126">
        <f>IF($Z$1, C469, -0.2)</f>
        <v>-0.2</v>
      </c>
    </row>
    <row r="470" spans="2:25" x14ac:dyDescent="0.3">
      <c r="B470" s="12">
        <v>0.90570365328176206</v>
      </c>
      <c r="C470" s="12">
        <f t="shared" si="64"/>
        <v>5.7924341698599663E-3</v>
      </c>
      <c r="D470" s="126">
        <f t="shared" si="65"/>
        <v>1.332064043673669E-2</v>
      </c>
      <c r="E470" s="12">
        <f t="shared" si="66"/>
        <v>-5.6189294809084675E-2</v>
      </c>
      <c r="F470" s="12">
        <f t="shared" si="67"/>
        <v>-5.6130272273610095E-2</v>
      </c>
      <c r="G470" s="122">
        <f t="shared" si="68"/>
        <v>0.90645095190461278</v>
      </c>
      <c r="H470" s="122">
        <f t="shared" si="69"/>
        <v>1.909209606079201E-2</v>
      </c>
      <c r="I470" s="122">
        <f t="shared" si="70"/>
        <v>0.90495635465891133</v>
      </c>
      <c r="J470" s="122">
        <f t="shared" si="71"/>
        <v>-7.5072277210720762E-3</v>
      </c>
      <c r="K470" s="122">
        <f t="shared" si="72"/>
        <v>2.6599323781864085E-2</v>
      </c>
      <c r="Y470" s="126">
        <f>IF($Z$1, C470, -0.2)</f>
        <v>-0.2</v>
      </c>
    </row>
    <row r="471" spans="2:25" x14ac:dyDescent="0.3">
      <c r="B471" s="12">
        <v>0.90883797728843208</v>
      </c>
      <c r="C471" s="12">
        <f t="shared" si="64"/>
        <v>5.6157729371676159E-3</v>
      </c>
      <c r="D471" s="126">
        <f t="shared" si="65"/>
        <v>1.2938564327479642E-2</v>
      </c>
      <c r="E471" s="12">
        <f t="shared" si="66"/>
        <v>-5.6537553032048007E-2</v>
      </c>
      <c r="F471" s="12">
        <f t="shared" si="67"/>
        <v>-5.6477427637605368E-2</v>
      </c>
      <c r="G471" s="122">
        <f t="shared" si="68"/>
        <v>0.90956832570906487</v>
      </c>
      <c r="H471" s="122">
        <f t="shared" si="69"/>
        <v>1.8533707680802446E-2</v>
      </c>
      <c r="I471" s="122">
        <f t="shared" si="70"/>
        <v>0.90810762886779928</v>
      </c>
      <c r="J471" s="122">
        <f t="shared" si="71"/>
        <v>-7.3021618064672156E-3</v>
      </c>
      <c r="K471" s="122">
        <f t="shared" si="72"/>
        <v>2.5835869487269663E-2</v>
      </c>
      <c r="Y471" s="126">
        <f>IF($Z$1, C471, -0.2)</f>
        <v>-0.2</v>
      </c>
    </row>
    <row r="472" spans="2:25" x14ac:dyDescent="0.3">
      <c r="B472" s="12">
        <v>0.91197320463721476</v>
      </c>
      <c r="C472" s="12">
        <f t="shared" si="64"/>
        <v>5.4379687629722562E-3</v>
      </c>
      <c r="D472" s="126">
        <f t="shared" si="65"/>
        <v>1.2554235774614635E-2</v>
      </c>
      <c r="E472" s="12">
        <f t="shared" si="66"/>
        <v>-5.68859116263572E-2</v>
      </c>
      <c r="F472" s="12">
        <f t="shared" si="67"/>
        <v>-5.6824669422272607E-2</v>
      </c>
      <c r="G472" s="122">
        <f t="shared" si="68"/>
        <v>0.91268621106893999</v>
      </c>
      <c r="H472" s="122">
        <f t="shared" si="69"/>
        <v>1.797194090722614E-2</v>
      </c>
      <c r="I472" s="122">
        <f t="shared" si="70"/>
        <v>0.91126019820548954</v>
      </c>
      <c r="J472" s="122">
        <f t="shared" si="71"/>
        <v>-7.0960033812816296E-3</v>
      </c>
      <c r="K472" s="122">
        <f t="shared" si="72"/>
        <v>2.5067944288507771E-2</v>
      </c>
      <c r="Y472" s="126">
        <f>IF($Z$1, C472, -0.2)</f>
        <v>-0.2</v>
      </c>
    </row>
    <row r="473" spans="2:25" x14ac:dyDescent="0.3">
      <c r="B473" s="12">
        <v>0.91510930426053605</v>
      </c>
      <c r="C473" s="12">
        <f t="shared" si="64"/>
        <v>5.2590224813459166E-3</v>
      </c>
      <c r="D473" s="126">
        <f t="shared" si="65"/>
        <v>1.2167659464040182E-2</v>
      </c>
      <c r="E473" s="12">
        <f t="shared" si="66"/>
        <v>-5.7234367140059562E-2</v>
      </c>
      <c r="F473" s="12">
        <f t="shared" si="67"/>
        <v>-5.7171994092177873E-2</v>
      </c>
      <c r="G473" s="122">
        <f t="shared" si="68"/>
        <v>0.91580457470660137</v>
      </c>
      <c r="H473" s="122">
        <f t="shared" si="69"/>
        <v>1.7406801531018937E-2</v>
      </c>
      <c r="I473" s="122">
        <f t="shared" si="70"/>
        <v>0.91441403381447073</v>
      </c>
      <c r="J473" s="122">
        <f t="shared" si="71"/>
        <v>-6.8887565683271052E-3</v>
      </c>
      <c r="K473" s="122">
        <f t="shared" si="72"/>
        <v>2.4295558099346044E-2</v>
      </c>
      <c r="Y473" s="126">
        <f>IF($Z$1, C473, -0.2)</f>
        <v>-0.2</v>
      </c>
    </row>
    <row r="474" spans="2:25" x14ac:dyDescent="0.3">
      <c r="B474" s="12">
        <v>0.91824624508217823</v>
      </c>
      <c r="C474" s="12">
        <f t="shared" si="64"/>
        <v>5.0789349699012689E-3</v>
      </c>
      <c r="D474" s="126">
        <f t="shared" si="65"/>
        <v>1.1778840171566612E-2</v>
      </c>
      <c r="E474" s="12">
        <f t="shared" si="66"/>
        <v>-5.7582916120242029E-2</v>
      </c>
      <c r="F474" s="12">
        <f t="shared" si="67"/>
        <v>-5.7519398111351996E-2</v>
      </c>
      <c r="G474" s="122">
        <f t="shared" si="68"/>
        <v>0.91892338335192303</v>
      </c>
      <c r="H474" s="122">
        <f t="shared" si="69"/>
        <v>1.6838295477639709E-2</v>
      </c>
      <c r="I474" s="122">
        <f t="shared" si="70"/>
        <v>0.91756910681243342</v>
      </c>
      <c r="J474" s="122">
        <f t="shared" si="71"/>
        <v>-6.6804255378371692E-3</v>
      </c>
      <c r="K474" s="122">
        <f t="shared" si="72"/>
        <v>2.3518721015476876E-2</v>
      </c>
      <c r="Y474" s="126">
        <f>IF($Z$1, C474, -0.2)</f>
        <v>-0.2</v>
      </c>
    </row>
    <row r="475" spans="2:25" x14ac:dyDescent="0.3">
      <c r="B475" s="12">
        <v>0.92138399601758791</v>
      </c>
      <c r="C475" s="12">
        <f t="shared" si="64"/>
        <v>4.897707149818434E-3</v>
      </c>
      <c r="D475" s="126">
        <f t="shared" si="65"/>
        <v>1.1387782762700631E-2</v>
      </c>
      <c r="E475" s="12">
        <f t="shared" si="66"/>
        <v>-5.7931555113065324E-2</v>
      </c>
      <c r="F475" s="12">
        <f t="shared" si="67"/>
        <v>-5.7866877943333436E-2</v>
      </c>
      <c r="G475" s="122">
        <f t="shared" si="68"/>
        <v>0.92204260374282643</v>
      </c>
      <c r="H475" s="122">
        <f t="shared" si="69"/>
        <v>1.6266428806835008E-2</v>
      </c>
      <c r="I475" s="122">
        <f t="shared" si="70"/>
        <v>0.9207253882923494</v>
      </c>
      <c r="J475" s="122">
        <f t="shared" si="71"/>
        <v>-6.4710145071981409E-3</v>
      </c>
      <c r="K475" s="122">
        <f t="shared" si="72"/>
        <v>2.273744331403315E-2</v>
      </c>
      <c r="Y475" s="126">
        <f>IF($Z$1, C475, -0.2)</f>
        <v>-0.2</v>
      </c>
    </row>
    <row r="476" spans="2:25" x14ac:dyDescent="0.3">
      <c r="B476" s="12">
        <v>0.92452252597418461</v>
      </c>
      <c r="C476" s="12">
        <f t="shared" si="64"/>
        <v>4.7153399858700434E-3</v>
      </c>
      <c r="D476" s="126">
        <f t="shared" si="65"/>
        <v>1.0994492192425849E-2</v>
      </c>
      <c r="E476" s="12">
        <f t="shared" si="66"/>
        <v>-5.8280280663798291E-2</v>
      </c>
      <c r="F476" s="12">
        <f t="shared" si="67"/>
        <v>-5.8214430051211422E-2</v>
      </c>
      <c r="G476" s="122">
        <f t="shared" si="68"/>
        <v>0.9251622026258165</v>
      </c>
      <c r="H476" s="122">
        <f t="shared" si="69"/>
        <v>1.5691207712417679E-2</v>
      </c>
      <c r="I476" s="122">
        <f t="shared" si="70"/>
        <v>0.92388284932255271</v>
      </c>
      <c r="J476" s="122">
        <f t="shared" si="71"/>
        <v>-6.2605277406775914E-3</v>
      </c>
      <c r="K476" s="122">
        <f t="shared" si="72"/>
        <v>2.195173545309527E-2</v>
      </c>
      <c r="Y476" s="126">
        <f>IF($Z$1, C476, -0.2)</f>
        <v>-0.2</v>
      </c>
    </row>
    <row r="477" spans="2:25" x14ac:dyDescent="0.3">
      <c r="B477" s="12">
        <v>0.92766180385166763</v>
      </c>
      <c r="C477" s="12">
        <f t="shared" si="64"/>
        <v>4.5318344864446747E-3</v>
      </c>
      <c r="D477" s="126">
        <f t="shared" si="65"/>
        <v>1.0598973504979728E-2</v>
      </c>
      <c r="E477" s="12">
        <f t="shared" si="66"/>
        <v>-5.8629089316851964E-2</v>
      </c>
      <c r="F477" s="12">
        <f t="shared" si="67"/>
        <v>-5.8562050897668694E-2</v>
      </c>
      <c r="G477" s="122">
        <f t="shared" si="68"/>
        <v>0.92828214675651466</v>
      </c>
      <c r="H477" s="122">
        <f t="shared" si="69"/>
        <v>1.51126385220399E-2</v>
      </c>
      <c r="I477" s="122">
        <f t="shared" si="70"/>
        <v>0.92704146094682061</v>
      </c>
      <c r="J477" s="122">
        <f t="shared" si="71"/>
        <v>-6.0489695491505509E-3</v>
      </c>
      <c r="K477" s="122">
        <f t="shared" si="72"/>
        <v>2.1161608071190451E-2</v>
      </c>
      <c r="Y477" s="126">
        <f>IF($Z$1, C477, -0.2)</f>
        <v>-0.2</v>
      </c>
    </row>
    <row r="478" spans="2:25" x14ac:dyDescent="0.3">
      <c r="B478" s="12">
        <v>0.93080179854232581</v>
      </c>
      <c r="C478" s="12">
        <f t="shared" si="64"/>
        <v>4.3471917035684537E-3</v>
      </c>
      <c r="D478" s="126">
        <f t="shared" si="65"/>
        <v>1.0201231833626298E-2</v>
      </c>
      <c r="E478" s="12">
        <f t="shared" si="66"/>
        <v>-5.8977977615813977E-2</v>
      </c>
      <c r="F478" s="12">
        <f t="shared" si="67"/>
        <v>-5.8909736945024681E-2</v>
      </c>
      <c r="G478" s="122">
        <f t="shared" si="68"/>
        <v>0.93140240290019394</v>
      </c>
      <c r="H478" s="122">
        <f t="shared" si="69"/>
        <v>1.4530727696959966E-2</v>
      </c>
      <c r="I478" s="122">
        <f t="shared" si="70"/>
        <v>0.93020119418445768</v>
      </c>
      <c r="J478" s="122">
        <f t="shared" si="71"/>
        <v>-5.8363442898230582E-3</v>
      </c>
      <c r="K478" s="122">
        <f t="shared" si="72"/>
        <v>2.0367071986783024E-2</v>
      </c>
      <c r="Y478" s="126">
        <f>IF($Z$1, C478, -0.2)</f>
        <v>-0.2</v>
      </c>
    </row>
    <row r="479" spans="2:25" x14ac:dyDescent="0.3">
      <c r="B479" s="12">
        <v>0.93394247893134419</v>
      </c>
      <c r="C479" s="12">
        <f t="shared" si="64"/>
        <v>4.1614127329250607E-3</v>
      </c>
      <c r="D479" s="126">
        <f t="shared" si="65"/>
        <v>9.8012724004254616E-3</v>
      </c>
      <c r="E479" s="12">
        <f t="shared" si="66"/>
        <v>-5.9326942103482688E-2</v>
      </c>
      <c r="F479" s="12">
        <f t="shared" si="67"/>
        <v>-5.9257484655278303E-2</v>
      </c>
      <c r="G479" s="122">
        <f t="shared" si="68"/>
        <v>0.93452293783230989</v>
      </c>
      <c r="H479" s="122">
        <f t="shared" si="69"/>
        <v>1.3945481831803689E-2</v>
      </c>
      <c r="I479" s="122">
        <f t="shared" si="70"/>
        <v>0.93336202003037849</v>
      </c>
      <c r="J479" s="122">
        <f t="shared" si="71"/>
        <v>-5.622656365953568E-3</v>
      </c>
      <c r="K479" s="122">
        <f t="shared" si="72"/>
        <v>1.9568138197757257E-2</v>
      </c>
      <c r="Y479" s="126">
        <f>IF($Z$1, C479, -0.2)</f>
        <v>-0.2</v>
      </c>
    </row>
    <row r="480" spans="2:25" x14ac:dyDescent="0.3">
      <c r="B480" s="12">
        <v>0.9370838138971137</v>
      </c>
      <c r="C480" s="12">
        <f t="shared" si="64"/>
        <v>3.9744987138739226E-3</v>
      </c>
      <c r="D480" s="126">
        <f t="shared" si="65"/>
        <v>9.3991005159981267E-3</v>
      </c>
      <c r="E480" s="12">
        <f t="shared" si="66"/>
        <v>-5.9675979321901523E-2</v>
      </c>
      <c r="F480" s="12">
        <f t="shared" si="67"/>
        <v>-5.9605290490151022E-2</v>
      </c>
      <c r="G480" s="122">
        <f t="shared" si="68"/>
        <v>0.93764371833903337</v>
      </c>
      <c r="H480" s="122">
        <f t="shared" si="69"/>
        <v>1.3356907654319596E-2</v>
      </c>
      <c r="I480" s="122">
        <f t="shared" si="70"/>
        <v>0.93652390945519404</v>
      </c>
      <c r="J480" s="122">
        <f t="shared" si="71"/>
        <v>-5.4079102265717502E-3</v>
      </c>
      <c r="K480" s="122">
        <f t="shared" si="72"/>
        <v>1.8764817880891346E-2</v>
      </c>
      <c r="Y480" s="126">
        <f>IF($Z$1, C480, -0.2)</f>
        <v>-0.2</v>
      </c>
    </row>
    <row r="481" spans="2:25" x14ac:dyDescent="0.3">
      <c r="B481" s="12">
        <v>0.94022577231153837</v>
      </c>
      <c r="C481" s="12">
        <f t="shared" si="64"/>
        <v>3.7864508294667702E-3</v>
      </c>
      <c r="D481" s="126">
        <f t="shared" si="65"/>
        <v>8.9947215792878822E-3</v>
      </c>
      <c r="E481" s="12">
        <f t="shared" si="66"/>
        <v>-6.0025085812393152E-2</v>
      </c>
      <c r="F481" s="12">
        <f t="shared" si="67"/>
        <v>-5.995315091112971E-2</v>
      </c>
      <c r="G481" s="122">
        <f t="shared" si="68"/>
        <v>0.94076471121777983</v>
      </c>
      <c r="H481" s="122">
        <f t="shared" si="69"/>
        <v>1.2765012025128711E-2</v>
      </c>
      <c r="I481" s="122">
        <f t="shared" si="70"/>
        <v>0.93968683340529691</v>
      </c>
      <c r="J481" s="122">
        <f t="shared" si="71"/>
        <v>-5.1921103661951712E-3</v>
      </c>
      <c r="K481" s="122">
        <f t="shared" si="72"/>
        <v>1.7957122391323882E-2</v>
      </c>
      <c r="Y481" s="126">
        <f>IF($Z$1, C481, -0.2)</f>
        <v>-0.2</v>
      </c>
    </row>
    <row r="482" spans="2:25" x14ac:dyDescent="0.3">
      <c r="B482" s="12">
        <v>0.94336832304034501</v>
      </c>
      <c r="C482" s="12">
        <f t="shared" si="64"/>
        <v>3.5972703064624033E-3</v>
      </c>
      <c r="D482" s="126">
        <f t="shared" si="65"/>
        <v>8.5881410773185965E-3</v>
      </c>
      <c r="E482" s="12">
        <f t="shared" si="66"/>
        <v>-6.0374258115593889E-2</v>
      </c>
      <c r="F482" s="12">
        <f t="shared" si="67"/>
        <v>-6.0301062379509732E-2</v>
      </c>
      <c r="G482" s="122">
        <f t="shared" si="68"/>
        <v>0.94388588327773948</v>
      </c>
      <c r="H482" s="122">
        <f t="shared" si="69"/>
        <v>1.216980193746822E-2</v>
      </c>
      <c r="I482" s="122">
        <f t="shared" si="70"/>
        <v>0.94285076280295055</v>
      </c>
      <c r="J482" s="122">
        <f t="shared" si="71"/>
        <v>-4.9752613245434129E-3</v>
      </c>
      <c r="K482" s="122">
        <f t="shared" si="72"/>
        <v>1.7145063262011633E-2</v>
      </c>
      <c r="Y482" s="126">
        <f>IF($Z$1, C482, -0.2)</f>
        <v>-0.2</v>
      </c>
    </row>
    <row r="483" spans="2:25" x14ac:dyDescent="0.3">
      <c r="B483" s="12">
        <v>0.94651143494339052</v>
      </c>
      <c r="C483" s="12">
        <f t="shared" si="64"/>
        <v>3.4069584153397906E-3</v>
      </c>
      <c r="D483" s="126">
        <f t="shared" si="65"/>
        <v>8.1793645849486032E-3</v>
      </c>
      <c r="E483" s="12">
        <f t="shared" si="66"/>
        <v>-6.0723492771487836E-2</v>
      </c>
      <c r="F483" s="12">
        <f t="shared" si="67"/>
        <v>-6.064902135643771E-2</v>
      </c>
      <c r="G483" s="122">
        <f t="shared" si="68"/>
        <v>0.9470072013404045</v>
      </c>
      <c r="H483" s="122">
        <f t="shared" si="69"/>
        <v>1.1571284516929757E-2</v>
      </c>
      <c r="I483" s="122">
        <f t="shared" si="70"/>
        <v>0.94601566854637653</v>
      </c>
      <c r="J483" s="122">
        <f t="shared" si="71"/>
        <v>-4.7573676862501767E-3</v>
      </c>
      <c r="K483" s="122">
        <f t="shared" si="72"/>
        <v>1.6328652203179934E-2</v>
      </c>
      <c r="Y483" s="126">
        <f>IF($Z$1, C483, -0.2)</f>
        <v>-0.2</v>
      </c>
    </row>
    <row r="484" spans="2:25" x14ac:dyDescent="0.3">
      <c r="B484" s="12">
        <v>0.9496550768749713</v>
      </c>
      <c r="C484" s="12">
        <f t="shared" si="64"/>
        <v>3.2155164703094076E-3</v>
      </c>
      <c r="D484" s="126">
        <f t="shared" si="65"/>
        <v>7.7683977646209081E-3</v>
      </c>
      <c r="E484" s="12">
        <f t="shared" si="66"/>
        <v>-6.1072786319441255E-2</v>
      </c>
      <c r="F484" s="12">
        <f t="shared" si="67"/>
        <v>-6.0997024302954582E-2</v>
      </c>
      <c r="G484" s="122">
        <f t="shared" si="68"/>
        <v>0.9501286322400968</v>
      </c>
      <c r="H484" s="122">
        <f t="shared" si="69"/>
        <v>1.0969467021191708E-2</v>
      </c>
      <c r="I484" s="122">
        <f t="shared" si="70"/>
        <v>0.9491815215098458</v>
      </c>
      <c r="J484" s="122">
        <f t="shared" si="71"/>
        <v>-4.538434080572893E-3</v>
      </c>
      <c r="K484" s="122">
        <f t="shared" si="72"/>
        <v>1.5507901101764601E-2</v>
      </c>
      <c r="Y484" s="126">
        <f>IF($Z$1, C484, -0.2)</f>
        <v>-0.2</v>
      </c>
    </row>
    <row r="485" spans="2:25" x14ac:dyDescent="0.3">
      <c r="B485" s="12">
        <v>0.95279921768413134</v>
      </c>
      <c r="C485" s="12">
        <f t="shared" si="64"/>
        <v>3.022945829322912E-3</v>
      </c>
      <c r="D485" s="126">
        <f t="shared" si="65"/>
        <v>7.3552463661098692E-3</v>
      </c>
      <c r="E485" s="12">
        <f t="shared" si="66"/>
        <v>-6.142213529823682E-2</v>
      </c>
      <c r="F485" s="12">
        <f t="shared" si="67"/>
        <v>-6.1345067680038452E-2</v>
      </c>
      <c r="G485" s="122">
        <f t="shared" si="68"/>
        <v>0.9532501428244935</v>
      </c>
      <c r="H485" s="122">
        <f t="shared" si="69"/>
        <v>1.036435683974603E-2</v>
      </c>
      <c r="I485" s="122">
        <f t="shared" si="70"/>
        <v>0.95234829254376918</v>
      </c>
      <c r="J485" s="122">
        <f t="shared" si="71"/>
        <v>-4.3184651811002065E-3</v>
      </c>
      <c r="K485" s="122">
        <f t="shared" si="72"/>
        <v>1.4682822020846236E-2</v>
      </c>
      <c r="Y485" s="126">
        <f>IF($Z$1, C485, -0.2)</f>
        <v>-0.2</v>
      </c>
    </row>
    <row r="486" spans="2:25" x14ac:dyDescent="0.3">
      <c r="B486" s="12">
        <v>0.9559438262149712</v>
      </c>
      <c r="C486" s="12">
        <f t="shared" si="64"/>
        <v>2.8292478940809924E-3</v>
      </c>
      <c r="D486" s="126">
        <f t="shared" si="65"/>
        <v>6.9399162262641133E-3</v>
      </c>
      <c r="E486" s="12">
        <f t="shared" si="66"/>
        <v>-6.1771536246107914E-2</v>
      </c>
      <c r="F486" s="12">
        <f t="shared" si="67"/>
        <v>-6.1693147948647512E-2</v>
      </c>
      <c r="G486" s="122">
        <f t="shared" si="68"/>
        <v>0.95637169995515148</v>
      </c>
      <c r="H486" s="122">
        <f t="shared" si="69"/>
        <v>9.7559614936192363E-3</v>
      </c>
      <c r="I486" s="122">
        <f t="shared" si="70"/>
        <v>0.95551595247479093</v>
      </c>
      <c r="J486" s="122">
        <f t="shared" si="71"/>
        <v>-4.0974657054572523E-3</v>
      </c>
      <c r="K486" s="122">
        <f t="shared" si="72"/>
        <v>1.3853427199076489E-2</v>
      </c>
      <c r="Y486" s="126">
        <f>IF($Z$1, C486, -0.2)</f>
        <v>-0.2</v>
      </c>
    </row>
    <row r="487" spans="2:25" x14ac:dyDescent="0.3">
      <c r="B487" s="12">
        <v>0.95908887130695719</v>
      </c>
      <c r="C487" s="12">
        <f t="shared" si="64"/>
        <v>2.6344241100395944E-3</v>
      </c>
      <c r="D487" s="126">
        <f t="shared" si="65"/>
        <v>6.5224132687457708E-3</v>
      </c>
      <c r="E487" s="12">
        <f t="shared" si="66"/>
        <v>-6.2120985700773027E-2</v>
      </c>
      <c r="F487" s="12">
        <f t="shared" si="67"/>
        <v>-6.2041261569763022E-2</v>
      </c>
      <c r="G487" s="122">
        <f t="shared" si="68"/>
        <v>0.95949327050803168</v>
      </c>
      <c r="H487" s="122">
        <f t="shared" si="69"/>
        <v>9.1442886350878091E-3</v>
      </c>
      <c r="I487" s="122">
        <f t="shared" si="70"/>
        <v>0.9586844721058827</v>
      </c>
      <c r="J487" s="122">
        <f t="shared" si="71"/>
        <v>-3.8754404150086194E-3</v>
      </c>
      <c r="K487" s="122">
        <f t="shared" si="72"/>
        <v>1.3019729050096428E-2</v>
      </c>
      <c r="Y487" s="126">
        <f>IF($Z$1, C487, -0.2)</f>
        <v>-0.2</v>
      </c>
    </row>
    <row r="488" spans="2:25" x14ac:dyDescent="0.3">
      <c r="B488" s="12">
        <v>0.96223432179522894</v>
      </c>
      <c r="C488" s="12">
        <f t="shared" si="64"/>
        <v>2.4384759664143824E-3</v>
      </c>
      <c r="D488" s="126">
        <f t="shared" si="65"/>
        <v>6.1027435037663124E-3</v>
      </c>
      <c r="E488" s="12">
        <f t="shared" si="66"/>
        <v>-6.2470480199469887E-2</v>
      </c>
      <c r="F488" s="12">
        <f t="shared" si="67"/>
        <v>-6.2389405004432047E-2</v>
      </c>
      <c r="G488" s="122">
        <f t="shared" si="68"/>
        <v>0.96261482137401999</v>
      </c>
      <c r="H488" s="122">
        <f t="shared" si="69"/>
        <v>8.5293460473881821E-3</v>
      </c>
      <c r="I488" s="122">
        <f t="shared" si="70"/>
        <v>0.96185382221643789</v>
      </c>
      <c r="J488" s="122">
        <f t="shared" si="71"/>
        <v>-3.6523941145594173E-3</v>
      </c>
      <c r="K488" s="122">
        <f t="shared" si="72"/>
        <v>1.2181740161947599E-2</v>
      </c>
      <c r="Y488" s="126">
        <f>IF($Z$1, C488, -0.2)</f>
        <v>-0.2</v>
      </c>
    </row>
    <row r="489" spans="2:25" x14ac:dyDescent="0.3">
      <c r="B489" s="12">
        <v>0.96538014651090975</v>
      </c>
      <c r="C489" s="12">
        <f t="shared" si="64"/>
        <v>2.2414049961834532E-3</v>
      </c>
      <c r="D489" s="126">
        <f t="shared" si="65"/>
        <v>5.6809130278184143E-3</v>
      </c>
      <c r="E489" s="12">
        <f t="shared" si="66"/>
        <v>-6.2820016278989976E-2</v>
      </c>
      <c r="F489" s="12">
        <f t="shared" si="67"/>
        <v>-6.2737574713810473E-2</v>
      </c>
      <c r="G489" s="122">
        <f t="shared" si="68"/>
        <v>0.9657363194594496</v>
      </c>
      <c r="H489" s="122">
        <f t="shared" si="69"/>
        <v>7.9111416444207772E-3</v>
      </c>
      <c r="I489" s="122">
        <f t="shared" si="70"/>
        <v>0.96502397356236991</v>
      </c>
      <c r="J489" s="122">
        <f t="shared" si="71"/>
        <v>-3.4283316520538716E-3</v>
      </c>
      <c r="K489" s="122">
        <f t="shared" si="72"/>
        <v>1.133947329647465E-2</v>
      </c>
      <c r="Y489" s="126">
        <f>IF($Z$1, C489, -0.2)</f>
        <v>-0.2</v>
      </c>
    </row>
    <row r="490" spans="2:25" x14ac:dyDescent="0.3">
      <c r="B490" s="12">
        <v>0.96852631428141356</v>
      </c>
      <c r="C490" s="12">
        <f t="shared" si="64"/>
        <v>2.043212776088414E-3</v>
      </c>
      <c r="D490" s="126">
        <f t="shared" si="65"/>
        <v>5.2569280234047019E-3</v>
      </c>
      <c r="E490" s="12">
        <f t="shared" si="66"/>
        <v>-6.316959047571262E-2</v>
      </c>
      <c r="F490" s="12">
        <f t="shared" si="67"/>
        <v>-6.3085767159205705E-2</v>
      </c>
      <c r="G490" s="122">
        <f t="shared" si="68"/>
        <v>0.96885773168661915</v>
      </c>
      <c r="H490" s="122">
        <f t="shared" si="69"/>
        <v>7.2896834704490017E-3</v>
      </c>
      <c r="I490" s="122">
        <f t="shared" si="70"/>
        <v>0.96819489687620797</v>
      </c>
      <c r="J490" s="122">
        <f t="shared" si="71"/>
        <v>-3.2032579182721737E-3</v>
      </c>
      <c r="K490" s="122">
        <f t="shared" si="72"/>
        <v>1.0492941388721175E-2</v>
      </c>
      <c r="Y490" s="126">
        <f>IF($Z$1, C490, -0.2)</f>
        <v>-0.2</v>
      </c>
    </row>
    <row r="491" spans="2:25" x14ac:dyDescent="0.3">
      <c r="B491" s="12">
        <v>0.9716727939307559</v>
      </c>
      <c r="C491" s="12">
        <f t="shared" si="64"/>
        <v>1.8439009266335263E-3</v>
      </c>
      <c r="D491" s="126">
        <f t="shared" si="65"/>
        <v>4.8307947587624021E-3</v>
      </c>
      <c r="E491" s="12">
        <f t="shared" si="66"/>
        <v>-6.3519199325639542E-2</v>
      </c>
      <c r="F491" s="12">
        <f t="shared" si="67"/>
        <v>-6.3433978802119664E-2</v>
      </c>
      <c r="G491" s="122">
        <f t="shared" si="68"/>
        <v>0.97197902499431277</v>
      </c>
      <c r="H491" s="122">
        <f t="shared" si="69"/>
        <v>6.6649796997919914E-3</v>
      </c>
      <c r="I491" s="122">
        <f t="shared" si="70"/>
        <v>0.97136656286719902</v>
      </c>
      <c r="J491" s="122">
        <f t="shared" si="71"/>
        <v>-2.9771778465249384E-3</v>
      </c>
      <c r="K491" s="122">
        <f t="shared" si="72"/>
        <v>9.6421575463169294E-3</v>
      </c>
      <c r="Y491" s="126">
        <f>IF($Z$1, C491, -0.2)</f>
        <v>-0.2</v>
      </c>
    </row>
    <row r="492" spans="2:25" x14ac:dyDescent="0.3">
      <c r="B492" s="12">
        <v>0.97481955427986144</v>
      </c>
      <c r="C492" s="12">
        <f t="shared" si="64"/>
        <v>1.6434711120834179E-3</v>
      </c>
      <c r="D492" s="126">
        <f t="shared" si="65"/>
        <v>4.4025195875849344E-3</v>
      </c>
      <c r="E492" s="12">
        <f t="shared" si="66"/>
        <v>-6.3868839364429053E-2</v>
      </c>
      <c r="F492" s="12">
        <f t="shared" si="67"/>
        <v>-6.3782206104291514E-2</v>
      </c>
      <c r="G492" s="122">
        <f t="shared" si="68"/>
        <v>0.97510016633831598</v>
      </c>
      <c r="H492" s="122">
        <f t="shared" si="69"/>
        <v>6.0370386365126176E-3</v>
      </c>
      <c r="I492" s="122">
        <f t="shared" si="70"/>
        <v>0.97453894222140691</v>
      </c>
      <c r="J492" s="122">
        <f t="shared" si="71"/>
        <v>-2.7500964123457821E-3</v>
      </c>
      <c r="K492" s="122">
        <f t="shared" si="72"/>
        <v>8.7871350488583997E-3</v>
      </c>
      <c r="Y492" s="126">
        <f>IF($Z$1, C492, -0.2)</f>
        <v>-0.2</v>
      </c>
    </row>
    <row r="493" spans="2:25" x14ac:dyDescent="0.3">
      <c r="B493" s="12">
        <v>0.977966564146873</v>
      </c>
      <c r="C493" s="12">
        <f t="shared" si="64"/>
        <v>1.4419250404588075E-3</v>
      </c>
      <c r="D493" s="126">
        <f t="shared" si="65"/>
        <v>3.9721089487397953E-3</v>
      </c>
      <c r="E493" s="12">
        <f t="shared" si="66"/>
        <v>-6.4218507127430338E-2</v>
      </c>
      <c r="F493" s="12">
        <f t="shared" si="67"/>
        <v>-6.4130445527740429E-2</v>
      </c>
      <c r="G493" s="122">
        <f t="shared" si="68"/>
        <v>0.9782211226919314</v>
      </c>
      <c r="H493" s="122">
        <f t="shared" si="69"/>
        <v>5.4058687140995541E-3</v>
      </c>
      <c r="I493" s="122">
        <f t="shared" si="70"/>
        <v>0.97771200560181459</v>
      </c>
      <c r="J493" s="122">
        <f t="shared" si="71"/>
        <v>-2.5220186331819392E-3</v>
      </c>
      <c r="K493" s="122">
        <f t="shared" si="72"/>
        <v>7.9278873472814933E-3</v>
      </c>
      <c r="Y493" s="126">
        <f>IF($Z$1, C493, -0.2)</f>
        <v>-0.2</v>
      </c>
    </row>
    <row r="494" spans="2:25" x14ac:dyDescent="0.3">
      <c r="B494" s="12">
        <v>0.98111379234746177</v>
      </c>
      <c r="C494" s="12">
        <f t="shared" si="64"/>
        <v>1.2392644635306144E-3</v>
      </c>
      <c r="D494" s="126">
        <f t="shared" si="65"/>
        <v>3.5395693659827782E-3</v>
      </c>
      <c r="E494" s="12">
        <f t="shared" si="66"/>
        <v>-6.4568199149717981E-2</v>
      </c>
      <c r="F494" s="12">
        <f t="shared" si="67"/>
        <v>-6.4478693534808534E-2</v>
      </c>
      <c r="G494" s="122">
        <f t="shared" si="68"/>
        <v>0.98134186104649435</v>
      </c>
      <c r="H494" s="122">
        <f t="shared" si="69"/>
        <v>4.7714784951438305E-3</v>
      </c>
      <c r="I494" s="122">
        <f t="shared" si="70"/>
        <v>0.98088572364842919</v>
      </c>
      <c r="J494" s="122">
        <f t="shared" si="71"/>
        <v>-2.2929495680826016E-3</v>
      </c>
      <c r="K494" s="122">
        <f t="shared" si="72"/>
        <v>7.0644280632264321E-3</v>
      </c>
      <c r="Y494" s="126">
        <f>IF($Z$1, C494, -0.2)</f>
        <v>-0.2</v>
      </c>
    </row>
    <row r="495" spans="2:25" x14ac:dyDescent="0.3">
      <c r="B495" s="12">
        <v>0.98426120769513414</v>
      </c>
      <c r="C495" s="12">
        <f t="shared" si="64"/>
        <v>1.0354911768124038E-3</v>
      </c>
      <c r="D495" s="126">
        <f t="shared" si="65"/>
        <v>3.1049074476692212E-3</v>
      </c>
      <c r="E495" s="12">
        <f t="shared" si="66"/>
        <v>-6.4917911966126021E-2</v>
      </c>
      <c r="F495" s="12">
        <f t="shared" si="67"/>
        <v>-6.4826946588203413E-2</v>
      </c>
      <c r="G495" s="122">
        <f t="shared" si="68"/>
        <v>0.98446234841188363</v>
      </c>
      <c r="H495" s="122">
        <f t="shared" si="69"/>
        <v>4.1338766710105205E-3</v>
      </c>
      <c r="I495" s="122">
        <f t="shared" si="70"/>
        <v>0.98406006697838466</v>
      </c>
      <c r="J495" s="122">
        <f t="shared" si="71"/>
        <v>-2.0628943173857123E-3</v>
      </c>
      <c r="K495" s="122">
        <f t="shared" si="72"/>
        <v>6.1967709883962328E-3</v>
      </c>
      <c r="Y495" s="126">
        <f>IF($Z$1, C495, -0.2)</f>
        <v>-0.2</v>
      </c>
    </row>
    <row r="496" spans="2:25" x14ac:dyDescent="0.3">
      <c r="B496" s="12">
        <v>0.98740877900154345</v>
      </c>
      <c r="C496" s="12">
        <f t="shared" si="64"/>
        <v>8.3060701955088123E-4</v>
      </c>
      <c r="D496" s="126">
        <f t="shared" si="65"/>
        <v>2.6681298864611337E-3</v>
      </c>
      <c r="E496" s="12">
        <f t="shared" si="66"/>
        <v>-6.5267642111282609E-2</v>
      </c>
      <c r="F496" s="12">
        <f t="shared" si="67"/>
        <v>-6.5175201151041154E-2</v>
      </c>
      <c r="G496" s="122">
        <f t="shared" si="68"/>
        <v>0.98758255181703547</v>
      </c>
      <c r="H496" s="122">
        <f t="shared" si="69"/>
        <v>3.4930720615041246E-3</v>
      </c>
      <c r="I496" s="122">
        <f t="shared" si="70"/>
        <v>0.98723500618605142</v>
      </c>
      <c r="J496" s="122">
        <f t="shared" si="71"/>
        <v>-1.8318580224023619E-3</v>
      </c>
      <c r="K496" s="122">
        <f t="shared" si="72"/>
        <v>5.3249300839064862E-3</v>
      </c>
      <c r="Y496" s="126">
        <f>IF($Z$1, C496, -0.2)</f>
        <v>-0.2</v>
      </c>
    </row>
    <row r="497" spans="2:25" x14ac:dyDescent="0.3">
      <c r="B497" s="12">
        <v>0.99055647507679634</v>
      </c>
      <c r="C497" s="12">
        <f t="shared" si="64"/>
        <v>6.2461387471495714E-4</v>
      </c>
      <c r="D497" s="126">
        <f t="shared" si="65"/>
        <v>2.2292434590316383E-3</v>
      </c>
      <c r="E497" s="12">
        <f t="shared" si="66"/>
        <v>-6.5617386119644044E-2</v>
      </c>
      <c r="F497" s="12">
        <f t="shared" si="67"/>
        <v>-6.5523453686888763E-2</v>
      </c>
      <c r="G497" s="122">
        <f t="shared" si="68"/>
        <v>0.99070243831045135</v>
      </c>
      <c r="H497" s="122">
        <f t="shared" si="69"/>
        <v>2.8490736145296192E-3</v>
      </c>
      <c r="I497" s="122">
        <f t="shared" si="70"/>
        <v>0.99041051184314133</v>
      </c>
      <c r="J497" s="122">
        <f t="shared" si="71"/>
        <v>-1.5998458650997049E-3</v>
      </c>
      <c r="K497" s="122">
        <f t="shared" si="72"/>
        <v>4.4489194796293241E-3</v>
      </c>
      <c r="Y497" s="126">
        <f>IF($Z$1, C497, -0.2)</f>
        <v>-0.2</v>
      </c>
    </row>
    <row r="498" spans="2:25" x14ac:dyDescent="0.3">
      <c r="B498" s="12">
        <v>0.99370426472976414</v>
      </c>
      <c r="C498" s="12">
        <f t="shared" si="64"/>
        <v>4.1751366898278795E-4</v>
      </c>
      <c r="D498" s="126">
        <f t="shared" si="65"/>
        <v>1.7882550257653541E-3</v>
      </c>
      <c r="E498" s="12">
        <f t="shared" si="66"/>
        <v>-6.596714052552935E-2</v>
      </c>
      <c r="F498" s="12">
        <f t="shared" si="67"/>
        <v>-6.5871700659807089E-2</v>
      </c>
      <c r="G498" s="122">
        <f t="shared" si="68"/>
        <v>0.99382197496070879</v>
      </c>
      <c r="H498" s="122">
        <f t="shared" si="69"/>
        <v>2.2018904057471995E-3</v>
      </c>
      <c r="I498" s="122">
        <f t="shared" si="70"/>
        <v>0.9935865544988195</v>
      </c>
      <c r="J498" s="122">
        <f t="shared" si="71"/>
        <v>-1.3668630677816237E-3</v>
      </c>
      <c r="K498" s="122">
        <f t="shared" si="72"/>
        <v>3.5687534735288234E-3</v>
      </c>
      <c r="Y498" s="126">
        <f>IF($Z$1, C498, -0.2)</f>
        <v>-0.2</v>
      </c>
    </row>
    <row r="499" spans="2:25" x14ac:dyDescent="0.3">
      <c r="B499" s="12">
        <v>0.99685211676839014</v>
      </c>
      <c r="C499" s="12">
        <f t="shared" si="64"/>
        <v>2.0930837272733731E-4</v>
      </c>
      <c r="D499" s="126">
        <f t="shared" si="65"/>
        <v>1.3451715304559613E-3</v>
      </c>
      <c r="E499" s="12">
        <f t="shared" si="66"/>
        <v>-6.6316901863154462E-2</v>
      </c>
      <c r="F499" s="12">
        <f t="shared" si="67"/>
        <v>-6.6219938534393341E-2</v>
      </c>
      <c r="G499" s="122">
        <f t="shared" si="68"/>
        <v>0.9969411288569664</v>
      </c>
      <c r="H499" s="122">
        <f t="shared" si="69"/>
        <v>1.5515316382225084E-3</v>
      </c>
      <c r="I499" s="122">
        <f t="shared" si="70"/>
        <v>0.99676310467981388</v>
      </c>
      <c r="J499" s="122">
        <f t="shared" si="71"/>
        <v>-1.1329148927678337E-3</v>
      </c>
      <c r="K499" s="122">
        <f t="shared" si="72"/>
        <v>2.684446530990342E-3</v>
      </c>
      <c r="Y499" s="126">
        <f>IF($Z$1, C499, -0.2)</f>
        <v>-0.2</v>
      </c>
    </row>
    <row r="500" spans="2:25" x14ac:dyDescent="0.3">
      <c r="B500" s="12">
        <v>0.99999999999999989</v>
      </c>
      <c r="C500" s="12">
        <f t="shared" si="64"/>
        <v>6.1679056923619812E-18</v>
      </c>
      <c r="D500" s="126">
        <f t="shared" si="65"/>
        <v>9.000000000000157E-4</v>
      </c>
      <c r="E500" s="12">
        <f t="shared" si="66"/>
        <v>-6.6666666666666652E-2</v>
      </c>
      <c r="F500" s="12">
        <f t="shared" si="67"/>
        <v>-6.6568163775823794E-2</v>
      </c>
      <c r="G500" s="122">
        <f t="shared" si="68"/>
        <v>1.0000598671094714</v>
      </c>
      <c r="H500" s="122">
        <f t="shared" si="69"/>
        <v>8.9800664207096987E-4</v>
      </c>
      <c r="I500" s="122">
        <f t="shared" si="70"/>
        <v>0.99994013289052852</v>
      </c>
      <c r="J500" s="122">
        <f t="shared" si="71"/>
        <v>-8.9800664207095751E-4</v>
      </c>
      <c r="K500" s="122">
        <f t="shared" si="72"/>
        <v>1.7960132841419274E-3</v>
      </c>
      <c r="Y500" s="126">
        <f>IF($Z$1, C500, -0.2)</f>
        <v>-0.2</v>
      </c>
    </row>
    <row r="501" spans="2:25" x14ac:dyDescent="0.3">
      <c r="C501" s="12"/>
      <c r="E501" s="12"/>
      <c r="F501" s="12"/>
      <c r="G501" s="122"/>
      <c r="H501" s="122"/>
      <c r="I501" s="122"/>
      <c r="J501" s="122"/>
      <c r="K501" s="122"/>
    </row>
    <row r="502" spans="2:25" x14ac:dyDescent="0.3">
      <c r="C502" s="12"/>
      <c r="E502" s="12"/>
      <c r="F502" s="12"/>
      <c r="G502" s="122"/>
      <c r="H502" s="122"/>
      <c r="I502" s="122"/>
      <c r="J502" s="122"/>
      <c r="K502" s="122"/>
    </row>
    <row r="503" spans="2:25" x14ac:dyDescent="0.3">
      <c r="C503" s="12"/>
      <c r="E503" s="12"/>
      <c r="F503" s="12"/>
      <c r="G503" s="122"/>
      <c r="H503" s="122"/>
      <c r="I503" s="122"/>
      <c r="J503" s="122"/>
      <c r="K503" s="122"/>
    </row>
    <row r="504" spans="2:25" x14ac:dyDescent="0.3">
      <c r="C504" s="12"/>
      <c r="E504" s="12"/>
      <c r="F504" s="12"/>
      <c r="G504" s="122"/>
      <c r="H504" s="122"/>
      <c r="I504" s="122"/>
      <c r="J504" s="122"/>
      <c r="K504" s="122"/>
    </row>
    <row r="505" spans="2:25" x14ac:dyDescent="0.3">
      <c r="C505" s="12"/>
      <c r="E505" s="12"/>
      <c r="F505" s="12"/>
      <c r="G505" s="122"/>
      <c r="H505" s="122"/>
      <c r="I505" s="122"/>
      <c r="J505" s="122"/>
      <c r="K505" s="122"/>
    </row>
    <row r="506" spans="2:25" x14ac:dyDescent="0.3">
      <c r="C506" s="12"/>
      <c r="E506" s="12"/>
      <c r="F506" s="12"/>
      <c r="G506" s="122"/>
      <c r="H506" s="122"/>
      <c r="I506" s="122"/>
      <c r="J506" s="122"/>
      <c r="K506" s="122"/>
    </row>
    <row r="507" spans="2:25" x14ac:dyDescent="0.3">
      <c r="C507" s="12"/>
      <c r="E507" s="12"/>
      <c r="F507" s="12"/>
      <c r="G507" s="122"/>
      <c r="H507" s="122"/>
      <c r="I507" s="122"/>
      <c r="J507" s="122"/>
      <c r="K507" s="122"/>
    </row>
    <row r="508" spans="2:25" x14ac:dyDescent="0.3">
      <c r="C508" s="12"/>
      <c r="E508" s="12"/>
      <c r="F508" s="12"/>
      <c r="G508" s="122"/>
      <c r="H508" s="122"/>
      <c r="I508" s="122"/>
      <c r="J508" s="122"/>
      <c r="K508" s="122"/>
    </row>
    <row r="509" spans="2:25" x14ac:dyDescent="0.3">
      <c r="C509" s="12"/>
      <c r="E509" s="12"/>
      <c r="F509" s="12"/>
      <c r="G509" s="122"/>
      <c r="H509" s="122"/>
      <c r="I509" s="122"/>
      <c r="J509" s="122"/>
      <c r="K509" s="122"/>
    </row>
    <row r="510" spans="2:25" x14ac:dyDescent="0.3">
      <c r="C510" s="12"/>
      <c r="E510" s="12"/>
      <c r="F510" s="12"/>
      <c r="G510" s="122"/>
      <c r="H510" s="122"/>
      <c r="I510" s="122"/>
      <c r="J510" s="122"/>
      <c r="K510" s="122"/>
    </row>
    <row r="511" spans="2:25" x14ac:dyDescent="0.3">
      <c r="C511" s="12"/>
      <c r="E511" s="12"/>
      <c r="F511" s="12"/>
      <c r="G511" s="122"/>
      <c r="H511" s="122"/>
      <c r="I511" s="122"/>
      <c r="J511" s="122"/>
      <c r="K511" s="122"/>
    </row>
    <row r="512" spans="2:25" x14ac:dyDescent="0.3">
      <c r="C512" s="12"/>
      <c r="E512" s="12"/>
      <c r="F512" s="12"/>
      <c r="G512" s="122"/>
      <c r="H512" s="122"/>
      <c r="I512" s="122"/>
      <c r="J512" s="122"/>
      <c r="K512" s="122"/>
    </row>
    <row r="513" spans="3:11" x14ac:dyDescent="0.3">
      <c r="C513" s="12"/>
      <c r="E513" s="12"/>
      <c r="F513" s="12"/>
      <c r="G513" s="122"/>
      <c r="H513" s="122"/>
      <c r="I513" s="122"/>
      <c r="J513" s="122"/>
      <c r="K513" s="122"/>
    </row>
    <row r="514" spans="3:11" x14ac:dyDescent="0.3">
      <c r="C514" s="12"/>
      <c r="E514" s="12"/>
      <c r="F514" s="12"/>
      <c r="G514" s="122"/>
      <c r="H514" s="122"/>
      <c r="I514" s="122"/>
      <c r="J514" s="122"/>
      <c r="K514" s="122"/>
    </row>
    <row r="515" spans="3:11" x14ac:dyDescent="0.3">
      <c r="C515" s="12"/>
      <c r="E515" s="12"/>
      <c r="F515" s="12"/>
      <c r="G515" s="122"/>
      <c r="H515" s="122"/>
      <c r="I515" s="122"/>
      <c r="J515" s="122"/>
      <c r="K515" s="122"/>
    </row>
    <row r="516" spans="3:11" x14ac:dyDescent="0.3">
      <c r="C516" s="12"/>
      <c r="E516" s="12"/>
      <c r="F516" s="12"/>
      <c r="G516" s="122"/>
      <c r="H516" s="122"/>
      <c r="I516" s="122"/>
      <c r="J516" s="122"/>
      <c r="K516" s="122"/>
    </row>
    <row r="517" spans="3:11" x14ac:dyDescent="0.3">
      <c r="C517" s="12"/>
      <c r="E517" s="12"/>
      <c r="F517" s="12"/>
      <c r="G517" s="122"/>
      <c r="H517" s="122"/>
      <c r="I517" s="122"/>
      <c r="J517" s="122"/>
      <c r="K517" s="122"/>
    </row>
    <row r="518" spans="3:11" x14ac:dyDescent="0.3">
      <c r="C518" s="12"/>
      <c r="E518" s="12"/>
      <c r="F518" s="12"/>
      <c r="G518" s="122"/>
      <c r="H518" s="122"/>
      <c r="I518" s="122"/>
      <c r="J518" s="122"/>
      <c r="K518" s="122"/>
    </row>
    <row r="519" spans="3:11" x14ac:dyDescent="0.3">
      <c r="C519" s="12"/>
      <c r="E519" s="12"/>
      <c r="F519" s="12"/>
      <c r="G519" s="122"/>
      <c r="H519" s="122"/>
      <c r="I519" s="122"/>
      <c r="J519" s="122"/>
      <c r="K519" s="122"/>
    </row>
    <row r="520" spans="3:11" x14ac:dyDescent="0.3">
      <c r="C520" s="12"/>
      <c r="E520" s="12"/>
      <c r="F520" s="12"/>
      <c r="G520" s="122"/>
      <c r="H520" s="122"/>
      <c r="I520" s="122"/>
      <c r="J520" s="122"/>
      <c r="K520" s="122"/>
    </row>
    <row r="521" spans="3:11" x14ac:dyDescent="0.3">
      <c r="C521" s="12"/>
      <c r="E521" s="12"/>
      <c r="F521" s="12"/>
      <c r="G521" s="122"/>
      <c r="H521" s="122"/>
      <c r="I521" s="122"/>
      <c r="J521" s="122"/>
      <c r="K521" s="122"/>
    </row>
    <row r="522" spans="3:11" x14ac:dyDescent="0.3">
      <c r="C522" s="12"/>
      <c r="E522" s="12"/>
      <c r="F522" s="12"/>
      <c r="G522" s="122"/>
      <c r="H522" s="122"/>
      <c r="I522" s="122"/>
      <c r="J522" s="122"/>
      <c r="K522" s="122"/>
    </row>
    <row r="523" spans="3:11" x14ac:dyDescent="0.3">
      <c r="C523" s="12"/>
      <c r="E523" s="12"/>
      <c r="F523" s="12"/>
      <c r="G523" s="122"/>
      <c r="H523" s="122"/>
      <c r="I523" s="122"/>
      <c r="J523" s="122"/>
      <c r="K523" s="122"/>
    </row>
    <row r="524" spans="3:11" x14ac:dyDescent="0.3">
      <c r="C524" s="12"/>
      <c r="E524" s="12"/>
      <c r="F524" s="12"/>
      <c r="G524" s="122"/>
      <c r="H524" s="122"/>
      <c r="I524" s="122"/>
      <c r="J524" s="122"/>
      <c r="K524" s="122"/>
    </row>
    <row r="525" spans="3:11" x14ac:dyDescent="0.3">
      <c r="C525" s="12"/>
      <c r="E525" s="12"/>
      <c r="F525" s="12"/>
      <c r="G525" s="122"/>
      <c r="H525" s="122"/>
      <c r="I525" s="122"/>
      <c r="J525" s="122"/>
      <c r="K525" s="122"/>
    </row>
    <row r="526" spans="3:11" x14ac:dyDescent="0.3">
      <c r="C526" s="12"/>
      <c r="E526" s="12"/>
      <c r="F526" s="12"/>
      <c r="G526" s="122"/>
      <c r="H526" s="122"/>
      <c r="I526" s="122"/>
      <c r="J526" s="122"/>
      <c r="K526" s="122"/>
    </row>
    <row r="527" spans="3:11" x14ac:dyDescent="0.3">
      <c r="C527" s="12"/>
      <c r="E527" s="12"/>
      <c r="F527" s="12"/>
      <c r="G527" s="122"/>
      <c r="H527" s="122"/>
      <c r="I527" s="122"/>
      <c r="J527" s="122"/>
      <c r="K527" s="122"/>
    </row>
    <row r="528" spans="3:11" x14ac:dyDescent="0.3">
      <c r="C528" s="12"/>
      <c r="E528" s="12"/>
      <c r="F528" s="12"/>
      <c r="G528" s="122"/>
      <c r="H528" s="122"/>
      <c r="I528" s="122"/>
      <c r="J528" s="122"/>
      <c r="K528" s="122"/>
    </row>
    <row r="529" spans="3:11" x14ac:dyDescent="0.3">
      <c r="C529" s="12"/>
      <c r="E529" s="12"/>
      <c r="F529" s="12"/>
      <c r="G529" s="122"/>
      <c r="H529" s="122"/>
      <c r="I529" s="122"/>
      <c r="J529" s="122"/>
      <c r="K529" s="122"/>
    </row>
    <row r="530" spans="3:11" x14ac:dyDescent="0.3">
      <c r="C530" s="12"/>
      <c r="E530" s="12"/>
      <c r="F530" s="12"/>
      <c r="G530" s="122"/>
      <c r="H530" s="122"/>
      <c r="I530" s="122"/>
      <c r="J530" s="122"/>
      <c r="K530" s="122"/>
    </row>
    <row r="531" spans="3:11" x14ac:dyDescent="0.3">
      <c r="C531" s="12"/>
      <c r="E531" s="12"/>
      <c r="F531" s="12"/>
      <c r="G531" s="122"/>
      <c r="H531" s="122"/>
      <c r="I531" s="122"/>
      <c r="J531" s="122"/>
      <c r="K531" s="122"/>
    </row>
    <row r="532" spans="3:11" x14ac:dyDescent="0.3">
      <c r="C532" s="12"/>
      <c r="E532" s="12"/>
      <c r="F532" s="12"/>
      <c r="G532" s="122"/>
      <c r="H532" s="122"/>
      <c r="I532" s="122"/>
      <c r="J532" s="122"/>
      <c r="K532" s="122"/>
    </row>
    <row r="533" spans="3:11" x14ac:dyDescent="0.3">
      <c r="C533" s="12"/>
      <c r="E533" s="12"/>
      <c r="F533" s="12"/>
      <c r="G533" s="122"/>
      <c r="H533" s="122"/>
      <c r="I533" s="122"/>
      <c r="J533" s="122"/>
      <c r="K533" s="122"/>
    </row>
    <row r="534" spans="3:11" x14ac:dyDescent="0.3">
      <c r="C534" s="12"/>
      <c r="E534" s="12"/>
      <c r="F534" s="12"/>
      <c r="G534" s="122"/>
      <c r="H534" s="122"/>
      <c r="I534" s="122"/>
      <c r="J534" s="122"/>
      <c r="K534" s="122"/>
    </row>
    <row r="535" spans="3:11" x14ac:dyDescent="0.3">
      <c r="C535" s="12"/>
      <c r="E535" s="12"/>
      <c r="F535" s="12"/>
      <c r="G535" s="122"/>
      <c r="H535" s="122"/>
      <c r="I535" s="122"/>
      <c r="J535" s="122"/>
      <c r="K535" s="122"/>
    </row>
    <row r="536" spans="3:11" x14ac:dyDescent="0.3">
      <c r="C536" s="12"/>
      <c r="E536" s="12"/>
      <c r="F536" s="12"/>
      <c r="G536" s="122"/>
      <c r="H536" s="122"/>
      <c r="I536" s="122"/>
      <c r="J536" s="122"/>
      <c r="K536" s="122"/>
    </row>
    <row r="537" spans="3:11" x14ac:dyDescent="0.3">
      <c r="C537" s="12"/>
      <c r="E537" s="12"/>
      <c r="F537" s="12"/>
      <c r="G537" s="122"/>
      <c r="H537" s="122"/>
      <c r="I537" s="122"/>
      <c r="J537" s="122"/>
      <c r="K537" s="122"/>
    </row>
    <row r="538" spans="3:11" x14ac:dyDescent="0.3">
      <c r="C538" s="12"/>
      <c r="E538" s="12"/>
      <c r="F538" s="12"/>
      <c r="G538" s="122"/>
      <c r="H538" s="122"/>
      <c r="I538" s="122"/>
      <c r="J538" s="122"/>
      <c r="K538" s="122"/>
    </row>
    <row r="539" spans="3:11" x14ac:dyDescent="0.3">
      <c r="C539" s="12"/>
      <c r="E539" s="12"/>
      <c r="F539" s="12"/>
      <c r="G539" s="122"/>
      <c r="H539" s="122"/>
      <c r="I539" s="122"/>
      <c r="J539" s="122"/>
      <c r="K539" s="122"/>
    </row>
    <row r="540" spans="3:11" x14ac:dyDescent="0.3">
      <c r="C540" s="12"/>
      <c r="E540" s="12"/>
      <c r="F540" s="12"/>
      <c r="G540" s="122"/>
      <c r="H540" s="122"/>
      <c r="I540" s="122"/>
      <c r="J540" s="122"/>
      <c r="K540" s="122"/>
    </row>
    <row r="541" spans="3:11" x14ac:dyDescent="0.3">
      <c r="C541" s="12"/>
      <c r="E541" s="12"/>
      <c r="F541" s="12"/>
      <c r="G541" s="122"/>
      <c r="H541" s="122"/>
      <c r="I541" s="122"/>
      <c r="J541" s="122"/>
      <c r="K541" s="122"/>
    </row>
    <row r="542" spans="3:11" x14ac:dyDescent="0.3">
      <c r="C542" s="12"/>
      <c r="E542" s="12"/>
      <c r="F542" s="12"/>
      <c r="G542" s="122"/>
      <c r="H542" s="122"/>
      <c r="I542" s="122"/>
      <c r="J542" s="122"/>
      <c r="K542" s="122"/>
    </row>
    <row r="543" spans="3:11" x14ac:dyDescent="0.3">
      <c r="C543" s="12"/>
      <c r="E543" s="12"/>
      <c r="F543" s="12"/>
      <c r="G543" s="122"/>
      <c r="H543" s="122"/>
      <c r="I543" s="122"/>
      <c r="J543" s="122"/>
      <c r="K543" s="122"/>
    </row>
    <row r="544" spans="3:11" x14ac:dyDescent="0.3">
      <c r="C544" s="12"/>
      <c r="E544" s="12"/>
      <c r="F544" s="12"/>
      <c r="G544" s="122"/>
      <c r="H544" s="122"/>
      <c r="I544" s="122"/>
      <c r="J544" s="122"/>
      <c r="K544" s="122"/>
    </row>
    <row r="545" spans="3:11" x14ac:dyDescent="0.3">
      <c r="C545" s="12"/>
      <c r="E545" s="12"/>
      <c r="F545" s="12"/>
      <c r="G545" s="122"/>
      <c r="H545" s="122"/>
      <c r="I545" s="122"/>
      <c r="J545" s="122"/>
      <c r="K545" s="122"/>
    </row>
    <row r="546" spans="3:11" x14ac:dyDescent="0.3">
      <c r="C546" s="12"/>
      <c r="E546" s="12"/>
      <c r="F546" s="12"/>
      <c r="G546" s="122"/>
      <c r="H546" s="122"/>
      <c r="I546" s="122"/>
      <c r="J546" s="122"/>
      <c r="K546" s="122"/>
    </row>
    <row r="547" spans="3:11" x14ac:dyDescent="0.3">
      <c r="C547" s="12"/>
      <c r="E547" s="12"/>
      <c r="F547" s="12"/>
      <c r="G547" s="122"/>
      <c r="H547" s="122"/>
      <c r="I547" s="122"/>
      <c r="J547" s="122"/>
      <c r="K547" s="122"/>
    </row>
    <row r="548" spans="3:11" x14ac:dyDescent="0.3">
      <c r="C548" s="12"/>
      <c r="E548" s="12"/>
      <c r="F548" s="12"/>
      <c r="G548" s="122"/>
      <c r="H548" s="122"/>
      <c r="I548" s="122"/>
      <c r="J548" s="122"/>
      <c r="K548" s="122"/>
    </row>
    <row r="549" spans="3:11" x14ac:dyDescent="0.3">
      <c r="C549" s="12"/>
      <c r="E549" s="12"/>
      <c r="F549" s="12"/>
      <c r="G549" s="122"/>
      <c r="H549" s="122"/>
      <c r="I549" s="122"/>
      <c r="J549" s="122"/>
      <c r="K549" s="122"/>
    </row>
    <row r="550" spans="3:11" x14ac:dyDescent="0.3">
      <c r="C550" s="12"/>
      <c r="E550" s="12"/>
      <c r="F550" s="12"/>
      <c r="G550" s="122"/>
      <c r="H550" s="122"/>
      <c r="I550" s="122"/>
      <c r="J550" s="122"/>
      <c r="K550" s="122"/>
    </row>
    <row r="551" spans="3:11" x14ac:dyDescent="0.3">
      <c r="C551" s="12"/>
      <c r="E551" s="12"/>
      <c r="F551" s="12"/>
      <c r="G551" s="122"/>
      <c r="H551" s="122"/>
      <c r="I551" s="122"/>
      <c r="J551" s="122"/>
      <c r="K551" s="122"/>
    </row>
    <row r="552" spans="3:11" x14ac:dyDescent="0.3">
      <c r="C552" s="12"/>
      <c r="E552" s="12"/>
      <c r="F552" s="12"/>
      <c r="G552" s="122"/>
      <c r="H552" s="122"/>
      <c r="I552" s="122"/>
      <c r="J552" s="122"/>
      <c r="K552" s="122"/>
    </row>
    <row r="553" spans="3:11" x14ac:dyDescent="0.3">
      <c r="C553" s="12"/>
      <c r="E553" s="12"/>
      <c r="F553" s="12"/>
      <c r="G553" s="122"/>
      <c r="H553" s="122"/>
      <c r="I553" s="122"/>
      <c r="J553" s="122"/>
      <c r="K553" s="122"/>
    </row>
    <row r="554" spans="3:11" x14ac:dyDescent="0.3">
      <c r="C554" s="12"/>
      <c r="E554" s="12"/>
      <c r="F554" s="12"/>
      <c r="G554" s="122"/>
      <c r="H554" s="122"/>
      <c r="I554" s="122"/>
      <c r="J554" s="122"/>
      <c r="K554" s="122"/>
    </row>
    <row r="555" spans="3:11" x14ac:dyDescent="0.3">
      <c r="C555" s="12"/>
      <c r="E555" s="12"/>
      <c r="F555" s="12"/>
      <c r="G555" s="122"/>
      <c r="H555" s="122"/>
      <c r="I555" s="122"/>
      <c r="J555" s="122"/>
      <c r="K555" s="122"/>
    </row>
    <row r="556" spans="3:11" x14ac:dyDescent="0.3">
      <c r="C556" s="12"/>
      <c r="E556" s="12"/>
      <c r="F556" s="12"/>
      <c r="G556" s="122"/>
      <c r="H556" s="122"/>
      <c r="I556" s="122"/>
      <c r="J556" s="122"/>
      <c r="K556" s="122"/>
    </row>
    <row r="557" spans="3:11" x14ac:dyDescent="0.3">
      <c r="C557" s="12"/>
      <c r="E557" s="12"/>
      <c r="F557" s="12"/>
      <c r="G557" s="122"/>
      <c r="H557" s="122"/>
      <c r="I557" s="122"/>
      <c r="J557" s="122"/>
      <c r="K557" s="122"/>
    </row>
    <row r="558" spans="3:11" x14ac:dyDescent="0.3">
      <c r="C558" s="12"/>
      <c r="E558" s="12"/>
      <c r="F558" s="12"/>
      <c r="G558" s="122"/>
      <c r="H558" s="122"/>
      <c r="I558" s="122"/>
      <c r="J558" s="122"/>
      <c r="K558" s="122"/>
    </row>
    <row r="559" spans="3:11" x14ac:dyDescent="0.3">
      <c r="C559" s="12"/>
      <c r="E559" s="12"/>
      <c r="F559" s="12"/>
      <c r="G559" s="122"/>
      <c r="H559" s="122"/>
      <c r="I559" s="122"/>
      <c r="J559" s="122"/>
      <c r="K559" s="122"/>
    </row>
    <row r="560" spans="3:11" x14ac:dyDescent="0.3">
      <c r="C560" s="12"/>
      <c r="E560" s="12"/>
      <c r="F560" s="12"/>
      <c r="G560" s="122"/>
      <c r="H560" s="122"/>
      <c r="I560" s="122"/>
      <c r="J560" s="122"/>
      <c r="K560" s="122"/>
    </row>
    <row r="561" spans="3:11" x14ac:dyDescent="0.3">
      <c r="C561" s="12"/>
      <c r="E561" s="12"/>
      <c r="F561" s="12"/>
      <c r="G561" s="122"/>
      <c r="H561" s="122"/>
      <c r="I561" s="122"/>
      <c r="J561" s="122"/>
      <c r="K561" s="122"/>
    </row>
    <row r="562" spans="3:11" x14ac:dyDescent="0.3">
      <c r="C562" s="12"/>
      <c r="E562" s="12"/>
      <c r="F562" s="12"/>
      <c r="G562" s="122"/>
      <c r="H562" s="122"/>
      <c r="I562" s="122"/>
      <c r="J562" s="122"/>
      <c r="K562" s="122"/>
    </row>
    <row r="563" spans="3:11" x14ac:dyDescent="0.3">
      <c r="C563" s="12"/>
      <c r="E563" s="12"/>
      <c r="F563" s="12"/>
      <c r="G563" s="122"/>
      <c r="H563" s="122"/>
      <c r="I563" s="122"/>
      <c r="J563" s="122"/>
      <c r="K563" s="122"/>
    </row>
    <row r="564" spans="3:11" x14ac:dyDescent="0.3">
      <c r="C564" s="12"/>
      <c r="E564" s="12"/>
      <c r="F564" s="12"/>
      <c r="G564" s="122"/>
      <c r="H564" s="122"/>
      <c r="I564" s="122"/>
      <c r="J564" s="122"/>
      <c r="K564" s="122"/>
    </row>
    <row r="565" spans="3:11" x14ac:dyDescent="0.3">
      <c r="C565" s="12"/>
      <c r="E565" s="12"/>
      <c r="F565" s="12"/>
      <c r="G565" s="122"/>
      <c r="H565" s="122"/>
      <c r="I565" s="122"/>
      <c r="J565" s="122"/>
      <c r="K565" s="122"/>
    </row>
    <row r="566" spans="3:11" x14ac:dyDescent="0.3">
      <c r="C566" s="12"/>
      <c r="E566" s="12"/>
      <c r="F566" s="12"/>
      <c r="G566" s="122"/>
      <c r="H566" s="122"/>
      <c r="I566" s="122"/>
      <c r="J566" s="122"/>
      <c r="K566" s="122"/>
    </row>
    <row r="567" spans="3:11" x14ac:dyDescent="0.3">
      <c r="C567" s="12"/>
      <c r="E567" s="12"/>
      <c r="F567" s="12"/>
      <c r="G567" s="122"/>
      <c r="H567" s="122"/>
      <c r="I567" s="122"/>
      <c r="J567" s="122"/>
      <c r="K567" s="122"/>
    </row>
    <row r="568" spans="3:11" x14ac:dyDescent="0.3">
      <c r="C568" s="12"/>
      <c r="E568" s="12"/>
      <c r="F568" s="12"/>
      <c r="G568" s="122"/>
      <c r="H568" s="122"/>
      <c r="I568" s="122"/>
      <c r="J568" s="122"/>
      <c r="K568" s="122"/>
    </row>
    <row r="569" spans="3:11" x14ac:dyDescent="0.3">
      <c r="C569" s="12"/>
      <c r="E569" s="12"/>
      <c r="F569" s="12"/>
      <c r="G569" s="122"/>
      <c r="H569" s="122"/>
      <c r="I569" s="122"/>
      <c r="J569" s="122"/>
      <c r="K569" s="122"/>
    </row>
    <row r="570" spans="3:11" x14ac:dyDescent="0.3">
      <c r="C570" s="12"/>
      <c r="E570" s="12"/>
      <c r="F570" s="12"/>
      <c r="G570" s="122"/>
      <c r="H570" s="122"/>
      <c r="I570" s="122"/>
      <c r="J570" s="122"/>
      <c r="K570" s="122"/>
    </row>
    <row r="571" spans="3:11" x14ac:dyDescent="0.3">
      <c r="C571" s="12"/>
      <c r="E571" s="12"/>
      <c r="F571" s="12"/>
      <c r="G571" s="122"/>
      <c r="H571" s="122"/>
      <c r="I571" s="122"/>
      <c r="J571" s="122"/>
      <c r="K571" s="122"/>
    </row>
    <row r="572" spans="3:11" x14ac:dyDescent="0.3">
      <c r="C572" s="12"/>
      <c r="E572" s="12"/>
      <c r="F572" s="12"/>
      <c r="G572" s="122"/>
      <c r="H572" s="122"/>
      <c r="I572" s="122"/>
      <c r="J572" s="122"/>
      <c r="K572" s="122"/>
    </row>
    <row r="573" spans="3:11" x14ac:dyDescent="0.3">
      <c r="C573" s="12"/>
      <c r="E573" s="12"/>
      <c r="F573" s="12"/>
      <c r="G573" s="122"/>
      <c r="H573" s="122"/>
      <c r="I573" s="122"/>
      <c r="J573" s="122"/>
      <c r="K573" s="122"/>
    </row>
    <row r="574" spans="3:11" x14ac:dyDescent="0.3">
      <c r="C574" s="12"/>
      <c r="E574" s="12"/>
      <c r="F574" s="12"/>
      <c r="G574" s="122"/>
      <c r="H574" s="122"/>
      <c r="I574" s="122"/>
      <c r="J574" s="122"/>
      <c r="K574" s="122"/>
    </row>
    <row r="575" spans="3:11" x14ac:dyDescent="0.3">
      <c r="C575" s="12"/>
      <c r="E575" s="12"/>
      <c r="F575" s="12"/>
      <c r="G575" s="122"/>
      <c r="H575" s="122"/>
      <c r="I575" s="122"/>
      <c r="J575" s="122"/>
      <c r="K575" s="122"/>
    </row>
    <row r="576" spans="3:11" x14ac:dyDescent="0.3">
      <c r="C576" s="12"/>
      <c r="E576" s="12"/>
      <c r="F576" s="12"/>
      <c r="G576" s="122"/>
      <c r="H576" s="122"/>
      <c r="I576" s="122"/>
      <c r="J576" s="122"/>
      <c r="K576" s="122"/>
    </row>
    <row r="577" spans="3:11" x14ac:dyDescent="0.3">
      <c r="C577" s="12"/>
      <c r="E577" s="12"/>
      <c r="F577" s="12"/>
      <c r="G577" s="122"/>
      <c r="H577" s="122"/>
      <c r="I577" s="122"/>
      <c r="J577" s="122"/>
      <c r="K577" s="122"/>
    </row>
    <row r="578" spans="3:11" x14ac:dyDescent="0.3">
      <c r="C578" s="12"/>
      <c r="E578" s="12"/>
      <c r="F578" s="12"/>
      <c r="G578" s="122"/>
      <c r="H578" s="122"/>
      <c r="I578" s="122"/>
      <c r="J578" s="122"/>
      <c r="K578" s="122"/>
    </row>
    <row r="579" spans="3:11" x14ac:dyDescent="0.3">
      <c r="C579" s="12"/>
      <c r="E579" s="12"/>
      <c r="F579" s="12"/>
      <c r="G579" s="122"/>
      <c r="H579" s="122"/>
      <c r="I579" s="122"/>
      <c r="J579" s="122"/>
      <c r="K579" s="122"/>
    </row>
    <row r="580" spans="3:11" x14ac:dyDescent="0.3">
      <c r="C580" s="12"/>
      <c r="E580" s="12"/>
      <c r="F580" s="12"/>
      <c r="G580" s="122"/>
      <c r="H580" s="122"/>
      <c r="I580" s="122"/>
      <c r="J580" s="122"/>
      <c r="K580" s="122"/>
    </row>
    <row r="581" spans="3:11" x14ac:dyDescent="0.3">
      <c r="C581" s="12"/>
      <c r="E581" s="12"/>
      <c r="F581" s="12"/>
      <c r="G581" s="122"/>
      <c r="H581" s="122"/>
      <c r="I581" s="122"/>
      <c r="J581" s="122"/>
      <c r="K581" s="122"/>
    </row>
    <row r="582" spans="3:11" x14ac:dyDescent="0.3">
      <c r="C582" s="12"/>
      <c r="E582" s="12"/>
      <c r="F582" s="12"/>
      <c r="G582" s="122"/>
      <c r="H582" s="122"/>
      <c r="I582" s="122"/>
      <c r="J582" s="122"/>
      <c r="K582" s="122"/>
    </row>
    <row r="583" spans="3:11" x14ac:dyDescent="0.3">
      <c r="C583" s="12"/>
      <c r="E583" s="12"/>
      <c r="F583" s="12"/>
      <c r="G583" s="122"/>
      <c r="H583" s="122"/>
      <c r="I583" s="122"/>
      <c r="J583" s="122"/>
      <c r="K583" s="122"/>
    </row>
    <row r="584" spans="3:11" x14ac:dyDescent="0.3">
      <c r="C584" s="12"/>
      <c r="E584" s="12"/>
      <c r="F584" s="12"/>
      <c r="G584" s="122"/>
      <c r="H584" s="122"/>
      <c r="I584" s="122"/>
      <c r="J584" s="122"/>
      <c r="K584" s="122"/>
    </row>
    <row r="585" spans="3:11" x14ac:dyDescent="0.3">
      <c r="C585" s="12"/>
      <c r="E585" s="12"/>
      <c r="F585" s="12"/>
      <c r="G585" s="122"/>
      <c r="H585" s="122"/>
      <c r="I585" s="122"/>
      <c r="J585" s="122"/>
      <c r="K585" s="122"/>
    </row>
    <row r="586" spans="3:11" x14ac:dyDescent="0.3">
      <c r="C586" s="12"/>
      <c r="E586" s="12"/>
      <c r="F586" s="12"/>
      <c r="G586" s="122"/>
      <c r="H586" s="122"/>
      <c r="I586" s="122"/>
      <c r="J586" s="122"/>
      <c r="K586" s="122"/>
    </row>
    <row r="587" spans="3:11" x14ac:dyDescent="0.3">
      <c r="C587" s="12"/>
      <c r="E587" s="12"/>
      <c r="F587" s="12"/>
      <c r="G587" s="122"/>
      <c r="H587" s="122"/>
      <c r="I587" s="122"/>
      <c r="J587" s="122"/>
      <c r="K587" s="122"/>
    </row>
    <row r="588" spans="3:11" x14ac:dyDescent="0.3">
      <c r="C588" s="12"/>
      <c r="E588" s="12"/>
      <c r="F588" s="12"/>
      <c r="G588" s="122"/>
      <c r="H588" s="122"/>
      <c r="I588" s="122"/>
      <c r="J588" s="122"/>
      <c r="K588" s="122"/>
    </row>
    <row r="589" spans="3:11" x14ac:dyDescent="0.3">
      <c r="C589" s="12"/>
      <c r="E589" s="12"/>
      <c r="F589" s="12"/>
      <c r="G589" s="122"/>
      <c r="H589" s="122"/>
      <c r="I589" s="122"/>
      <c r="J589" s="122"/>
      <c r="K589" s="122"/>
    </row>
    <row r="590" spans="3:11" x14ac:dyDescent="0.3">
      <c r="C590" s="12"/>
      <c r="E590" s="12"/>
      <c r="F590" s="12"/>
      <c r="G590" s="122"/>
      <c r="H590" s="122"/>
      <c r="I590" s="122"/>
      <c r="J590" s="122"/>
      <c r="K590" s="122"/>
    </row>
    <row r="591" spans="3:11" x14ac:dyDescent="0.3">
      <c r="C591" s="12"/>
      <c r="E591" s="12"/>
      <c r="F591" s="12"/>
      <c r="G591" s="122"/>
      <c r="H591" s="122"/>
      <c r="I591" s="122"/>
      <c r="J591" s="122"/>
      <c r="K591" s="122"/>
    </row>
    <row r="592" spans="3:11" x14ac:dyDescent="0.3">
      <c r="C592" s="12"/>
      <c r="E592" s="12"/>
      <c r="F592" s="12"/>
      <c r="G592" s="122"/>
      <c r="H592" s="122"/>
      <c r="I592" s="122"/>
      <c r="J592" s="122"/>
      <c r="K592" s="122"/>
    </row>
    <row r="593" spans="3:11" x14ac:dyDescent="0.3">
      <c r="C593" s="12"/>
      <c r="E593" s="12"/>
      <c r="F593" s="12"/>
      <c r="G593" s="122"/>
      <c r="H593" s="122"/>
      <c r="I593" s="122"/>
      <c r="J593" s="122"/>
      <c r="K593" s="122"/>
    </row>
    <row r="594" spans="3:11" x14ac:dyDescent="0.3">
      <c r="C594" s="12"/>
      <c r="E594" s="12"/>
      <c r="F594" s="12"/>
      <c r="G594" s="122"/>
      <c r="H594" s="122"/>
      <c r="I594" s="122"/>
      <c r="J594" s="122"/>
      <c r="K594" s="122"/>
    </row>
    <row r="595" spans="3:11" x14ac:dyDescent="0.3">
      <c r="C595" s="12"/>
      <c r="E595" s="12"/>
      <c r="F595" s="12"/>
      <c r="G595" s="122"/>
      <c r="H595" s="122"/>
      <c r="I595" s="122"/>
      <c r="J595" s="122"/>
      <c r="K595" s="122"/>
    </row>
    <row r="596" spans="3:11" x14ac:dyDescent="0.3">
      <c r="C596" s="12"/>
      <c r="E596" s="12"/>
      <c r="F596" s="12"/>
      <c r="G596" s="122"/>
      <c r="H596" s="122"/>
      <c r="I596" s="122"/>
      <c r="J596" s="122"/>
      <c r="K596" s="122"/>
    </row>
    <row r="597" spans="3:11" x14ac:dyDescent="0.3">
      <c r="C597" s="12"/>
      <c r="E597" s="12"/>
      <c r="F597" s="12"/>
      <c r="G597" s="122"/>
      <c r="H597" s="122"/>
      <c r="I597" s="122"/>
      <c r="J597" s="122"/>
      <c r="K597" s="122"/>
    </row>
    <row r="598" spans="3:11" x14ac:dyDescent="0.3">
      <c r="C598" s="12"/>
      <c r="E598" s="12"/>
      <c r="F598" s="12"/>
      <c r="G598" s="122"/>
      <c r="H598" s="122"/>
      <c r="I598" s="122"/>
      <c r="J598" s="122"/>
      <c r="K598" s="122"/>
    </row>
    <row r="599" spans="3:11" x14ac:dyDescent="0.3">
      <c r="C599" s="12"/>
      <c r="E599" s="12"/>
      <c r="F599" s="12"/>
      <c r="G599" s="122"/>
      <c r="H599" s="122"/>
      <c r="I599" s="122"/>
      <c r="J599" s="122"/>
      <c r="K599" s="122"/>
    </row>
    <row r="600" spans="3:11" x14ac:dyDescent="0.3">
      <c r="C600" s="12"/>
      <c r="E600" s="12"/>
      <c r="F600" s="12"/>
      <c r="G600" s="122"/>
      <c r="H600" s="122"/>
      <c r="I600" s="122"/>
      <c r="J600" s="122"/>
      <c r="K600" s="122"/>
    </row>
    <row r="601" spans="3:11" x14ac:dyDescent="0.3">
      <c r="C601" s="12"/>
      <c r="E601" s="12"/>
      <c r="F601" s="12"/>
      <c r="G601" s="122"/>
      <c r="H601" s="122"/>
      <c r="I601" s="122"/>
      <c r="J601" s="122"/>
      <c r="K601" s="122"/>
    </row>
    <row r="602" spans="3:11" x14ac:dyDescent="0.3">
      <c r="C602" s="12"/>
      <c r="E602" s="12"/>
      <c r="F602" s="12"/>
      <c r="G602" s="122"/>
      <c r="H602" s="122"/>
      <c r="I602" s="122"/>
      <c r="J602" s="122"/>
      <c r="K602" s="122"/>
    </row>
    <row r="603" spans="3:11" x14ac:dyDescent="0.3">
      <c r="C603" s="12"/>
      <c r="E603" s="12"/>
      <c r="F603" s="12"/>
      <c r="G603" s="122"/>
      <c r="H603" s="122"/>
      <c r="I603" s="122"/>
      <c r="J603" s="122"/>
      <c r="K603" s="122"/>
    </row>
    <row r="604" spans="3:11" x14ac:dyDescent="0.3">
      <c r="C604" s="12"/>
      <c r="E604" s="12"/>
      <c r="F604" s="12"/>
      <c r="G604" s="122"/>
      <c r="H604" s="122"/>
      <c r="I604" s="122"/>
      <c r="J604" s="122"/>
      <c r="K604" s="122"/>
    </row>
    <row r="605" spans="3:11" x14ac:dyDescent="0.3">
      <c r="C605" s="12"/>
      <c r="E605" s="12"/>
      <c r="F605" s="12"/>
      <c r="G605" s="122"/>
      <c r="H605" s="122"/>
      <c r="I605" s="122"/>
      <c r="J605" s="122"/>
      <c r="K605" s="122"/>
    </row>
    <row r="606" spans="3:11" x14ac:dyDescent="0.3">
      <c r="C606" s="12"/>
      <c r="E606" s="12"/>
      <c r="F606" s="12"/>
      <c r="G606" s="122"/>
      <c r="H606" s="122"/>
      <c r="I606" s="122"/>
      <c r="J606" s="122"/>
      <c r="K606" s="122"/>
    </row>
    <row r="607" spans="3:11" x14ac:dyDescent="0.3">
      <c r="C607" s="12"/>
      <c r="E607" s="12"/>
      <c r="F607" s="12"/>
      <c r="G607" s="122"/>
      <c r="H607" s="122"/>
      <c r="I607" s="122"/>
      <c r="J607" s="122"/>
      <c r="K607" s="122"/>
    </row>
    <row r="608" spans="3:11" x14ac:dyDescent="0.3">
      <c r="C608" s="12"/>
      <c r="E608" s="12"/>
      <c r="F608" s="12"/>
      <c r="G608" s="122"/>
      <c r="H608" s="122"/>
      <c r="I608" s="122"/>
      <c r="J608" s="122"/>
      <c r="K608" s="122"/>
    </row>
    <row r="609" spans="3:11" x14ac:dyDescent="0.3">
      <c r="C609" s="12"/>
      <c r="E609" s="12"/>
      <c r="F609" s="12"/>
      <c r="G609" s="122"/>
      <c r="H609" s="122"/>
      <c r="I609" s="122"/>
      <c r="J609" s="122"/>
      <c r="K609" s="122"/>
    </row>
    <row r="610" spans="3:11" x14ac:dyDescent="0.3">
      <c r="C610" s="12"/>
      <c r="E610" s="12"/>
      <c r="F610" s="12"/>
      <c r="G610" s="122"/>
      <c r="H610" s="122"/>
      <c r="I610" s="122"/>
      <c r="J610" s="122"/>
      <c r="K610" s="122"/>
    </row>
    <row r="611" spans="3:11" x14ac:dyDescent="0.3">
      <c r="C611" s="12"/>
      <c r="E611" s="12"/>
      <c r="F611" s="12"/>
      <c r="G611" s="122"/>
      <c r="H611" s="122"/>
      <c r="I611" s="122"/>
      <c r="J611" s="122"/>
      <c r="K611" s="122"/>
    </row>
    <row r="612" spans="3:11" x14ac:dyDescent="0.3">
      <c r="C612" s="12"/>
      <c r="E612" s="12"/>
      <c r="F612" s="12"/>
      <c r="G612" s="122"/>
      <c r="H612" s="122"/>
      <c r="I612" s="122"/>
      <c r="J612" s="122"/>
      <c r="K612" s="122"/>
    </row>
    <row r="613" spans="3:11" x14ac:dyDescent="0.3">
      <c r="C613" s="12"/>
      <c r="E613" s="12"/>
      <c r="F613" s="12"/>
      <c r="G613" s="122"/>
      <c r="H613" s="122"/>
      <c r="I613" s="122"/>
      <c r="J613" s="122"/>
      <c r="K613" s="122"/>
    </row>
    <row r="614" spans="3:11" x14ac:dyDescent="0.3">
      <c r="C614" s="12"/>
      <c r="E614" s="12"/>
      <c r="F614" s="12"/>
      <c r="G614" s="122"/>
      <c r="H614" s="122"/>
      <c r="I614" s="122"/>
      <c r="J614" s="122"/>
      <c r="K614" s="122"/>
    </row>
    <row r="615" spans="3:11" x14ac:dyDescent="0.3">
      <c r="C615" s="12"/>
      <c r="E615" s="12"/>
      <c r="F615" s="12"/>
      <c r="G615" s="122"/>
      <c r="H615" s="122"/>
      <c r="I615" s="122"/>
      <c r="J615" s="122"/>
      <c r="K615" s="122"/>
    </row>
    <row r="616" spans="3:11" x14ac:dyDescent="0.3">
      <c r="C616" s="12"/>
      <c r="E616" s="12"/>
      <c r="F616" s="12"/>
      <c r="G616" s="122"/>
      <c r="H616" s="122"/>
      <c r="I616" s="122"/>
      <c r="J616" s="122"/>
      <c r="K616" s="122"/>
    </row>
    <row r="617" spans="3:11" x14ac:dyDescent="0.3">
      <c r="C617" s="12"/>
      <c r="E617" s="12"/>
      <c r="F617" s="12"/>
      <c r="G617" s="122"/>
      <c r="H617" s="122"/>
      <c r="I617" s="122"/>
      <c r="J617" s="122"/>
      <c r="K617" s="122"/>
    </row>
    <row r="618" spans="3:11" x14ac:dyDescent="0.3">
      <c r="C618" s="12"/>
      <c r="E618" s="12"/>
      <c r="F618" s="12"/>
      <c r="G618" s="122"/>
      <c r="H618" s="122"/>
      <c r="I618" s="122"/>
      <c r="J618" s="122"/>
      <c r="K618" s="122"/>
    </row>
    <row r="619" spans="3:11" x14ac:dyDescent="0.3">
      <c r="C619" s="12"/>
      <c r="E619" s="12"/>
      <c r="F619" s="12"/>
      <c r="G619" s="122"/>
      <c r="H619" s="122"/>
      <c r="I619" s="122"/>
      <c r="J619" s="122"/>
      <c r="K619" s="122"/>
    </row>
    <row r="620" spans="3:11" x14ac:dyDescent="0.3">
      <c r="C620" s="12"/>
      <c r="E620" s="12"/>
      <c r="F620" s="12"/>
      <c r="G620" s="122"/>
      <c r="H620" s="122"/>
      <c r="I620" s="122"/>
      <c r="J620" s="122"/>
      <c r="K620" s="122"/>
    </row>
    <row r="621" spans="3:11" x14ac:dyDescent="0.3">
      <c r="C621" s="12"/>
      <c r="E621" s="12"/>
      <c r="F621" s="12"/>
      <c r="G621" s="122"/>
      <c r="H621" s="122"/>
      <c r="I621" s="122"/>
      <c r="J621" s="122"/>
      <c r="K621" s="122"/>
    </row>
    <row r="622" spans="3:11" x14ac:dyDescent="0.3">
      <c r="C622" s="12"/>
      <c r="E622" s="12"/>
      <c r="F622" s="12"/>
      <c r="G622" s="122"/>
      <c r="H622" s="122"/>
      <c r="I622" s="122"/>
      <c r="J622" s="122"/>
      <c r="K622" s="122"/>
    </row>
    <row r="623" spans="3:11" x14ac:dyDescent="0.3">
      <c r="C623" s="12"/>
      <c r="E623" s="12"/>
      <c r="F623" s="12"/>
      <c r="G623" s="122"/>
      <c r="H623" s="122"/>
      <c r="I623" s="122"/>
      <c r="J623" s="122"/>
      <c r="K623" s="122"/>
    </row>
    <row r="624" spans="3:11" x14ac:dyDescent="0.3">
      <c r="C624" s="12"/>
      <c r="E624" s="12"/>
      <c r="F624" s="12"/>
      <c r="G624" s="122"/>
      <c r="H624" s="122"/>
      <c r="I624" s="122"/>
      <c r="J624" s="122"/>
      <c r="K624" s="122"/>
    </row>
    <row r="625" spans="3:11" x14ac:dyDescent="0.3">
      <c r="C625" s="12"/>
      <c r="E625" s="12"/>
      <c r="F625" s="12"/>
      <c r="G625" s="122"/>
      <c r="H625" s="122"/>
      <c r="I625" s="122"/>
      <c r="J625" s="122"/>
      <c r="K625" s="122"/>
    </row>
    <row r="626" spans="3:11" x14ac:dyDescent="0.3">
      <c r="C626" s="12"/>
      <c r="E626" s="12"/>
      <c r="F626" s="12"/>
      <c r="G626" s="122"/>
      <c r="H626" s="122"/>
      <c r="I626" s="122"/>
      <c r="J626" s="122"/>
      <c r="K626" s="122"/>
    </row>
    <row r="627" spans="3:11" x14ac:dyDescent="0.3">
      <c r="C627" s="12"/>
      <c r="E627" s="12"/>
      <c r="F627" s="12"/>
      <c r="G627" s="122"/>
      <c r="H627" s="122"/>
      <c r="I627" s="122"/>
      <c r="J627" s="122"/>
      <c r="K627" s="122"/>
    </row>
    <row r="628" spans="3:11" x14ac:dyDescent="0.3">
      <c r="C628" s="12"/>
      <c r="E628" s="12"/>
      <c r="F628" s="12"/>
      <c r="G628" s="122"/>
      <c r="H628" s="122"/>
      <c r="I628" s="122"/>
      <c r="J628" s="122"/>
      <c r="K628" s="122"/>
    </row>
    <row r="629" spans="3:11" x14ac:dyDescent="0.3">
      <c r="C629" s="12"/>
      <c r="E629" s="12"/>
      <c r="F629" s="12"/>
      <c r="G629" s="122"/>
      <c r="H629" s="122"/>
      <c r="I629" s="122"/>
      <c r="J629" s="122"/>
      <c r="K629" s="122"/>
    </row>
    <row r="630" spans="3:11" x14ac:dyDescent="0.3">
      <c r="C630" s="12"/>
      <c r="E630" s="12"/>
      <c r="F630" s="12"/>
      <c r="G630" s="122"/>
      <c r="H630" s="122"/>
      <c r="I630" s="122"/>
      <c r="J630" s="122"/>
      <c r="K630" s="122"/>
    </row>
    <row r="631" spans="3:11" x14ac:dyDescent="0.3">
      <c r="C631" s="12"/>
      <c r="E631" s="12"/>
      <c r="F631" s="12"/>
      <c r="G631" s="122"/>
      <c r="H631" s="122"/>
      <c r="I631" s="122"/>
      <c r="J631" s="122"/>
      <c r="K631" s="122"/>
    </row>
    <row r="632" spans="3:11" x14ac:dyDescent="0.3">
      <c r="C632" s="12"/>
      <c r="E632" s="12"/>
      <c r="F632" s="12"/>
      <c r="G632" s="122"/>
      <c r="H632" s="122"/>
      <c r="I632" s="122"/>
      <c r="J632" s="122"/>
      <c r="K632" s="122"/>
    </row>
    <row r="633" spans="3:11" x14ac:dyDescent="0.3">
      <c r="C633" s="12"/>
      <c r="E633" s="12"/>
      <c r="F633" s="12"/>
      <c r="G633" s="122"/>
      <c r="H633" s="122"/>
      <c r="I633" s="122"/>
      <c r="J633" s="122"/>
      <c r="K633" s="122"/>
    </row>
    <row r="634" spans="3:11" x14ac:dyDescent="0.3">
      <c r="C634" s="12"/>
      <c r="E634" s="12"/>
      <c r="F634" s="12"/>
      <c r="G634" s="122"/>
      <c r="H634" s="122"/>
      <c r="I634" s="122"/>
      <c r="J634" s="122"/>
      <c r="K634" s="122"/>
    </row>
    <row r="635" spans="3:11" x14ac:dyDescent="0.3">
      <c r="C635" s="12"/>
      <c r="E635" s="12"/>
      <c r="F635" s="12"/>
      <c r="G635" s="122"/>
      <c r="H635" s="122"/>
      <c r="I635" s="122"/>
      <c r="J635" s="122"/>
      <c r="K635" s="122"/>
    </row>
    <row r="636" spans="3:11" x14ac:dyDescent="0.3">
      <c r="C636" s="12"/>
      <c r="E636" s="12"/>
      <c r="F636" s="12"/>
      <c r="G636" s="122"/>
      <c r="H636" s="122"/>
      <c r="I636" s="122"/>
      <c r="J636" s="122"/>
      <c r="K636" s="122"/>
    </row>
    <row r="637" spans="3:11" x14ac:dyDescent="0.3">
      <c r="C637" s="12"/>
      <c r="E637" s="12"/>
      <c r="F637" s="12"/>
      <c r="G637" s="122"/>
      <c r="H637" s="122"/>
      <c r="I637" s="122"/>
      <c r="J637" s="122"/>
      <c r="K637" s="122"/>
    </row>
    <row r="638" spans="3:11" x14ac:dyDescent="0.3">
      <c r="C638" s="12"/>
      <c r="E638" s="12"/>
      <c r="F638" s="12"/>
      <c r="G638" s="122"/>
      <c r="H638" s="122"/>
      <c r="I638" s="122"/>
      <c r="J638" s="122"/>
      <c r="K638" s="122"/>
    </row>
    <row r="639" spans="3:11" x14ac:dyDescent="0.3">
      <c r="C639" s="12"/>
      <c r="E639" s="12"/>
      <c r="F639" s="12"/>
      <c r="G639" s="122"/>
      <c r="H639" s="122"/>
      <c r="I639" s="122"/>
      <c r="J639" s="122"/>
      <c r="K639" s="122"/>
    </row>
    <row r="640" spans="3:11" x14ac:dyDescent="0.3">
      <c r="C640" s="12"/>
      <c r="E640" s="12"/>
      <c r="F640" s="12"/>
      <c r="G640" s="122"/>
      <c r="H640" s="122"/>
      <c r="I640" s="122"/>
      <c r="J640" s="122"/>
      <c r="K640" s="122"/>
    </row>
    <row r="641" spans="3:11" x14ac:dyDescent="0.3">
      <c r="C641" s="12"/>
      <c r="E641" s="12"/>
      <c r="F641" s="12"/>
      <c r="G641" s="122"/>
      <c r="H641" s="122"/>
      <c r="I641" s="122"/>
      <c r="J641" s="122"/>
      <c r="K641" s="122"/>
    </row>
    <row r="642" spans="3:11" x14ac:dyDescent="0.3">
      <c r="C642" s="12"/>
      <c r="E642" s="12"/>
      <c r="F642" s="12"/>
      <c r="G642" s="122"/>
      <c r="H642" s="122"/>
      <c r="I642" s="122"/>
      <c r="J642" s="122"/>
      <c r="K642" s="122"/>
    </row>
    <row r="643" spans="3:11" x14ac:dyDescent="0.3">
      <c r="C643" s="12"/>
      <c r="E643" s="12"/>
      <c r="F643" s="12"/>
      <c r="G643" s="122"/>
      <c r="H643" s="122"/>
      <c r="I643" s="122"/>
      <c r="J643" s="122"/>
      <c r="K643" s="122"/>
    </row>
    <row r="644" spans="3:11" x14ac:dyDescent="0.3">
      <c r="C644" s="12"/>
      <c r="E644" s="12"/>
      <c r="F644" s="12"/>
      <c r="G644" s="122"/>
      <c r="H644" s="122"/>
      <c r="I644" s="122"/>
      <c r="J644" s="122"/>
      <c r="K644" s="122"/>
    </row>
    <row r="645" spans="3:11" x14ac:dyDescent="0.3">
      <c r="C645" s="12"/>
      <c r="E645" s="12"/>
      <c r="F645" s="12"/>
      <c r="G645" s="122"/>
      <c r="H645" s="122"/>
      <c r="I645" s="122"/>
      <c r="J645" s="122"/>
      <c r="K645" s="122"/>
    </row>
    <row r="646" spans="3:11" x14ac:dyDescent="0.3">
      <c r="C646" s="12"/>
      <c r="E646" s="12"/>
      <c r="F646" s="12"/>
      <c r="G646" s="122"/>
      <c r="H646" s="122"/>
      <c r="I646" s="122"/>
      <c r="J646" s="122"/>
      <c r="K646" s="122"/>
    </row>
    <row r="647" spans="3:11" x14ac:dyDescent="0.3">
      <c r="C647" s="12"/>
      <c r="E647" s="12"/>
      <c r="F647" s="12"/>
      <c r="G647" s="122"/>
      <c r="H647" s="122"/>
      <c r="I647" s="122"/>
      <c r="J647" s="122"/>
      <c r="K647" s="122"/>
    </row>
    <row r="648" spans="3:11" x14ac:dyDescent="0.3">
      <c r="C648" s="12"/>
      <c r="E648" s="12"/>
      <c r="F648" s="12"/>
      <c r="G648" s="122"/>
      <c r="H648" s="122"/>
      <c r="I648" s="122"/>
      <c r="J648" s="122"/>
      <c r="K648" s="122"/>
    </row>
    <row r="649" spans="3:11" x14ac:dyDescent="0.3">
      <c r="C649" s="12"/>
      <c r="E649" s="12"/>
      <c r="F649" s="12"/>
      <c r="G649" s="122"/>
      <c r="H649" s="122"/>
      <c r="I649" s="122"/>
      <c r="J649" s="122"/>
      <c r="K649" s="122"/>
    </row>
    <row r="650" spans="3:11" x14ac:dyDescent="0.3">
      <c r="C650" s="12"/>
      <c r="E650" s="12"/>
      <c r="F650" s="12"/>
      <c r="G650" s="122"/>
      <c r="H650" s="122"/>
      <c r="I650" s="122"/>
      <c r="J650" s="122"/>
      <c r="K650" s="122"/>
    </row>
    <row r="651" spans="3:11" x14ac:dyDescent="0.3">
      <c r="C651" s="12"/>
      <c r="E651" s="12"/>
      <c r="F651" s="12"/>
      <c r="G651" s="122"/>
      <c r="H651" s="122"/>
      <c r="I651" s="122"/>
      <c r="J651" s="122"/>
      <c r="K651" s="122"/>
    </row>
    <row r="652" spans="3:11" x14ac:dyDescent="0.3">
      <c r="C652" s="12"/>
      <c r="E652" s="12"/>
      <c r="F652" s="12"/>
      <c r="G652" s="122"/>
      <c r="H652" s="122"/>
      <c r="I652" s="122"/>
      <c r="J652" s="122"/>
      <c r="K652" s="122"/>
    </row>
    <row r="653" spans="3:11" x14ac:dyDescent="0.3">
      <c r="C653" s="12"/>
      <c r="E653" s="12"/>
      <c r="F653" s="12"/>
      <c r="G653" s="122"/>
      <c r="H653" s="122"/>
      <c r="I653" s="122"/>
      <c r="J653" s="122"/>
      <c r="K653" s="122"/>
    </row>
    <row r="654" spans="3:11" x14ac:dyDescent="0.3">
      <c r="C654" s="12"/>
      <c r="E654" s="12"/>
      <c r="F654" s="12"/>
      <c r="G654" s="122"/>
      <c r="H654" s="122"/>
      <c r="I654" s="122"/>
      <c r="J654" s="122"/>
      <c r="K654" s="122"/>
    </row>
    <row r="655" spans="3:11" x14ac:dyDescent="0.3">
      <c r="C655" s="12"/>
      <c r="E655" s="12"/>
      <c r="F655" s="12"/>
      <c r="G655" s="122"/>
      <c r="H655" s="122"/>
      <c r="I655" s="122"/>
      <c r="J655" s="122"/>
      <c r="K655" s="122"/>
    </row>
    <row r="656" spans="3:11" x14ac:dyDescent="0.3">
      <c r="C656" s="12"/>
      <c r="E656" s="12"/>
      <c r="F656" s="12"/>
      <c r="G656" s="122"/>
      <c r="H656" s="122"/>
      <c r="I656" s="122"/>
      <c r="J656" s="122"/>
      <c r="K656" s="122"/>
    </row>
    <row r="657" spans="3:11" x14ac:dyDescent="0.3">
      <c r="C657" s="12"/>
      <c r="E657" s="12"/>
      <c r="F657" s="12"/>
      <c r="G657" s="122"/>
      <c r="H657" s="122"/>
      <c r="I657" s="122"/>
      <c r="J657" s="122"/>
      <c r="K657" s="122"/>
    </row>
    <row r="658" spans="3:11" x14ac:dyDescent="0.3">
      <c r="C658" s="12"/>
      <c r="E658" s="12"/>
      <c r="F658" s="12"/>
      <c r="G658" s="122"/>
      <c r="H658" s="122"/>
      <c r="I658" s="122"/>
      <c r="J658" s="122"/>
      <c r="K658" s="122"/>
    </row>
    <row r="659" spans="3:11" x14ac:dyDescent="0.3">
      <c r="C659" s="12"/>
      <c r="E659" s="12"/>
      <c r="F659" s="12"/>
      <c r="G659" s="122"/>
      <c r="H659" s="122"/>
      <c r="I659" s="122"/>
      <c r="J659" s="122"/>
      <c r="K659" s="122"/>
    </row>
    <row r="660" spans="3:11" x14ac:dyDescent="0.3">
      <c r="C660" s="12"/>
      <c r="E660" s="12"/>
      <c r="F660" s="12"/>
      <c r="G660" s="122"/>
      <c r="H660" s="122"/>
      <c r="I660" s="122"/>
      <c r="J660" s="122"/>
      <c r="K660" s="122"/>
    </row>
    <row r="661" spans="3:11" x14ac:dyDescent="0.3">
      <c r="C661" s="12"/>
      <c r="E661" s="12"/>
      <c r="F661" s="12"/>
      <c r="G661" s="122"/>
      <c r="H661" s="122"/>
      <c r="I661" s="122"/>
      <c r="J661" s="122"/>
      <c r="K661" s="122"/>
    </row>
    <row r="662" spans="3:11" x14ac:dyDescent="0.3">
      <c r="C662" s="12"/>
      <c r="E662" s="12"/>
      <c r="F662" s="12"/>
      <c r="G662" s="122"/>
      <c r="H662" s="122"/>
      <c r="I662" s="122"/>
      <c r="J662" s="122"/>
      <c r="K662" s="122"/>
    </row>
    <row r="663" spans="3:11" x14ac:dyDescent="0.3">
      <c r="C663" s="12"/>
      <c r="E663" s="12"/>
      <c r="F663" s="12"/>
      <c r="G663" s="122"/>
      <c r="H663" s="122"/>
      <c r="I663" s="122"/>
      <c r="J663" s="122"/>
      <c r="K663" s="122"/>
    </row>
    <row r="664" spans="3:11" x14ac:dyDescent="0.3">
      <c r="C664" s="12"/>
      <c r="E664" s="12"/>
      <c r="F664" s="12"/>
      <c r="G664" s="122"/>
      <c r="H664" s="122"/>
      <c r="I664" s="122"/>
      <c r="J664" s="122"/>
      <c r="K664" s="122"/>
    </row>
    <row r="665" spans="3:11" x14ac:dyDescent="0.3">
      <c r="C665" s="12"/>
      <c r="E665" s="12"/>
      <c r="F665" s="12"/>
      <c r="G665" s="122"/>
      <c r="H665" s="122"/>
      <c r="I665" s="122"/>
      <c r="J665" s="122"/>
      <c r="K665" s="122"/>
    </row>
    <row r="666" spans="3:11" x14ac:dyDescent="0.3">
      <c r="C666" s="12"/>
      <c r="E666" s="12"/>
      <c r="F666" s="12"/>
      <c r="G666" s="122"/>
      <c r="H666" s="122"/>
      <c r="I666" s="122"/>
      <c r="J666" s="122"/>
      <c r="K666" s="122"/>
    </row>
    <row r="667" spans="3:11" x14ac:dyDescent="0.3">
      <c r="C667" s="12"/>
      <c r="E667" s="12"/>
      <c r="F667" s="12"/>
      <c r="G667" s="122"/>
      <c r="H667" s="122"/>
      <c r="I667" s="122"/>
      <c r="J667" s="122"/>
      <c r="K667" s="122"/>
    </row>
    <row r="668" spans="3:11" x14ac:dyDescent="0.3">
      <c r="C668" s="12"/>
      <c r="E668" s="12"/>
      <c r="F668" s="12"/>
      <c r="G668" s="122"/>
      <c r="H668" s="122"/>
      <c r="I668" s="122"/>
      <c r="J668" s="122"/>
      <c r="K668" s="122"/>
    </row>
    <row r="669" spans="3:11" x14ac:dyDescent="0.3">
      <c r="C669" s="12"/>
      <c r="E669" s="12"/>
      <c r="F669" s="12"/>
      <c r="G669" s="122"/>
      <c r="H669" s="122"/>
      <c r="I669" s="122"/>
      <c r="J669" s="122"/>
      <c r="K669" s="122"/>
    </row>
    <row r="670" spans="3:11" x14ac:dyDescent="0.3">
      <c r="C670" s="12"/>
      <c r="E670" s="12"/>
      <c r="F670" s="12"/>
      <c r="G670" s="122"/>
      <c r="H670" s="122"/>
      <c r="I670" s="122"/>
      <c r="J670" s="122"/>
      <c r="K670" s="122"/>
    </row>
    <row r="671" spans="3:11" x14ac:dyDescent="0.3">
      <c r="C671" s="12"/>
      <c r="E671" s="12"/>
      <c r="F671" s="12"/>
      <c r="G671" s="122"/>
      <c r="H671" s="122"/>
      <c r="I671" s="122"/>
      <c r="J671" s="122"/>
      <c r="K671" s="122"/>
    </row>
    <row r="672" spans="3:11" x14ac:dyDescent="0.3">
      <c r="C672" s="12"/>
      <c r="E672" s="12"/>
      <c r="F672" s="12"/>
      <c r="G672" s="122"/>
      <c r="H672" s="122"/>
      <c r="I672" s="122"/>
      <c r="J672" s="122"/>
      <c r="K672" s="122"/>
    </row>
    <row r="673" spans="3:11" x14ac:dyDescent="0.3">
      <c r="C673" s="12"/>
      <c r="E673" s="12"/>
      <c r="F673" s="12"/>
      <c r="G673" s="122"/>
      <c r="H673" s="122"/>
      <c r="I673" s="122"/>
      <c r="J673" s="122"/>
      <c r="K673" s="122"/>
    </row>
    <row r="674" spans="3:11" x14ac:dyDescent="0.3">
      <c r="C674" s="12"/>
      <c r="E674" s="12"/>
      <c r="F674" s="12"/>
      <c r="G674" s="122"/>
      <c r="H674" s="122"/>
      <c r="I674" s="122"/>
      <c r="J674" s="122"/>
      <c r="K674" s="122"/>
    </row>
    <row r="675" spans="3:11" x14ac:dyDescent="0.3">
      <c r="C675" s="12"/>
      <c r="E675" s="12"/>
      <c r="F675" s="12"/>
      <c r="G675" s="122"/>
      <c r="H675" s="122"/>
      <c r="I675" s="122"/>
      <c r="J675" s="122"/>
      <c r="K675" s="122"/>
    </row>
    <row r="676" spans="3:11" x14ac:dyDescent="0.3">
      <c r="C676" s="12"/>
      <c r="E676" s="12"/>
      <c r="F676" s="12"/>
      <c r="G676" s="122"/>
      <c r="H676" s="122"/>
      <c r="I676" s="122"/>
      <c r="J676" s="122"/>
      <c r="K676" s="122"/>
    </row>
    <row r="677" spans="3:11" x14ac:dyDescent="0.3">
      <c r="C677" s="12"/>
      <c r="E677" s="12"/>
      <c r="F677" s="12"/>
      <c r="G677" s="122"/>
      <c r="H677" s="122"/>
      <c r="I677" s="122"/>
      <c r="J677" s="122"/>
      <c r="K677" s="122"/>
    </row>
    <row r="678" spans="3:11" x14ac:dyDescent="0.3">
      <c r="C678" s="12"/>
      <c r="E678" s="12"/>
      <c r="F678" s="12"/>
      <c r="G678" s="122"/>
      <c r="H678" s="122"/>
      <c r="I678" s="122"/>
      <c r="J678" s="122"/>
      <c r="K678" s="122"/>
    </row>
    <row r="679" spans="3:11" x14ac:dyDescent="0.3">
      <c r="C679" s="12"/>
      <c r="E679" s="12"/>
      <c r="F679" s="12"/>
      <c r="G679" s="122"/>
      <c r="H679" s="122"/>
      <c r="I679" s="122"/>
      <c r="J679" s="122"/>
      <c r="K679" s="122"/>
    </row>
    <row r="680" spans="3:11" x14ac:dyDescent="0.3">
      <c r="C680" s="12"/>
      <c r="E680" s="12"/>
      <c r="F680" s="12"/>
      <c r="G680" s="122"/>
      <c r="H680" s="122"/>
      <c r="I680" s="122"/>
      <c r="J680" s="122"/>
      <c r="K680" s="122"/>
    </row>
    <row r="681" spans="3:11" x14ac:dyDescent="0.3">
      <c r="C681" s="12"/>
      <c r="E681" s="12"/>
      <c r="F681" s="12"/>
      <c r="G681" s="122"/>
      <c r="H681" s="122"/>
      <c r="I681" s="122"/>
      <c r="J681" s="122"/>
      <c r="K681" s="122"/>
    </row>
    <row r="682" spans="3:11" x14ac:dyDescent="0.3">
      <c r="C682" s="12"/>
      <c r="E682" s="12"/>
      <c r="F682" s="12"/>
      <c r="G682" s="122"/>
      <c r="H682" s="122"/>
      <c r="I682" s="122"/>
      <c r="J682" s="122"/>
      <c r="K682" s="122"/>
    </row>
    <row r="683" spans="3:11" x14ac:dyDescent="0.3">
      <c r="C683" s="12"/>
      <c r="E683" s="12"/>
      <c r="F683" s="12"/>
      <c r="G683" s="122"/>
      <c r="H683" s="122"/>
      <c r="I683" s="122"/>
      <c r="J683" s="122"/>
      <c r="K683" s="122"/>
    </row>
    <row r="684" spans="3:11" x14ac:dyDescent="0.3">
      <c r="C684" s="12"/>
      <c r="E684" s="12"/>
      <c r="F684" s="12"/>
      <c r="G684" s="122"/>
      <c r="H684" s="122"/>
      <c r="I684" s="122"/>
      <c r="J684" s="122"/>
      <c r="K684" s="122"/>
    </row>
    <row r="685" spans="3:11" x14ac:dyDescent="0.3">
      <c r="C685" s="12"/>
      <c r="E685" s="12"/>
      <c r="F685" s="12"/>
      <c r="G685" s="122"/>
      <c r="H685" s="122"/>
      <c r="I685" s="122"/>
      <c r="J685" s="122"/>
      <c r="K685" s="122"/>
    </row>
    <row r="686" spans="3:11" x14ac:dyDescent="0.3">
      <c r="C686" s="12"/>
      <c r="E686" s="12"/>
      <c r="F686" s="12"/>
      <c r="G686" s="122"/>
      <c r="H686" s="122"/>
      <c r="I686" s="122"/>
      <c r="J686" s="122"/>
      <c r="K686" s="122"/>
    </row>
    <row r="687" spans="3:11" x14ac:dyDescent="0.3">
      <c r="C687" s="12"/>
      <c r="E687" s="12"/>
      <c r="F687" s="12"/>
      <c r="G687" s="122"/>
      <c r="H687" s="122"/>
      <c r="I687" s="122"/>
      <c r="J687" s="122"/>
      <c r="K687" s="122"/>
    </row>
    <row r="688" spans="3:11" x14ac:dyDescent="0.3">
      <c r="C688" s="12"/>
      <c r="E688" s="12"/>
      <c r="F688" s="12"/>
      <c r="G688" s="122"/>
      <c r="H688" s="122"/>
      <c r="I688" s="122"/>
      <c r="J688" s="122"/>
      <c r="K688" s="122"/>
    </row>
    <row r="689" spans="3:11" x14ac:dyDescent="0.3">
      <c r="C689" s="12"/>
      <c r="E689" s="12"/>
      <c r="F689" s="12"/>
      <c r="G689" s="122"/>
      <c r="H689" s="122"/>
      <c r="I689" s="122"/>
      <c r="J689" s="122"/>
      <c r="K689" s="122"/>
    </row>
    <row r="690" spans="3:11" x14ac:dyDescent="0.3">
      <c r="C690" s="12"/>
      <c r="E690" s="12"/>
      <c r="F690" s="12"/>
      <c r="G690" s="122"/>
      <c r="H690" s="122"/>
      <c r="I690" s="122"/>
      <c r="J690" s="122"/>
      <c r="K690" s="122"/>
    </row>
    <row r="691" spans="3:11" x14ac:dyDescent="0.3">
      <c r="C691" s="12"/>
      <c r="E691" s="12"/>
      <c r="F691" s="12"/>
      <c r="G691" s="122"/>
      <c r="H691" s="122"/>
      <c r="I691" s="122"/>
      <c r="J691" s="122"/>
      <c r="K691" s="122"/>
    </row>
    <row r="692" spans="3:11" x14ac:dyDescent="0.3">
      <c r="C692" s="12"/>
      <c r="E692" s="12"/>
      <c r="F692" s="12"/>
      <c r="G692" s="122"/>
      <c r="H692" s="122"/>
      <c r="I692" s="122"/>
      <c r="J692" s="122"/>
      <c r="K692" s="122"/>
    </row>
    <row r="693" spans="3:11" x14ac:dyDescent="0.3">
      <c r="C693" s="12"/>
      <c r="E693" s="12"/>
      <c r="F693" s="12"/>
      <c r="G693" s="122"/>
      <c r="H693" s="122"/>
      <c r="I693" s="122"/>
      <c r="J693" s="122"/>
      <c r="K693" s="122"/>
    </row>
    <row r="694" spans="3:11" x14ac:dyDescent="0.3">
      <c r="C694" s="12"/>
      <c r="E694" s="12"/>
      <c r="F694" s="12"/>
      <c r="G694" s="122"/>
      <c r="H694" s="122"/>
      <c r="I694" s="122"/>
      <c r="J694" s="122"/>
      <c r="K694" s="122"/>
    </row>
    <row r="695" spans="3:11" x14ac:dyDescent="0.3">
      <c r="C695" s="12"/>
      <c r="E695" s="12"/>
      <c r="F695" s="12"/>
      <c r="G695" s="122"/>
      <c r="H695" s="122"/>
      <c r="I695" s="122"/>
      <c r="J695" s="122"/>
      <c r="K695" s="122"/>
    </row>
    <row r="696" spans="3:11" x14ac:dyDescent="0.3">
      <c r="C696" s="12"/>
      <c r="E696" s="12"/>
      <c r="F696" s="12"/>
      <c r="G696" s="122"/>
      <c r="H696" s="122"/>
      <c r="I696" s="122"/>
      <c r="J696" s="122"/>
      <c r="K696" s="122"/>
    </row>
    <row r="697" spans="3:11" x14ac:dyDescent="0.3">
      <c r="C697" s="12"/>
      <c r="E697" s="12"/>
      <c r="F697" s="12"/>
      <c r="G697" s="122"/>
      <c r="H697" s="122"/>
      <c r="I697" s="122"/>
      <c r="J697" s="122"/>
      <c r="K697" s="122"/>
    </row>
    <row r="698" spans="3:11" x14ac:dyDescent="0.3">
      <c r="C698" s="12"/>
      <c r="E698" s="12"/>
      <c r="F698" s="12"/>
      <c r="G698" s="122"/>
      <c r="H698" s="122"/>
      <c r="I698" s="122"/>
      <c r="J698" s="122"/>
      <c r="K698" s="122"/>
    </row>
    <row r="699" spans="3:11" x14ac:dyDescent="0.3">
      <c r="C699" s="12"/>
      <c r="E699" s="12"/>
      <c r="F699" s="12"/>
      <c r="G699" s="122"/>
      <c r="H699" s="122"/>
      <c r="I699" s="122"/>
      <c r="J699" s="122"/>
      <c r="K699" s="122"/>
    </row>
    <row r="700" spans="3:11" x14ac:dyDescent="0.3">
      <c r="C700" s="12"/>
      <c r="E700" s="12"/>
      <c r="F700" s="12"/>
      <c r="G700" s="122"/>
      <c r="H700" s="122"/>
      <c r="I700" s="122"/>
      <c r="J700" s="122"/>
      <c r="K700" s="122"/>
    </row>
    <row r="701" spans="3:11" x14ac:dyDescent="0.3">
      <c r="C701" s="12"/>
      <c r="E701" s="12"/>
      <c r="F701" s="12"/>
      <c r="G701" s="122"/>
      <c r="H701" s="122"/>
      <c r="I701" s="122"/>
      <c r="J701" s="122"/>
      <c r="K701" s="122"/>
    </row>
    <row r="702" spans="3:11" x14ac:dyDescent="0.3">
      <c r="C702" s="12"/>
      <c r="E702" s="12"/>
      <c r="F702" s="12"/>
      <c r="G702" s="122"/>
      <c r="H702" s="122"/>
      <c r="I702" s="122"/>
      <c r="J702" s="122"/>
      <c r="K702" s="122"/>
    </row>
    <row r="703" spans="3:11" x14ac:dyDescent="0.3">
      <c r="C703" s="12"/>
      <c r="E703" s="12"/>
      <c r="F703" s="12"/>
      <c r="G703" s="122"/>
      <c r="H703" s="122"/>
      <c r="I703" s="122"/>
      <c r="J703" s="122"/>
      <c r="K703" s="122"/>
    </row>
    <row r="704" spans="3:11" x14ac:dyDescent="0.3">
      <c r="C704" s="12"/>
      <c r="E704" s="12"/>
      <c r="F704" s="12"/>
      <c r="G704" s="122"/>
      <c r="H704" s="122"/>
      <c r="I704" s="122"/>
      <c r="J704" s="122"/>
      <c r="K704" s="122"/>
    </row>
    <row r="705" spans="3:11" x14ac:dyDescent="0.3">
      <c r="C705" s="12"/>
      <c r="E705" s="12"/>
      <c r="F705" s="12"/>
      <c r="G705" s="122"/>
      <c r="H705" s="122"/>
      <c r="I705" s="122"/>
      <c r="J705" s="122"/>
      <c r="K705" s="122"/>
    </row>
    <row r="706" spans="3:11" x14ac:dyDescent="0.3">
      <c r="C706" s="12"/>
      <c r="E706" s="12"/>
      <c r="F706" s="12"/>
      <c r="G706" s="122"/>
      <c r="H706" s="122"/>
      <c r="I706" s="122"/>
      <c r="J706" s="122"/>
      <c r="K706" s="122"/>
    </row>
    <row r="707" spans="3:11" x14ac:dyDescent="0.3">
      <c r="C707" s="12"/>
      <c r="E707" s="12"/>
      <c r="F707" s="12"/>
      <c r="G707" s="122"/>
      <c r="H707" s="122"/>
      <c r="I707" s="122"/>
      <c r="J707" s="122"/>
      <c r="K707" s="122"/>
    </row>
    <row r="708" spans="3:11" x14ac:dyDescent="0.3">
      <c r="C708" s="12"/>
      <c r="E708" s="12"/>
      <c r="F708" s="12"/>
      <c r="G708" s="122"/>
      <c r="H708" s="122"/>
      <c r="I708" s="122"/>
      <c r="J708" s="122"/>
      <c r="K708" s="122"/>
    </row>
    <row r="709" spans="3:11" x14ac:dyDescent="0.3">
      <c r="C709" s="12"/>
      <c r="E709" s="12"/>
      <c r="F709" s="12"/>
      <c r="G709" s="122"/>
      <c r="H709" s="122"/>
      <c r="I709" s="122"/>
      <c r="J709" s="122"/>
      <c r="K709" s="122"/>
    </row>
    <row r="710" spans="3:11" x14ac:dyDescent="0.3">
      <c r="C710" s="12"/>
      <c r="E710" s="12"/>
      <c r="F710" s="12"/>
      <c r="G710" s="122"/>
      <c r="H710" s="122"/>
      <c r="I710" s="122"/>
      <c r="J710" s="122"/>
      <c r="K710" s="122"/>
    </row>
    <row r="711" spans="3:11" x14ac:dyDescent="0.3">
      <c r="C711" s="12"/>
      <c r="E711" s="12"/>
      <c r="F711" s="12"/>
      <c r="G711" s="122"/>
      <c r="H711" s="122"/>
      <c r="I711" s="122"/>
      <c r="J711" s="122"/>
      <c r="K711" s="122"/>
    </row>
    <row r="712" spans="3:11" x14ac:dyDescent="0.3">
      <c r="C712" s="12"/>
      <c r="E712" s="12"/>
      <c r="F712" s="12"/>
      <c r="G712" s="122"/>
      <c r="H712" s="122"/>
      <c r="I712" s="122"/>
      <c r="J712" s="122"/>
      <c r="K712" s="122"/>
    </row>
    <row r="713" spans="3:11" x14ac:dyDescent="0.3">
      <c r="C713" s="12"/>
      <c r="E713" s="12"/>
      <c r="F713" s="12"/>
      <c r="G713" s="122"/>
      <c r="H713" s="122"/>
      <c r="I713" s="122"/>
      <c r="J713" s="122"/>
      <c r="K713" s="122"/>
    </row>
    <row r="714" spans="3:11" x14ac:dyDescent="0.3">
      <c r="C714" s="12"/>
      <c r="E714" s="12"/>
      <c r="F714" s="12"/>
      <c r="G714" s="122"/>
      <c r="H714" s="122"/>
      <c r="I714" s="122"/>
      <c r="J714" s="122"/>
      <c r="K714" s="122"/>
    </row>
    <row r="715" spans="3:11" x14ac:dyDescent="0.3">
      <c r="C715" s="12"/>
      <c r="E715" s="12"/>
      <c r="F715" s="12"/>
      <c r="G715" s="122"/>
      <c r="H715" s="122"/>
      <c r="I715" s="122"/>
      <c r="J715" s="122"/>
      <c r="K715" s="122"/>
    </row>
    <row r="716" spans="3:11" x14ac:dyDescent="0.3">
      <c r="C716" s="12"/>
      <c r="E716" s="12"/>
      <c r="F716" s="12"/>
      <c r="G716" s="122"/>
      <c r="H716" s="122"/>
      <c r="I716" s="122"/>
      <c r="J716" s="122"/>
      <c r="K716" s="122"/>
    </row>
    <row r="717" spans="3:11" x14ac:dyDescent="0.3">
      <c r="C717" s="12"/>
      <c r="E717" s="12"/>
      <c r="F717" s="12"/>
      <c r="G717" s="122"/>
      <c r="H717" s="122"/>
      <c r="I717" s="122"/>
      <c r="J717" s="122"/>
      <c r="K717" s="122"/>
    </row>
    <row r="718" spans="3:11" x14ac:dyDescent="0.3">
      <c r="C718" s="12"/>
      <c r="E718" s="12"/>
      <c r="F718" s="12"/>
      <c r="G718" s="122"/>
      <c r="H718" s="122"/>
      <c r="I718" s="122"/>
      <c r="J718" s="122"/>
      <c r="K718" s="122"/>
    </row>
    <row r="719" spans="3:11" x14ac:dyDescent="0.3">
      <c r="C719" s="12"/>
      <c r="E719" s="12"/>
      <c r="F719" s="12"/>
      <c r="G719" s="122"/>
      <c r="H719" s="122"/>
      <c r="I719" s="122"/>
      <c r="J719" s="122"/>
      <c r="K719" s="122"/>
    </row>
    <row r="720" spans="3:11" x14ac:dyDescent="0.3">
      <c r="C720" s="12"/>
      <c r="E720" s="12"/>
      <c r="F720" s="12"/>
      <c r="G720" s="122"/>
      <c r="H720" s="122"/>
      <c r="I720" s="122"/>
      <c r="J720" s="122"/>
      <c r="K720" s="122"/>
    </row>
    <row r="721" spans="3:11" x14ac:dyDescent="0.3">
      <c r="C721" s="12"/>
      <c r="E721" s="12"/>
      <c r="F721" s="12"/>
      <c r="G721" s="122"/>
      <c r="H721" s="122"/>
      <c r="I721" s="122"/>
      <c r="J721" s="122"/>
      <c r="K721" s="122"/>
    </row>
    <row r="722" spans="3:11" x14ac:dyDescent="0.3">
      <c r="C722" s="12"/>
      <c r="E722" s="12"/>
      <c r="F722" s="12"/>
      <c r="G722" s="122"/>
      <c r="H722" s="122"/>
      <c r="I722" s="122"/>
      <c r="J722" s="122"/>
      <c r="K722" s="122"/>
    </row>
    <row r="723" spans="3:11" x14ac:dyDescent="0.3">
      <c r="C723" s="12"/>
      <c r="E723" s="12"/>
      <c r="F723" s="12"/>
      <c r="G723" s="122"/>
      <c r="H723" s="122"/>
      <c r="I723" s="122"/>
      <c r="J723" s="122"/>
      <c r="K723" s="122"/>
    </row>
    <row r="724" spans="3:11" x14ac:dyDescent="0.3">
      <c r="C724" s="12"/>
      <c r="E724" s="12"/>
      <c r="F724" s="12"/>
      <c r="G724" s="122"/>
      <c r="H724" s="122"/>
      <c r="I724" s="122"/>
      <c r="J724" s="122"/>
      <c r="K724" s="122"/>
    </row>
    <row r="725" spans="3:11" x14ac:dyDescent="0.3">
      <c r="C725" s="12"/>
      <c r="E725" s="12"/>
      <c r="F725" s="12"/>
      <c r="G725" s="122"/>
      <c r="H725" s="122"/>
      <c r="I725" s="122"/>
      <c r="J725" s="122"/>
      <c r="K725" s="122"/>
    </row>
    <row r="726" spans="3:11" x14ac:dyDescent="0.3">
      <c r="C726" s="12"/>
      <c r="E726" s="12"/>
      <c r="F726" s="12"/>
      <c r="G726" s="122"/>
      <c r="H726" s="122"/>
      <c r="I726" s="122"/>
      <c r="J726" s="122"/>
      <c r="K726" s="122"/>
    </row>
    <row r="727" spans="3:11" x14ac:dyDescent="0.3">
      <c r="C727" s="12"/>
      <c r="E727" s="12"/>
      <c r="F727" s="12"/>
      <c r="G727" s="122"/>
      <c r="H727" s="122"/>
      <c r="I727" s="122"/>
      <c r="J727" s="122"/>
      <c r="K727" s="122"/>
    </row>
    <row r="728" spans="3:11" x14ac:dyDescent="0.3">
      <c r="C728" s="12"/>
      <c r="E728" s="12"/>
      <c r="F728" s="12"/>
      <c r="G728" s="122"/>
      <c r="H728" s="122"/>
      <c r="I728" s="122"/>
      <c r="J728" s="122"/>
      <c r="K728" s="122"/>
    </row>
    <row r="729" spans="3:11" x14ac:dyDescent="0.3">
      <c r="C729" s="12"/>
      <c r="E729" s="12"/>
      <c r="F729" s="12"/>
      <c r="G729" s="122"/>
      <c r="H729" s="122"/>
      <c r="I729" s="122"/>
      <c r="J729" s="122"/>
      <c r="K729" s="122"/>
    </row>
    <row r="730" spans="3:11" x14ac:dyDescent="0.3">
      <c r="C730" s="12"/>
      <c r="E730" s="12"/>
      <c r="F730" s="12"/>
      <c r="G730" s="122"/>
      <c r="H730" s="122"/>
      <c r="I730" s="122"/>
      <c r="J730" s="122"/>
      <c r="K730" s="122"/>
    </row>
    <row r="731" spans="3:11" x14ac:dyDescent="0.3">
      <c r="C731" s="12"/>
      <c r="E731" s="12"/>
      <c r="F731" s="12"/>
      <c r="G731" s="122"/>
      <c r="H731" s="122"/>
      <c r="I731" s="122"/>
      <c r="J731" s="122"/>
      <c r="K731" s="122"/>
    </row>
    <row r="732" spans="3:11" x14ac:dyDescent="0.3">
      <c r="C732" s="12"/>
      <c r="E732" s="12"/>
      <c r="F732" s="12"/>
      <c r="G732" s="122"/>
      <c r="H732" s="122"/>
      <c r="I732" s="122"/>
      <c r="J732" s="122"/>
      <c r="K732" s="122"/>
    </row>
    <row r="733" spans="3:11" x14ac:dyDescent="0.3">
      <c r="C733" s="12"/>
      <c r="E733" s="12"/>
      <c r="F733" s="12"/>
      <c r="G733" s="122"/>
      <c r="H733" s="122"/>
      <c r="I733" s="122"/>
      <c r="J733" s="122"/>
      <c r="K733" s="122"/>
    </row>
    <row r="734" spans="3:11" x14ac:dyDescent="0.3">
      <c r="C734" s="12"/>
      <c r="E734" s="12"/>
      <c r="F734" s="12"/>
      <c r="G734" s="122"/>
      <c r="H734" s="122"/>
      <c r="I734" s="122"/>
      <c r="J734" s="122"/>
      <c r="K734" s="122"/>
    </row>
    <row r="735" spans="3:11" x14ac:dyDescent="0.3">
      <c r="C735" s="12"/>
      <c r="E735" s="12"/>
      <c r="F735" s="12"/>
      <c r="G735" s="122"/>
      <c r="H735" s="122"/>
      <c r="I735" s="122"/>
      <c r="J735" s="122"/>
      <c r="K735" s="122"/>
    </row>
    <row r="736" spans="3:11" x14ac:dyDescent="0.3">
      <c r="C736" s="12"/>
      <c r="E736" s="12"/>
      <c r="F736" s="12"/>
      <c r="G736" s="122"/>
      <c r="H736" s="122"/>
      <c r="I736" s="122"/>
      <c r="J736" s="122"/>
      <c r="K736" s="122"/>
    </row>
    <row r="737" spans="3:11" x14ac:dyDescent="0.3">
      <c r="C737" s="12"/>
      <c r="E737" s="12"/>
      <c r="F737" s="12"/>
      <c r="G737" s="122"/>
      <c r="H737" s="122"/>
      <c r="I737" s="122"/>
      <c r="J737" s="122"/>
      <c r="K737" s="122"/>
    </row>
    <row r="738" spans="3:11" x14ac:dyDescent="0.3">
      <c r="C738" s="12"/>
      <c r="E738" s="12"/>
      <c r="F738" s="12"/>
      <c r="G738" s="122"/>
      <c r="H738" s="122"/>
      <c r="I738" s="122"/>
      <c r="J738" s="122"/>
      <c r="K738" s="122"/>
    </row>
    <row r="739" spans="3:11" x14ac:dyDescent="0.3">
      <c r="C739" s="12"/>
      <c r="E739" s="12"/>
      <c r="F739" s="12"/>
      <c r="G739" s="122"/>
      <c r="H739" s="122"/>
      <c r="I739" s="122"/>
      <c r="J739" s="122"/>
      <c r="K739" s="122"/>
    </row>
    <row r="740" spans="3:11" x14ac:dyDescent="0.3">
      <c r="C740" s="12"/>
      <c r="E740" s="12"/>
      <c r="F740" s="12"/>
      <c r="G740" s="122"/>
      <c r="H740" s="122"/>
      <c r="I740" s="122"/>
      <c r="J740" s="122"/>
      <c r="K740" s="122"/>
    </row>
    <row r="741" spans="3:11" x14ac:dyDescent="0.3">
      <c r="C741" s="12"/>
      <c r="E741" s="12"/>
      <c r="F741" s="12"/>
      <c r="G741" s="122"/>
      <c r="H741" s="122"/>
      <c r="I741" s="122"/>
      <c r="J741" s="122"/>
      <c r="K741" s="122"/>
    </row>
    <row r="742" spans="3:11" x14ac:dyDescent="0.3">
      <c r="C742" s="12"/>
      <c r="E742" s="12"/>
      <c r="F742" s="12"/>
      <c r="G742" s="122"/>
      <c r="H742" s="122"/>
      <c r="I742" s="122"/>
      <c r="J742" s="122"/>
      <c r="K742" s="122"/>
    </row>
    <row r="743" spans="3:11" x14ac:dyDescent="0.3">
      <c r="C743" s="12"/>
      <c r="E743" s="12"/>
      <c r="F743" s="12"/>
      <c r="G743" s="122"/>
      <c r="H743" s="122"/>
      <c r="I743" s="122"/>
      <c r="J743" s="122"/>
      <c r="K743" s="122"/>
    </row>
    <row r="744" spans="3:11" x14ac:dyDescent="0.3">
      <c r="C744" s="12"/>
      <c r="E744" s="12"/>
      <c r="F744" s="12"/>
      <c r="G744" s="122"/>
      <c r="H744" s="122"/>
      <c r="I744" s="122"/>
      <c r="J744" s="122"/>
      <c r="K744" s="122"/>
    </row>
    <row r="745" spans="3:11" x14ac:dyDescent="0.3">
      <c r="C745" s="12"/>
      <c r="E745" s="12"/>
      <c r="F745" s="12"/>
      <c r="G745" s="122"/>
      <c r="H745" s="122"/>
      <c r="I745" s="122"/>
      <c r="J745" s="122"/>
      <c r="K745" s="122"/>
    </row>
    <row r="746" spans="3:11" x14ac:dyDescent="0.3">
      <c r="C746" s="12"/>
      <c r="E746" s="12"/>
      <c r="F746" s="12"/>
      <c r="G746" s="122"/>
      <c r="H746" s="122"/>
      <c r="I746" s="122"/>
      <c r="J746" s="122"/>
      <c r="K746" s="122"/>
    </row>
    <row r="747" spans="3:11" x14ac:dyDescent="0.3">
      <c r="C747" s="12"/>
      <c r="E747" s="12"/>
      <c r="F747" s="12"/>
      <c r="G747" s="122"/>
      <c r="H747" s="122"/>
      <c r="I747" s="122"/>
      <c r="J747" s="122"/>
      <c r="K747" s="122"/>
    </row>
    <row r="748" spans="3:11" x14ac:dyDescent="0.3">
      <c r="C748" s="12"/>
      <c r="E748" s="12"/>
      <c r="F748" s="12"/>
      <c r="G748" s="122"/>
      <c r="H748" s="122"/>
      <c r="I748" s="122"/>
      <c r="J748" s="122"/>
      <c r="K748" s="122"/>
    </row>
    <row r="749" spans="3:11" x14ac:dyDescent="0.3">
      <c r="C749" s="12"/>
      <c r="E749" s="12"/>
      <c r="F749" s="12"/>
      <c r="G749" s="122"/>
      <c r="H749" s="122"/>
      <c r="I749" s="122"/>
      <c r="J749" s="122"/>
      <c r="K749" s="122"/>
    </row>
    <row r="750" spans="3:11" x14ac:dyDescent="0.3">
      <c r="C750" s="12"/>
      <c r="E750" s="12"/>
      <c r="F750" s="12"/>
      <c r="G750" s="122"/>
      <c r="H750" s="122"/>
      <c r="I750" s="122"/>
      <c r="J750" s="122"/>
      <c r="K750" s="122"/>
    </row>
    <row r="751" spans="3:11" x14ac:dyDescent="0.3">
      <c r="C751" s="12"/>
      <c r="E751" s="12"/>
      <c r="F751" s="12"/>
      <c r="G751" s="122"/>
      <c r="H751" s="122"/>
      <c r="I751" s="122"/>
      <c r="J751" s="122"/>
      <c r="K751" s="122"/>
    </row>
    <row r="752" spans="3:11" x14ac:dyDescent="0.3">
      <c r="C752" s="12"/>
      <c r="E752" s="12"/>
      <c r="F752" s="12"/>
      <c r="G752" s="122"/>
      <c r="H752" s="122"/>
      <c r="I752" s="122"/>
      <c r="J752" s="122"/>
      <c r="K752" s="122"/>
    </row>
    <row r="753" spans="3:11" x14ac:dyDescent="0.3">
      <c r="C753" s="12"/>
      <c r="E753" s="12"/>
      <c r="F753" s="12"/>
      <c r="G753" s="122"/>
      <c r="H753" s="122"/>
      <c r="I753" s="122"/>
      <c r="J753" s="122"/>
      <c r="K753" s="122"/>
    </row>
    <row r="754" spans="3:11" x14ac:dyDescent="0.3">
      <c r="C754" s="12"/>
      <c r="E754" s="12"/>
      <c r="F754" s="12"/>
      <c r="G754" s="122"/>
      <c r="H754" s="122"/>
      <c r="I754" s="122"/>
      <c r="J754" s="122"/>
      <c r="K754" s="122"/>
    </row>
    <row r="755" spans="3:11" x14ac:dyDescent="0.3">
      <c r="C755" s="12"/>
      <c r="E755" s="12"/>
      <c r="F755" s="12"/>
      <c r="G755" s="122"/>
      <c r="H755" s="122"/>
      <c r="I755" s="122"/>
      <c r="J755" s="122"/>
      <c r="K755" s="122"/>
    </row>
    <row r="756" spans="3:11" x14ac:dyDescent="0.3">
      <c r="C756" s="12"/>
      <c r="E756" s="12"/>
      <c r="F756" s="12"/>
      <c r="G756" s="122"/>
      <c r="H756" s="122"/>
      <c r="I756" s="122"/>
      <c r="J756" s="122"/>
      <c r="K756" s="122"/>
    </row>
    <row r="757" spans="3:11" x14ac:dyDescent="0.3">
      <c r="C757" s="12"/>
      <c r="E757" s="12"/>
      <c r="F757" s="12"/>
      <c r="G757" s="122"/>
      <c r="H757" s="122"/>
      <c r="I757" s="122"/>
      <c r="J757" s="122"/>
      <c r="K757" s="122"/>
    </row>
    <row r="758" spans="3:11" x14ac:dyDescent="0.3">
      <c r="C758" s="12"/>
      <c r="E758" s="12"/>
      <c r="F758" s="12"/>
      <c r="G758" s="122"/>
      <c r="H758" s="122"/>
      <c r="I758" s="122"/>
      <c r="J758" s="122"/>
      <c r="K758" s="122"/>
    </row>
    <row r="759" spans="3:11" x14ac:dyDescent="0.3">
      <c r="C759" s="12"/>
      <c r="E759" s="12"/>
      <c r="F759" s="12"/>
      <c r="G759" s="122"/>
      <c r="H759" s="122"/>
      <c r="I759" s="122"/>
      <c r="J759" s="122"/>
      <c r="K759" s="122"/>
    </row>
    <row r="760" spans="3:11" x14ac:dyDescent="0.3">
      <c r="C760" s="12"/>
      <c r="E760" s="12"/>
      <c r="F760" s="12"/>
      <c r="G760" s="122"/>
      <c r="H760" s="122"/>
      <c r="I760" s="122"/>
      <c r="J760" s="122"/>
      <c r="K760" s="122"/>
    </row>
    <row r="761" spans="3:11" x14ac:dyDescent="0.3">
      <c r="C761" s="12"/>
      <c r="E761" s="12"/>
      <c r="F761" s="12"/>
      <c r="G761" s="122"/>
      <c r="H761" s="122"/>
      <c r="I761" s="122"/>
      <c r="J761" s="122"/>
      <c r="K761" s="122"/>
    </row>
    <row r="762" spans="3:11" x14ac:dyDescent="0.3">
      <c r="C762" s="12"/>
      <c r="E762" s="12"/>
      <c r="F762" s="12"/>
      <c r="G762" s="122"/>
      <c r="H762" s="122"/>
      <c r="I762" s="122"/>
      <c r="J762" s="122"/>
      <c r="K762" s="122"/>
    </row>
    <row r="763" spans="3:11" x14ac:dyDescent="0.3">
      <c r="C763" s="12"/>
      <c r="E763" s="12"/>
      <c r="F763" s="12"/>
      <c r="G763" s="122"/>
      <c r="H763" s="122"/>
      <c r="I763" s="122"/>
      <c r="J763" s="122"/>
      <c r="K763" s="122"/>
    </row>
    <row r="764" spans="3:11" x14ac:dyDescent="0.3">
      <c r="C764" s="12"/>
      <c r="E764" s="12"/>
      <c r="F764" s="12"/>
      <c r="G764" s="122"/>
      <c r="H764" s="122"/>
      <c r="I764" s="122"/>
      <c r="J764" s="122"/>
      <c r="K764" s="122"/>
    </row>
    <row r="765" spans="3:11" x14ac:dyDescent="0.3">
      <c r="C765" s="12"/>
      <c r="E765" s="12"/>
      <c r="F765" s="12"/>
      <c r="G765" s="122"/>
      <c r="H765" s="122"/>
      <c r="I765" s="122"/>
      <c r="J765" s="122"/>
      <c r="K765" s="122"/>
    </row>
    <row r="766" spans="3:11" x14ac:dyDescent="0.3">
      <c r="C766" s="12"/>
      <c r="E766" s="12"/>
      <c r="F766" s="12"/>
      <c r="G766" s="122"/>
      <c r="H766" s="122"/>
      <c r="I766" s="122"/>
      <c r="J766" s="122"/>
      <c r="K766" s="122"/>
    </row>
    <row r="767" spans="3:11" x14ac:dyDescent="0.3">
      <c r="C767" s="12"/>
      <c r="E767" s="12"/>
      <c r="F767" s="12"/>
      <c r="G767" s="122"/>
      <c r="H767" s="122"/>
      <c r="I767" s="122"/>
      <c r="J767" s="122"/>
      <c r="K767" s="122"/>
    </row>
    <row r="768" spans="3:11" x14ac:dyDescent="0.3">
      <c r="C768" s="12"/>
      <c r="E768" s="12"/>
      <c r="F768" s="12"/>
      <c r="G768" s="122"/>
      <c r="H768" s="122"/>
      <c r="I768" s="122"/>
      <c r="J768" s="122"/>
      <c r="K768" s="122"/>
    </row>
    <row r="769" spans="3:11" x14ac:dyDescent="0.3">
      <c r="C769" s="12"/>
      <c r="E769" s="12"/>
      <c r="F769" s="12"/>
      <c r="G769" s="122"/>
      <c r="H769" s="122"/>
      <c r="I769" s="122"/>
      <c r="J769" s="122"/>
      <c r="K769" s="122"/>
    </row>
    <row r="770" spans="3:11" x14ac:dyDescent="0.3">
      <c r="C770" s="12"/>
      <c r="E770" s="12"/>
      <c r="F770" s="12"/>
      <c r="G770" s="122"/>
      <c r="H770" s="122"/>
      <c r="I770" s="122"/>
      <c r="J770" s="122"/>
      <c r="K770" s="122"/>
    </row>
    <row r="771" spans="3:11" x14ac:dyDescent="0.3">
      <c r="C771" s="12"/>
      <c r="E771" s="12"/>
      <c r="F771" s="12"/>
      <c r="G771" s="122"/>
      <c r="H771" s="122"/>
      <c r="I771" s="122"/>
      <c r="J771" s="122"/>
      <c r="K771" s="122"/>
    </row>
    <row r="772" spans="3:11" x14ac:dyDescent="0.3">
      <c r="C772" s="12"/>
      <c r="E772" s="12"/>
      <c r="F772" s="12"/>
      <c r="G772" s="122"/>
      <c r="H772" s="122"/>
      <c r="I772" s="122"/>
      <c r="J772" s="122"/>
      <c r="K772" s="122"/>
    </row>
    <row r="773" spans="3:11" x14ac:dyDescent="0.3">
      <c r="C773" s="12"/>
      <c r="E773" s="12"/>
      <c r="F773" s="12"/>
      <c r="G773" s="122"/>
      <c r="H773" s="122"/>
      <c r="I773" s="122"/>
      <c r="J773" s="122"/>
      <c r="K773" s="122"/>
    </row>
    <row r="774" spans="3:11" x14ac:dyDescent="0.3">
      <c r="C774" s="12"/>
      <c r="E774" s="12"/>
      <c r="F774" s="12"/>
      <c r="G774" s="122"/>
      <c r="H774" s="122"/>
      <c r="I774" s="122"/>
      <c r="J774" s="122"/>
      <c r="K774" s="122"/>
    </row>
    <row r="775" spans="3:11" x14ac:dyDescent="0.3">
      <c r="C775" s="12"/>
      <c r="E775" s="12"/>
      <c r="F775" s="12"/>
      <c r="G775" s="122"/>
      <c r="H775" s="122"/>
      <c r="I775" s="122"/>
      <c r="J775" s="122"/>
      <c r="K775" s="122"/>
    </row>
    <row r="776" spans="3:11" x14ac:dyDescent="0.3">
      <c r="C776" s="12"/>
      <c r="E776" s="12"/>
      <c r="F776" s="12"/>
      <c r="G776" s="122"/>
      <c r="H776" s="122"/>
      <c r="I776" s="122"/>
      <c r="J776" s="122"/>
      <c r="K776" s="122"/>
    </row>
    <row r="777" spans="3:11" x14ac:dyDescent="0.3">
      <c r="C777" s="12"/>
      <c r="E777" s="12"/>
      <c r="F777" s="12"/>
      <c r="G777" s="122"/>
      <c r="H777" s="122"/>
      <c r="I777" s="122"/>
      <c r="J777" s="122"/>
      <c r="K777" s="122"/>
    </row>
    <row r="778" spans="3:11" x14ac:dyDescent="0.3">
      <c r="C778" s="12"/>
      <c r="E778" s="12"/>
      <c r="F778" s="12"/>
      <c r="G778" s="122"/>
      <c r="H778" s="122"/>
      <c r="I778" s="122"/>
      <c r="J778" s="122"/>
      <c r="K778" s="122"/>
    </row>
    <row r="779" spans="3:11" x14ac:dyDescent="0.3">
      <c r="C779" s="12"/>
      <c r="E779" s="12"/>
      <c r="F779" s="12"/>
      <c r="G779" s="122"/>
      <c r="H779" s="122"/>
      <c r="I779" s="122"/>
      <c r="J779" s="122"/>
      <c r="K779" s="122"/>
    </row>
    <row r="780" spans="3:11" x14ac:dyDescent="0.3">
      <c r="C780" s="12"/>
      <c r="E780" s="12"/>
      <c r="F780" s="12"/>
      <c r="G780" s="122"/>
      <c r="H780" s="122"/>
      <c r="I780" s="122"/>
      <c r="J780" s="122"/>
      <c r="K780" s="122"/>
    </row>
    <row r="781" spans="3:11" x14ac:dyDescent="0.3">
      <c r="C781" s="12"/>
      <c r="E781" s="12"/>
      <c r="F781" s="12"/>
      <c r="G781" s="122"/>
      <c r="H781" s="122"/>
      <c r="I781" s="122"/>
      <c r="J781" s="122"/>
      <c r="K781" s="122"/>
    </row>
    <row r="782" spans="3:11" x14ac:dyDescent="0.3">
      <c r="C782" s="12"/>
      <c r="E782" s="12"/>
      <c r="F782" s="12"/>
      <c r="G782" s="122"/>
      <c r="H782" s="122"/>
      <c r="I782" s="122"/>
      <c r="J782" s="122"/>
      <c r="K782" s="122"/>
    </row>
    <row r="783" spans="3:11" x14ac:dyDescent="0.3">
      <c r="C783" s="12"/>
      <c r="E783" s="12"/>
      <c r="F783" s="12"/>
      <c r="G783" s="122"/>
      <c r="H783" s="122"/>
      <c r="I783" s="122"/>
      <c r="J783" s="122"/>
      <c r="K783" s="122"/>
    </row>
    <row r="784" spans="3:11" x14ac:dyDescent="0.3">
      <c r="C784" s="12"/>
      <c r="E784" s="12"/>
      <c r="F784" s="12"/>
      <c r="G784" s="122"/>
      <c r="H784" s="122"/>
      <c r="I784" s="122"/>
      <c r="J784" s="122"/>
      <c r="K784" s="122"/>
    </row>
    <row r="785" spans="3:11" x14ac:dyDescent="0.3">
      <c r="C785" s="12"/>
      <c r="E785" s="12"/>
      <c r="F785" s="12"/>
      <c r="G785" s="122"/>
      <c r="H785" s="122"/>
      <c r="I785" s="122"/>
      <c r="J785" s="122"/>
      <c r="K785" s="122"/>
    </row>
    <row r="786" spans="3:11" x14ac:dyDescent="0.3">
      <c r="C786" s="12"/>
      <c r="E786" s="12"/>
      <c r="F786" s="12"/>
      <c r="G786" s="122"/>
      <c r="H786" s="122"/>
      <c r="I786" s="122"/>
      <c r="J786" s="122"/>
      <c r="K786" s="122"/>
    </row>
    <row r="787" spans="3:11" x14ac:dyDescent="0.3">
      <c r="C787" s="12"/>
      <c r="E787" s="12"/>
      <c r="F787" s="12"/>
      <c r="G787" s="122"/>
      <c r="H787" s="122"/>
      <c r="I787" s="122"/>
      <c r="J787" s="122"/>
      <c r="K787" s="122"/>
    </row>
    <row r="788" spans="3:11" x14ac:dyDescent="0.3">
      <c r="C788" s="12"/>
      <c r="E788" s="12"/>
      <c r="F788" s="12"/>
      <c r="G788" s="122"/>
      <c r="H788" s="122"/>
      <c r="I788" s="122"/>
      <c r="J788" s="122"/>
      <c r="K788" s="122"/>
    </row>
    <row r="789" spans="3:11" x14ac:dyDescent="0.3">
      <c r="C789" s="12"/>
      <c r="E789" s="12"/>
      <c r="F789" s="12"/>
      <c r="G789" s="122"/>
      <c r="H789" s="122"/>
      <c r="I789" s="122"/>
      <c r="J789" s="122"/>
      <c r="K789" s="122"/>
    </row>
    <row r="790" spans="3:11" x14ac:dyDescent="0.3">
      <c r="C790" s="12"/>
      <c r="E790" s="12"/>
      <c r="F790" s="12"/>
      <c r="G790" s="122"/>
      <c r="H790" s="122"/>
      <c r="I790" s="122"/>
      <c r="J790" s="122"/>
      <c r="K790" s="122"/>
    </row>
    <row r="791" spans="3:11" x14ac:dyDescent="0.3">
      <c r="C791" s="12"/>
      <c r="E791" s="12"/>
      <c r="F791" s="12"/>
      <c r="G791" s="122"/>
      <c r="H791" s="122"/>
      <c r="I791" s="122"/>
      <c r="J791" s="122"/>
      <c r="K791" s="122"/>
    </row>
    <row r="792" spans="3:11" x14ac:dyDescent="0.3">
      <c r="C792" s="12"/>
      <c r="E792" s="12"/>
      <c r="F792" s="12"/>
      <c r="G792" s="122"/>
      <c r="H792" s="122"/>
      <c r="I792" s="122"/>
      <c r="J792" s="122"/>
      <c r="K792" s="122"/>
    </row>
    <row r="793" spans="3:11" x14ac:dyDescent="0.3">
      <c r="C793" s="12"/>
      <c r="E793" s="12"/>
      <c r="F793" s="12"/>
      <c r="G793" s="122"/>
      <c r="H793" s="122"/>
      <c r="I793" s="122"/>
      <c r="J793" s="122"/>
      <c r="K793" s="122"/>
    </row>
    <row r="794" spans="3:11" x14ac:dyDescent="0.3">
      <c r="C794" s="12"/>
      <c r="E794" s="12"/>
      <c r="F794" s="12"/>
      <c r="G794" s="122"/>
      <c r="H794" s="122"/>
      <c r="I794" s="122"/>
      <c r="J794" s="122"/>
      <c r="K794" s="122"/>
    </row>
    <row r="795" spans="3:11" x14ac:dyDescent="0.3">
      <c r="C795" s="12"/>
      <c r="E795" s="12"/>
      <c r="F795" s="12"/>
      <c r="G795" s="122"/>
      <c r="H795" s="122"/>
      <c r="I795" s="122"/>
      <c r="J795" s="122"/>
      <c r="K795" s="122"/>
    </row>
    <row r="796" spans="3:11" x14ac:dyDescent="0.3">
      <c r="C796" s="12"/>
      <c r="E796" s="12"/>
      <c r="F796" s="12"/>
      <c r="G796" s="122"/>
      <c r="H796" s="122"/>
      <c r="I796" s="122"/>
      <c r="J796" s="122"/>
      <c r="K796" s="122"/>
    </row>
    <row r="797" spans="3:11" x14ac:dyDescent="0.3">
      <c r="C797" s="12"/>
      <c r="E797" s="12"/>
      <c r="F797" s="12"/>
      <c r="G797" s="122"/>
      <c r="H797" s="122"/>
      <c r="I797" s="122"/>
      <c r="J797" s="122"/>
      <c r="K797" s="122"/>
    </row>
    <row r="798" spans="3:11" x14ac:dyDescent="0.3">
      <c r="C798" s="12"/>
      <c r="E798" s="12"/>
      <c r="F798" s="12"/>
      <c r="G798" s="122"/>
      <c r="H798" s="122"/>
      <c r="I798" s="122"/>
      <c r="J798" s="122"/>
      <c r="K798" s="122"/>
    </row>
    <row r="799" spans="3:11" x14ac:dyDescent="0.3">
      <c r="C799" s="12"/>
      <c r="E799" s="12"/>
      <c r="F799" s="12"/>
      <c r="G799" s="122"/>
      <c r="H799" s="122"/>
      <c r="I799" s="122"/>
      <c r="J799" s="122"/>
      <c r="K799" s="122"/>
    </row>
    <row r="800" spans="3:11" x14ac:dyDescent="0.3">
      <c r="C800" s="12"/>
      <c r="E800" s="12"/>
      <c r="F800" s="12"/>
      <c r="G800" s="122"/>
      <c r="H800" s="122"/>
      <c r="I800" s="122"/>
      <c r="J800" s="122"/>
      <c r="K800" s="122"/>
    </row>
    <row r="801" spans="3:11" x14ac:dyDescent="0.3">
      <c r="C801" s="12"/>
      <c r="E801" s="12"/>
      <c r="F801" s="12"/>
      <c r="G801" s="122"/>
      <c r="H801" s="122"/>
      <c r="I801" s="122"/>
      <c r="J801" s="122"/>
      <c r="K801" s="122"/>
    </row>
    <row r="802" spans="3:11" x14ac:dyDescent="0.3">
      <c r="C802" s="12"/>
      <c r="E802" s="12"/>
      <c r="F802" s="12"/>
      <c r="G802" s="122"/>
      <c r="H802" s="122"/>
      <c r="I802" s="122"/>
      <c r="J802" s="122"/>
      <c r="K802" s="122"/>
    </row>
    <row r="803" spans="3:11" x14ac:dyDescent="0.3">
      <c r="C803" s="12"/>
      <c r="E803" s="12"/>
      <c r="F803" s="12"/>
      <c r="G803" s="122"/>
      <c r="H803" s="122"/>
      <c r="I803" s="122"/>
      <c r="J803" s="122"/>
      <c r="K803" s="122"/>
    </row>
    <row r="804" spans="3:11" x14ac:dyDescent="0.3">
      <c r="C804" s="12"/>
      <c r="E804" s="12"/>
      <c r="F804" s="12"/>
      <c r="G804" s="122"/>
      <c r="H804" s="122"/>
      <c r="I804" s="122"/>
      <c r="J804" s="122"/>
      <c r="K804" s="122"/>
    </row>
    <row r="805" spans="3:11" x14ac:dyDescent="0.3">
      <c r="C805" s="12"/>
      <c r="E805" s="12"/>
      <c r="F805" s="12"/>
      <c r="G805" s="122"/>
      <c r="H805" s="122"/>
      <c r="I805" s="122"/>
      <c r="J805" s="122"/>
      <c r="K805" s="122"/>
    </row>
    <row r="806" spans="3:11" x14ac:dyDescent="0.3">
      <c r="C806" s="12"/>
      <c r="E806" s="12"/>
      <c r="F806" s="12"/>
      <c r="G806" s="122"/>
      <c r="H806" s="122"/>
      <c r="I806" s="122"/>
      <c r="J806" s="122"/>
      <c r="K806" s="122"/>
    </row>
    <row r="807" spans="3:11" x14ac:dyDescent="0.3">
      <c r="C807" s="12"/>
      <c r="E807" s="12"/>
      <c r="F807" s="12"/>
      <c r="G807" s="122"/>
      <c r="H807" s="122"/>
      <c r="I807" s="122"/>
      <c r="J807" s="122"/>
      <c r="K807" s="122"/>
    </row>
    <row r="808" spans="3:11" x14ac:dyDescent="0.3">
      <c r="C808" s="12"/>
      <c r="E808" s="12"/>
      <c r="F808" s="12"/>
      <c r="G808" s="122"/>
      <c r="H808" s="122"/>
      <c r="I808" s="122"/>
      <c r="J808" s="122"/>
      <c r="K808" s="122"/>
    </row>
    <row r="809" spans="3:11" x14ac:dyDescent="0.3">
      <c r="C809" s="12"/>
      <c r="E809" s="12"/>
      <c r="F809" s="12"/>
      <c r="G809" s="122"/>
      <c r="H809" s="122"/>
      <c r="I809" s="122"/>
      <c r="J809" s="122"/>
      <c r="K809" s="122"/>
    </row>
    <row r="810" spans="3:11" x14ac:dyDescent="0.3">
      <c r="C810" s="12"/>
      <c r="E810" s="12"/>
      <c r="F810" s="12"/>
      <c r="G810" s="122"/>
      <c r="H810" s="122"/>
      <c r="I810" s="122"/>
      <c r="J810" s="122"/>
      <c r="K810" s="122"/>
    </row>
    <row r="811" spans="3:11" x14ac:dyDescent="0.3">
      <c r="C811" s="12"/>
      <c r="E811" s="12"/>
      <c r="F811" s="12"/>
      <c r="G811" s="122"/>
      <c r="H811" s="122"/>
      <c r="I811" s="122"/>
      <c r="J811" s="122"/>
      <c r="K811" s="122"/>
    </row>
    <row r="812" spans="3:11" x14ac:dyDescent="0.3">
      <c r="C812" s="12"/>
      <c r="E812" s="12"/>
      <c r="F812" s="12"/>
      <c r="G812" s="122"/>
      <c r="H812" s="122"/>
      <c r="I812" s="122"/>
      <c r="J812" s="122"/>
      <c r="K812" s="122"/>
    </row>
    <row r="813" spans="3:11" x14ac:dyDescent="0.3">
      <c r="C813" s="12"/>
      <c r="E813" s="12"/>
      <c r="F813" s="12"/>
      <c r="G813" s="122"/>
      <c r="H813" s="122"/>
      <c r="I813" s="122"/>
      <c r="J813" s="122"/>
      <c r="K813" s="122"/>
    </row>
    <row r="814" spans="3:11" x14ac:dyDescent="0.3">
      <c r="C814" s="12"/>
      <c r="E814" s="12"/>
      <c r="F814" s="12"/>
      <c r="G814" s="122"/>
      <c r="H814" s="122"/>
      <c r="I814" s="122"/>
      <c r="J814" s="122"/>
      <c r="K814" s="122"/>
    </row>
    <row r="815" spans="3:11" x14ac:dyDescent="0.3">
      <c r="C815" s="12"/>
      <c r="E815" s="12"/>
      <c r="F815" s="12"/>
      <c r="G815" s="122"/>
      <c r="H815" s="122"/>
      <c r="I815" s="122"/>
      <c r="J815" s="122"/>
      <c r="K815" s="122"/>
    </row>
    <row r="816" spans="3:11" x14ac:dyDescent="0.3">
      <c r="C816" s="12"/>
      <c r="E816" s="12"/>
      <c r="F816" s="12"/>
      <c r="G816" s="122"/>
      <c r="H816" s="122"/>
      <c r="I816" s="122"/>
      <c r="J816" s="122"/>
      <c r="K816" s="122"/>
    </row>
    <row r="817" spans="3:11" x14ac:dyDescent="0.3">
      <c r="C817" s="12"/>
      <c r="E817" s="12"/>
      <c r="F817" s="12"/>
      <c r="G817" s="122"/>
      <c r="H817" s="122"/>
      <c r="I817" s="122"/>
      <c r="J817" s="122"/>
      <c r="K817" s="122"/>
    </row>
    <row r="818" spans="3:11" x14ac:dyDescent="0.3">
      <c r="C818" s="12"/>
      <c r="E818" s="12"/>
      <c r="F818" s="12"/>
      <c r="G818" s="122"/>
      <c r="H818" s="122"/>
      <c r="I818" s="122"/>
      <c r="J818" s="122"/>
      <c r="K818" s="122"/>
    </row>
    <row r="819" spans="3:11" x14ac:dyDescent="0.3">
      <c r="C819" s="12"/>
      <c r="E819" s="12"/>
      <c r="F819" s="12"/>
      <c r="G819" s="122"/>
      <c r="H819" s="122"/>
      <c r="I819" s="122"/>
      <c r="J819" s="122"/>
      <c r="K819" s="122"/>
    </row>
    <row r="820" spans="3:11" x14ac:dyDescent="0.3">
      <c r="C820" s="12"/>
      <c r="E820" s="12"/>
      <c r="F820" s="12"/>
      <c r="G820" s="122"/>
      <c r="H820" s="122"/>
      <c r="I820" s="122"/>
      <c r="J820" s="122"/>
      <c r="K820" s="122"/>
    </row>
    <row r="821" spans="3:11" x14ac:dyDescent="0.3">
      <c r="C821" s="12"/>
      <c r="E821" s="12"/>
      <c r="F821" s="12"/>
      <c r="G821" s="122"/>
      <c r="H821" s="122"/>
      <c r="I821" s="122"/>
      <c r="J821" s="122"/>
      <c r="K821" s="122"/>
    </row>
    <row r="822" spans="3:11" x14ac:dyDescent="0.3">
      <c r="C822" s="12"/>
      <c r="E822" s="12"/>
      <c r="F822" s="12"/>
      <c r="G822" s="122"/>
      <c r="H822" s="122"/>
      <c r="I822" s="122"/>
      <c r="J822" s="122"/>
      <c r="K822" s="122"/>
    </row>
    <row r="823" spans="3:11" x14ac:dyDescent="0.3">
      <c r="C823" s="12"/>
      <c r="E823" s="12"/>
      <c r="F823" s="12"/>
      <c r="G823" s="122"/>
      <c r="H823" s="122"/>
      <c r="I823" s="122"/>
      <c r="J823" s="122"/>
      <c r="K823" s="122"/>
    </row>
    <row r="824" spans="3:11" x14ac:dyDescent="0.3">
      <c r="C824" s="12"/>
      <c r="E824" s="12"/>
      <c r="F824" s="12"/>
      <c r="G824" s="122"/>
      <c r="H824" s="122"/>
      <c r="I824" s="122"/>
      <c r="J824" s="122"/>
      <c r="K824" s="122"/>
    </row>
    <row r="825" spans="3:11" x14ac:dyDescent="0.3">
      <c r="C825" s="12"/>
      <c r="E825" s="12"/>
      <c r="F825" s="12"/>
      <c r="G825" s="122"/>
      <c r="H825" s="122"/>
      <c r="I825" s="122"/>
      <c r="J825" s="122"/>
      <c r="K825" s="122"/>
    </row>
    <row r="826" spans="3:11" x14ac:dyDescent="0.3">
      <c r="C826" s="12"/>
      <c r="E826" s="12"/>
      <c r="F826" s="12"/>
      <c r="G826" s="122"/>
      <c r="H826" s="122"/>
      <c r="I826" s="122"/>
      <c r="J826" s="122"/>
      <c r="K826" s="122"/>
    </row>
    <row r="827" spans="3:11" x14ac:dyDescent="0.3">
      <c r="C827" s="12"/>
      <c r="E827" s="12"/>
      <c r="F827" s="12"/>
      <c r="G827" s="122"/>
      <c r="H827" s="122"/>
      <c r="I827" s="122"/>
      <c r="J827" s="122"/>
      <c r="K827" s="122"/>
    </row>
    <row r="828" spans="3:11" x14ac:dyDescent="0.3">
      <c r="C828" s="12"/>
      <c r="E828" s="12"/>
      <c r="F828" s="12"/>
      <c r="G828" s="122"/>
      <c r="H828" s="122"/>
      <c r="I828" s="122"/>
      <c r="J828" s="122"/>
      <c r="K828" s="122"/>
    </row>
    <row r="829" spans="3:11" x14ac:dyDescent="0.3">
      <c r="C829" s="12"/>
      <c r="E829" s="12"/>
      <c r="F829" s="12"/>
      <c r="G829" s="122"/>
      <c r="H829" s="122"/>
      <c r="I829" s="122"/>
      <c r="J829" s="122"/>
      <c r="K829" s="122"/>
    </row>
    <row r="830" spans="3:11" x14ac:dyDescent="0.3">
      <c r="C830" s="12"/>
      <c r="E830" s="12"/>
      <c r="F830" s="12"/>
      <c r="G830" s="122"/>
      <c r="H830" s="122"/>
      <c r="I830" s="122"/>
      <c r="J830" s="122"/>
      <c r="K830" s="122"/>
    </row>
    <row r="831" spans="3:11" x14ac:dyDescent="0.3">
      <c r="C831" s="12"/>
      <c r="E831" s="12"/>
      <c r="F831" s="12"/>
      <c r="G831" s="122"/>
      <c r="H831" s="122"/>
      <c r="I831" s="122"/>
      <c r="J831" s="122"/>
      <c r="K831" s="122"/>
    </row>
    <row r="832" spans="3:11" x14ac:dyDescent="0.3">
      <c r="C832" s="12"/>
      <c r="E832" s="12"/>
      <c r="F832" s="12"/>
      <c r="G832" s="122"/>
      <c r="H832" s="122"/>
      <c r="I832" s="122"/>
      <c r="J832" s="122"/>
      <c r="K832" s="122"/>
    </row>
    <row r="833" spans="3:11" x14ac:dyDescent="0.3">
      <c r="C833" s="12"/>
      <c r="E833" s="12"/>
      <c r="F833" s="12"/>
      <c r="G833" s="122"/>
      <c r="H833" s="122"/>
      <c r="I833" s="122"/>
      <c r="J833" s="122"/>
      <c r="K833" s="122"/>
    </row>
    <row r="834" spans="3:11" x14ac:dyDescent="0.3">
      <c r="C834" s="12"/>
      <c r="E834" s="12"/>
      <c r="F834" s="12"/>
      <c r="G834" s="122"/>
      <c r="H834" s="122"/>
      <c r="I834" s="122"/>
      <c r="J834" s="122"/>
      <c r="K834" s="122"/>
    </row>
    <row r="835" spans="3:11" x14ac:dyDescent="0.3">
      <c r="C835" s="12"/>
      <c r="E835" s="12"/>
      <c r="F835" s="12"/>
      <c r="G835" s="122"/>
      <c r="H835" s="122"/>
      <c r="I835" s="122"/>
      <c r="J835" s="122"/>
      <c r="K835" s="122"/>
    </row>
    <row r="836" spans="3:11" x14ac:dyDescent="0.3">
      <c r="C836" s="12"/>
      <c r="E836" s="12"/>
      <c r="F836" s="12"/>
      <c r="G836" s="122"/>
      <c r="H836" s="122"/>
      <c r="I836" s="122"/>
      <c r="J836" s="122"/>
      <c r="K836" s="122"/>
    </row>
    <row r="837" spans="3:11" x14ac:dyDescent="0.3">
      <c r="C837" s="12"/>
      <c r="E837" s="12"/>
      <c r="F837" s="12"/>
      <c r="G837" s="122"/>
      <c r="H837" s="122"/>
      <c r="I837" s="122"/>
      <c r="J837" s="122"/>
      <c r="K837" s="122"/>
    </row>
    <row r="838" spans="3:11" x14ac:dyDescent="0.3">
      <c r="C838" s="12"/>
      <c r="E838" s="12"/>
      <c r="F838" s="12"/>
      <c r="G838" s="122"/>
      <c r="H838" s="122"/>
      <c r="I838" s="122"/>
      <c r="J838" s="122"/>
      <c r="K838" s="122"/>
    </row>
    <row r="839" spans="3:11" x14ac:dyDescent="0.3">
      <c r="C839" s="12"/>
      <c r="E839" s="12"/>
      <c r="F839" s="12"/>
      <c r="G839" s="122"/>
      <c r="H839" s="122"/>
      <c r="I839" s="122"/>
      <c r="J839" s="122"/>
      <c r="K839" s="122"/>
    </row>
    <row r="840" spans="3:11" x14ac:dyDescent="0.3">
      <c r="C840" s="12"/>
      <c r="E840" s="12"/>
      <c r="F840" s="12"/>
      <c r="G840" s="122"/>
      <c r="H840" s="122"/>
      <c r="I840" s="122"/>
      <c r="J840" s="122"/>
      <c r="K840" s="122"/>
    </row>
    <row r="841" spans="3:11" x14ac:dyDescent="0.3">
      <c r="C841" s="12"/>
      <c r="E841" s="12"/>
      <c r="F841" s="12"/>
      <c r="G841" s="122"/>
      <c r="H841" s="122"/>
      <c r="I841" s="122"/>
      <c r="J841" s="122"/>
      <c r="K841" s="122"/>
    </row>
    <row r="842" spans="3:11" x14ac:dyDescent="0.3">
      <c r="C842" s="12"/>
      <c r="E842" s="12"/>
      <c r="F842" s="12"/>
      <c r="G842" s="122"/>
      <c r="H842" s="122"/>
      <c r="I842" s="122"/>
      <c r="J842" s="122"/>
      <c r="K842" s="122"/>
    </row>
    <row r="843" spans="3:11" x14ac:dyDescent="0.3">
      <c r="C843" s="12"/>
      <c r="E843" s="12"/>
      <c r="F843" s="12"/>
      <c r="G843" s="122"/>
      <c r="H843" s="122"/>
      <c r="I843" s="122"/>
      <c r="J843" s="122"/>
      <c r="K843" s="122"/>
    </row>
    <row r="844" spans="3:11" x14ac:dyDescent="0.3">
      <c r="C844" s="12"/>
      <c r="E844" s="12"/>
      <c r="F844" s="12"/>
      <c r="G844" s="122"/>
      <c r="H844" s="122"/>
      <c r="I844" s="122"/>
      <c r="J844" s="122"/>
      <c r="K844" s="122"/>
    </row>
    <row r="845" spans="3:11" x14ac:dyDescent="0.3">
      <c r="C845" s="12"/>
      <c r="E845" s="12"/>
      <c r="F845" s="12"/>
      <c r="G845" s="122"/>
      <c r="H845" s="122"/>
      <c r="I845" s="122"/>
      <c r="J845" s="122"/>
      <c r="K845" s="122"/>
    </row>
    <row r="846" spans="3:11" x14ac:dyDescent="0.3">
      <c r="C846" s="12"/>
      <c r="E846" s="12"/>
      <c r="F846" s="12"/>
      <c r="G846" s="122"/>
      <c r="H846" s="122"/>
      <c r="I846" s="122"/>
      <c r="J846" s="122"/>
      <c r="K846" s="122"/>
    </row>
    <row r="847" spans="3:11" x14ac:dyDescent="0.3">
      <c r="C847" s="12"/>
      <c r="E847" s="12"/>
      <c r="F847" s="12"/>
      <c r="G847" s="122"/>
      <c r="H847" s="122"/>
      <c r="I847" s="122"/>
      <c r="J847" s="122"/>
      <c r="K847" s="122"/>
    </row>
    <row r="848" spans="3:11" x14ac:dyDescent="0.3">
      <c r="C848" s="12"/>
      <c r="E848" s="12"/>
      <c r="F848" s="12"/>
      <c r="G848" s="122"/>
      <c r="H848" s="122"/>
      <c r="I848" s="122"/>
      <c r="J848" s="122"/>
      <c r="K848" s="122"/>
    </row>
    <row r="849" spans="3:11" x14ac:dyDescent="0.3">
      <c r="C849" s="12"/>
      <c r="E849" s="12"/>
      <c r="F849" s="12"/>
      <c r="G849" s="122"/>
      <c r="H849" s="122"/>
      <c r="I849" s="122"/>
      <c r="J849" s="122"/>
      <c r="K849" s="122"/>
    </row>
    <row r="850" spans="3:11" x14ac:dyDescent="0.3">
      <c r="C850" s="12"/>
      <c r="E850" s="12"/>
      <c r="F850" s="12"/>
      <c r="G850" s="122"/>
      <c r="H850" s="122"/>
      <c r="I850" s="122"/>
      <c r="J850" s="122"/>
      <c r="K850" s="122"/>
    </row>
    <row r="851" spans="3:11" x14ac:dyDescent="0.3">
      <c r="C851" s="12"/>
      <c r="E851" s="12"/>
      <c r="F851" s="12"/>
      <c r="G851" s="122"/>
      <c r="H851" s="122"/>
      <c r="I851" s="122"/>
      <c r="J851" s="122"/>
      <c r="K851" s="122"/>
    </row>
    <row r="852" spans="3:11" x14ac:dyDescent="0.3">
      <c r="C852" s="12"/>
      <c r="E852" s="12"/>
      <c r="F852" s="12"/>
      <c r="G852" s="122"/>
      <c r="H852" s="122"/>
      <c r="I852" s="122"/>
      <c r="J852" s="122"/>
      <c r="K852" s="122"/>
    </row>
    <row r="853" spans="3:11" x14ac:dyDescent="0.3">
      <c r="C853" s="12"/>
      <c r="E853" s="12"/>
      <c r="F853" s="12"/>
      <c r="G853" s="122"/>
      <c r="H853" s="122"/>
      <c r="I853" s="122"/>
      <c r="J853" s="122"/>
      <c r="K853" s="122"/>
    </row>
    <row r="854" spans="3:11" x14ac:dyDescent="0.3">
      <c r="C854" s="12"/>
      <c r="E854" s="12"/>
      <c r="F854" s="12"/>
      <c r="G854" s="122"/>
      <c r="H854" s="122"/>
      <c r="I854" s="122"/>
      <c r="J854" s="122"/>
      <c r="K854" s="122"/>
    </row>
    <row r="855" spans="3:11" x14ac:dyDescent="0.3">
      <c r="C855" s="12"/>
      <c r="E855" s="12"/>
      <c r="F855" s="12"/>
      <c r="G855" s="122"/>
      <c r="H855" s="122"/>
      <c r="I855" s="122"/>
      <c r="J855" s="122"/>
      <c r="K855" s="122"/>
    </row>
    <row r="856" spans="3:11" x14ac:dyDescent="0.3">
      <c r="C856" s="12"/>
      <c r="E856" s="12"/>
      <c r="F856" s="12"/>
      <c r="G856" s="122"/>
      <c r="H856" s="122"/>
      <c r="I856" s="122"/>
      <c r="J856" s="122"/>
      <c r="K856" s="122"/>
    </row>
    <row r="857" spans="3:11" x14ac:dyDescent="0.3">
      <c r="C857" s="12"/>
      <c r="E857" s="12"/>
      <c r="F857" s="12"/>
      <c r="G857" s="122"/>
      <c r="H857" s="122"/>
      <c r="I857" s="122"/>
      <c r="J857" s="122"/>
      <c r="K857" s="122"/>
    </row>
    <row r="858" spans="3:11" x14ac:dyDescent="0.3">
      <c r="C858" s="12"/>
      <c r="E858" s="12"/>
      <c r="F858" s="12"/>
      <c r="G858" s="122"/>
      <c r="H858" s="122"/>
      <c r="I858" s="122"/>
      <c r="J858" s="122"/>
      <c r="K858" s="122"/>
    </row>
    <row r="859" spans="3:11" x14ac:dyDescent="0.3">
      <c r="C859" s="12"/>
      <c r="E859" s="12"/>
      <c r="F859" s="12"/>
      <c r="G859" s="122"/>
      <c r="H859" s="122"/>
      <c r="I859" s="122"/>
      <c r="J859" s="122"/>
      <c r="K859" s="122"/>
    </row>
    <row r="860" spans="3:11" x14ac:dyDescent="0.3">
      <c r="C860" s="12"/>
      <c r="E860" s="12"/>
      <c r="F860" s="12"/>
      <c r="G860" s="122"/>
      <c r="H860" s="122"/>
      <c r="I860" s="122"/>
      <c r="J860" s="122"/>
      <c r="K860" s="122"/>
    </row>
    <row r="861" spans="3:11" x14ac:dyDescent="0.3">
      <c r="C861" s="12"/>
      <c r="E861" s="12"/>
      <c r="F861" s="12"/>
      <c r="G861" s="122"/>
      <c r="H861" s="122"/>
      <c r="I861" s="122"/>
      <c r="J861" s="122"/>
      <c r="K861" s="122"/>
    </row>
    <row r="862" spans="3:11" x14ac:dyDescent="0.3">
      <c r="C862" s="12"/>
      <c r="E862" s="12"/>
      <c r="F862" s="12"/>
      <c r="G862" s="122"/>
      <c r="H862" s="122"/>
      <c r="I862" s="122"/>
      <c r="J862" s="122"/>
      <c r="K862" s="122"/>
    </row>
    <row r="863" spans="3:11" x14ac:dyDescent="0.3">
      <c r="C863" s="12"/>
      <c r="E863" s="12"/>
      <c r="F863" s="12"/>
      <c r="G863" s="122"/>
      <c r="H863" s="122"/>
      <c r="I863" s="122"/>
      <c r="J863" s="122"/>
      <c r="K863" s="122"/>
    </row>
    <row r="864" spans="3:11" x14ac:dyDescent="0.3">
      <c r="C864" s="12"/>
      <c r="E864" s="12"/>
      <c r="F864" s="12"/>
      <c r="G864" s="122"/>
      <c r="H864" s="122"/>
      <c r="I864" s="122"/>
      <c r="J864" s="122"/>
      <c r="K864" s="122"/>
    </row>
    <row r="865" spans="3:11" x14ac:dyDescent="0.3">
      <c r="C865" s="12"/>
      <c r="E865" s="12"/>
      <c r="F865" s="12"/>
      <c r="G865" s="122"/>
      <c r="H865" s="122"/>
      <c r="I865" s="122"/>
      <c r="J865" s="122"/>
      <c r="K865" s="122"/>
    </row>
    <row r="866" spans="3:11" x14ac:dyDescent="0.3">
      <c r="C866" s="12"/>
      <c r="E866" s="12"/>
      <c r="F866" s="12"/>
      <c r="G866" s="122"/>
      <c r="H866" s="122"/>
      <c r="I866" s="122"/>
      <c r="J866" s="122"/>
      <c r="K866" s="122"/>
    </row>
    <row r="867" spans="3:11" x14ac:dyDescent="0.3">
      <c r="C867" s="12"/>
      <c r="E867" s="12"/>
      <c r="F867" s="12"/>
      <c r="G867" s="122"/>
      <c r="H867" s="122"/>
      <c r="I867" s="122"/>
      <c r="J867" s="122"/>
      <c r="K867" s="122"/>
    </row>
    <row r="868" spans="3:11" x14ac:dyDescent="0.3">
      <c r="C868" s="12"/>
      <c r="E868" s="12"/>
      <c r="F868" s="12"/>
      <c r="G868" s="122"/>
      <c r="H868" s="122"/>
      <c r="I868" s="122"/>
      <c r="J868" s="122"/>
      <c r="K868" s="122"/>
    </row>
    <row r="869" spans="3:11" x14ac:dyDescent="0.3">
      <c r="C869" s="12"/>
      <c r="E869" s="12"/>
      <c r="F869" s="12"/>
      <c r="G869" s="122"/>
      <c r="H869" s="122"/>
      <c r="I869" s="122"/>
      <c r="J869" s="122"/>
      <c r="K869" s="122"/>
    </row>
    <row r="870" spans="3:11" x14ac:dyDescent="0.3">
      <c r="C870" s="12"/>
      <c r="E870" s="12"/>
      <c r="F870" s="12"/>
      <c r="G870" s="122"/>
      <c r="H870" s="122"/>
      <c r="I870" s="122"/>
      <c r="J870" s="122"/>
      <c r="K870" s="122"/>
    </row>
    <row r="871" spans="3:11" x14ac:dyDescent="0.3">
      <c r="C871" s="12"/>
      <c r="E871" s="12"/>
      <c r="F871" s="12"/>
      <c r="G871" s="122"/>
      <c r="H871" s="122"/>
      <c r="I871" s="122"/>
      <c r="J871" s="122"/>
      <c r="K871" s="122"/>
    </row>
    <row r="872" spans="3:11" x14ac:dyDescent="0.3">
      <c r="C872" s="12"/>
      <c r="E872" s="12"/>
      <c r="F872" s="12"/>
      <c r="G872" s="122"/>
      <c r="H872" s="122"/>
      <c r="I872" s="122"/>
      <c r="J872" s="122"/>
      <c r="K872" s="122"/>
    </row>
    <row r="873" spans="3:11" x14ac:dyDescent="0.3">
      <c r="C873" s="12"/>
      <c r="E873" s="12"/>
      <c r="F873" s="12"/>
      <c r="G873" s="122"/>
      <c r="H873" s="122"/>
      <c r="I873" s="122"/>
      <c r="J873" s="122"/>
      <c r="K873" s="122"/>
    </row>
    <row r="874" spans="3:11" x14ac:dyDescent="0.3">
      <c r="C874" s="12"/>
      <c r="E874" s="12"/>
      <c r="F874" s="12"/>
      <c r="G874" s="122"/>
      <c r="H874" s="122"/>
      <c r="I874" s="122"/>
      <c r="J874" s="122"/>
      <c r="K874" s="122"/>
    </row>
    <row r="875" spans="3:11" x14ac:dyDescent="0.3">
      <c r="C875" s="12"/>
      <c r="E875" s="12"/>
      <c r="F875" s="12"/>
      <c r="G875" s="122"/>
      <c r="H875" s="122"/>
      <c r="I875" s="122"/>
      <c r="J875" s="122"/>
      <c r="K875" s="122"/>
    </row>
    <row r="876" spans="3:11" x14ac:dyDescent="0.3">
      <c r="C876" s="12"/>
      <c r="E876" s="12"/>
      <c r="F876" s="12"/>
      <c r="G876" s="122"/>
      <c r="H876" s="122"/>
      <c r="I876" s="122"/>
      <c r="J876" s="122"/>
      <c r="K876" s="122"/>
    </row>
    <row r="877" spans="3:11" x14ac:dyDescent="0.3">
      <c r="C877" s="12"/>
      <c r="E877" s="12"/>
      <c r="F877" s="12"/>
      <c r="G877" s="122"/>
      <c r="H877" s="122"/>
      <c r="I877" s="122"/>
      <c r="J877" s="122"/>
      <c r="K877" s="122"/>
    </row>
    <row r="878" spans="3:11" x14ac:dyDescent="0.3">
      <c r="C878" s="12"/>
      <c r="E878" s="12"/>
      <c r="F878" s="12"/>
      <c r="G878" s="122"/>
      <c r="H878" s="122"/>
      <c r="I878" s="122"/>
      <c r="J878" s="122"/>
      <c r="K878" s="122"/>
    </row>
    <row r="879" spans="3:11" x14ac:dyDescent="0.3">
      <c r="C879" s="12"/>
      <c r="E879" s="12"/>
      <c r="F879" s="12"/>
      <c r="G879" s="122"/>
      <c r="H879" s="122"/>
      <c r="I879" s="122"/>
      <c r="J879" s="122"/>
      <c r="K879" s="122"/>
    </row>
    <row r="880" spans="3:11" x14ac:dyDescent="0.3">
      <c r="C880" s="12"/>
      <c r="E880" s="12"/>
      <c r="F880" s="12"/>
      <c r="G880" s="122"/>
      <c r="H880" s="122"/>
      <c r="I880" s="122"/>
      <c r="J880" s="122"/>
      <c r="K880" s="122"/>
    </row>
    <row r="881" spans="3:11" x14ac:dyDescent="0.3">
      <c r="C881" s="12"/>
      <c r="E881" s="12"/>
      <c r="F881" s="12"/>
      <c r="G881" s="122"/>
      <c r="H881" s="122"/>
      <c r="I881" s="122"/>
      <c r="J881" s="122"/>
      <c r="K881" s="122"/>
    </row>
    <row r="882" spans="3:11" x14ac:dyDescent="0.3">
      <c r="C882" s="12"/>
      <c r="E882" s="12"/>
      <c r="F882" s="12"/>
      <c r="G882" s="122"/>
      <c r="H882" s="122"/>
      <c r="I882" s="122"/>
      <c r="J882" s="122"/>
      <c r="K882" s="122"/>
    </row>
    <row r="883" spans="3:11" x14ac:dyDescent="0.3">
      <c r="C883" s="12"/>
      <c r="E883" s="12"/>
      <c r="F883" s="12"/>
      <c r="G883" s="122"/>
      <c r="H883" s="122"/>
      <c r="I883" s="122"/>
      <c r="J883" s="122"/>
      <c r="K883" s="122"/>
    </row>
    <row r="884" spans="3:11" x14ac:dyDescent="0.3">
      <c r="C884" s="12"/>
      <c r="E884" s="12"/>
      <c r="F884" s="12"/>
      <c r="G884" s="122"/>
      <c r="H884" s="122"/>
      <c r="I884" s="122"/>
      <c r="J884" s="122"/>
      <c r="K884" s="122"/>
    </row>
    <row r="885" spans="3:11" x14ac:dyDescent="0.3">
      <c r="C885" s="12"/>
      <c r="E885" s="12"/>
      <c r="F885" s="12"/>
      <c r="G885" s="122"/>
      <c r="H885" s="122"/>
      <c r="I885" s="122"/>
      <c r="J885" s="122"/>
      <c r="K885" s="122"/>
    </row>
    <row r="886" spans="3:11" x14ac:dyDescent="0.3">
      <c r="C886" s="12"/>
      <c r="E886" s="12"/>
      <c r="F886" s="12"/>
      <c r="G886" s="122"/>
      <c r="H886" s="122"/>
      <c r="I886" s="122"/>
      <c r="J886" s="122"/>
      <c r="K886" s="122"/>
    </row>
    <row r="887" spans="3:11" x14ac:dyDescent="0.3">
      <c r="C887" s="12"/>
      <c r="E887" s="12"/>
      <c r="F887" s="12"/>
      <c r="G887" s="122"/>
      <c r="H887" s="122"/>
      <c r="I887" s="122"/>
      <c r="J887" s="122"/>
      <c r="K887" s="122"/>
    </row>
    <row r="888" spans="3:11" x14ac:dyDescent="0.3">
      <c r="C888" s="12"/>
      <c r="E888" s="12"/>
      <c r="F888" s="12"/>
      <c r="G888" s="122"/>
      <c r="H888" s="122"/>
      <c r="I888" s="122"/>
      <c r="J888" s="122"/>
      <c r="K888" s="122"/>
    </row>
    <row r="889" spans="3:11" x14ac:dyDescent="0.3">
      <c r="C889" s="12"/>
      <c r="E889" s="12"/>
      <c r="F889" s="12"/>
      <c r="G889" s="122"/>
      <c r="H889" s="122"/>
      <c r="I889" s="122"/>
      <c r="J889" s="122"/>
      <c r="K889" s="122"/>
    </row>
    <row r="890" spans="3:11" x14ac:dyDescent="0.3">
      <c r="C890" s="12"/>
      <c r="E890" s="12"/>
      <c r="F890" s="12"/>
      <c r="G890" s="122"/>
      <c r="H890" s="122"/>
      <c r="I890" s="122"/>
      <c r="J890" s="122"/>
      <c r="K890" s="122"/>
    </row>
    <row r="891" spans="3:11" x14ac:dyDescent="0.3">
      <c r="C891" s="12"/>
      <c r="E891" s="12"/>
      <c r="F891" s="12"/>
      <c r="G891" s="122"/>
      <c r="H891" s="122"/>
      <c r="I891" s="122"/>
      <c r="J891" s="122"/>
      <c r="K891" s="122"/>
    </row>
    <row r="892" spans="3:11" x14ac:dyDescent="0.3">
      <c r="C892" s="12"/>
      <c r="E892" s="12"/>
      <c r="F892" s="12"/>
      <c r="G892" s="122"/>
      <c r="H892" s="122"/>
      <c r="I892" s="122"/>
      <c r="J892" s="122"/>
      <c r="K892" s="122"/>
    </row>
    <row r="893" spans="3:11" x14ac:dyDescent="0.3">
      <c r="C893" s="12"/>
      <c r="E893" s="12"/>
      <c r="F893" s="12"/>
      <c r="G893" s="122"/>
      <c r="H893" s="122"/>
      <c r="I893" s="122"/>
      <c r="J893" s="122"/>
      <c r="K893" s="122"/>
    </row>
    <row r="894" spans="3:11" x14ac:dyDescent="0.3">
      <c r="C894" s="12"/>
      <c r="E894" s="12"/>
      <c r="F894" s="12"/>
      <c r="G894" s="122"/>
      <c r="H894" s="122"/>
      <c r="I894" s="122"/>
      <c r="J894" s="122"/>
      <c r="K894" s="122"/>
    </row>
    <row r="895" spans="3:11" x14ac:dyDescent="0.3">
      <c r="C895" s="12"/>
      <c r="E895" s="12"/>
      <c r="F895" s="12"/>
      <c r="G895" s="122"/>
      <c r="H895" s="122"/>
      <c r="I895" s="122"/>
      <c r="J895" s="122"/>
      <c r="K895" s="122"/>
    </row>
    <row r="896" spans="3:11" x14ac:dyDescent="0.3">
      <c r="C896" s="12"/>
      <c r="E896" s="12"/>
      <c r="F896" s="12"/>
      <c r="G896" s="122"/>
      <c r="H896" s="122"/>
      <c r="I896" s="122"/>
      <c r="J896" s="122"/>
      <c r="K896" s="122"/>
    </row>
    <row r="897" spans="3:11" x14ac:dyDescent="0.3">
      <c r="C897" s="12"/>
      <c r="E897" s="12"/>
      <c r="F897" s="12"/>
      <c r="G897" s="122"/>
      <c r="H897" s="122"/>
      <c r="I897" s="122"/>
      <c r="J897" s="122"/>
      <c r="K897" s="122"/>
    </row>
    <row r="898" spans="3:11" x14ac:dyDescent="0.3">
      <c r="C898" s="12"/>
      <c r="E898" s="12"/>
      <c r="F898" s="12"/>
      <c r="G898" s="122"/>
      <c r="H898" s="122"/>
      <c r="I898" s="122"/>
      <c r="J898" s="122"/>
      <c r="K898" s="122"/>
    </row>
    <row r="899" spans="3:11" x14ac:dyDescent="0.3">
      <c r="C899" s="12"/>
      <c r="E899" s="12"/>
      <c r="F899" s="12"/>
      <c r="G899" s="122"/>
      <c r="H899" s="122"/>
      <c r="I899" s="122"/>
      <c r="J899" s="122"/>
      <c r="K899" s="122"/>
    </row>
    <row r="900" spans="3:11" x14ac:dyDescent="0.3">
      <c r="C900" s="12"/>
      <c r="E900" s="12"/>
      <c r="F900" s="12"/>
      <c r="G900" s="122"/>
      <c r="H900" s="122"/>
      <c r="I900" s="122"/>
      <c r="J900" s="122"/>
      <c r="K900" s="122"/>
    </row>
    <row r="901" spans="3:11" x14ac:dyDescent="0.3">
      <c r="C901" s="12"/>
      <c r="E901" s="12"/>
      <c r="F901" s="12"/>
      <c r="G901" s="122"/>
      <c r="H901" s="122"/>
      <c r="I901" s="122"/>
      <c r="J901" s="122"/>
      <c r="K901" s="122"/>
    </row>
    <row r="902" spans="3:11" x14ac:dyDescent="0.3">
      <c r="C902" s="12"/>
      <c r="E902" s="12"/>
      <c r="F902" s="12"/>
      <c r="G902" s="122"/>
      <c r="H902" s="122"/>
      <c r="I902" s="122"/>
      <c r="J902" s="122"/>
      <c r="K902" s="122"/>
    </row>
    <row r="903" spans="3:11" x14ac:dyDescent="0.3">
      <c r="C903" s="12"/>
      <c r="E903" s="12"/>
      <c r="F903" s="12"/>
      <c r="G903" s="122"/>
      <c r="H903" s="122"/>
      <c r="I903" s="122"/>
      <c r="J903" s="122"/>
      <c r="K903" s="122"/>
    </row>
    <row r="904" spans="3:11" x14ac:dyDescent="0.3">
      <c r="C904" s="12"/>
      <c r="E904" s="12"/>
      <c r="F904" s="12"/>
      <c r="G904" s="122"/>
      <c r="H904" s="122"/>
      <c r="I904" s="122"/>
      <c r="J904" s="122"/>
      <c r="K904" s="122"/>
    </row>
    <row r="905" spans="3:11" x14ac:dyDescent="0.3">
      <c r="C905" s="12"/>
      <c r="E905" s="12"/>
      <c r="F905" s="12"/>
      <c r="G905" s="122"/>
      <c r="H905" s="122"/>
      <c r="I905" s="122"/>
      <c r="J905" s="122"/>
      <c r="K905" s="122"/>
    </row>
    <row r="906" spans="3:11" x14ac:dyDescent="0.3">
      <c r="C906" s="12"/>
      <c r="E906" s="12"/>
      <c r="F906" s="12"/>
      <c r="G906" s="122"/>
      <c r="H906" s="122"/>
      <c r="I906" s="122"/>
      <c r="J906" s="122"/>
      <c r="K906" s="122"/>
    </row>
    <row r="907" spans="3:11" x14ac:dyDescent="0.3">
      <c r="C907" s="12"/>
      <c r="E907" s="12"/>
      <c r="F907" s="12"/>
      <c r="G907" s="122"/>
      <c r="H907" s="122"/>
      <c r="I907" s="122"/>
      <c r="J907" s="122"/>
      <c r="K907" s="122"/>
    </row>
    <row r="908" spans="3:11" x14ac:dyDescent="0.3">
      <c r="C908" s="12"/>
      <c r="E908" s="12"/>
      <c r="F908" s="12"/>
      <c r="G908" s="122"/>
      <c r="H908" s="122"/>
      <c r="I908" s="122"/>
      <c r="J908" s="122"/>
      <c r="K908" s="122"/>
    </row>
    <row r="909" spans="3:11" x14ac:dyDescent="0.3">
      <c r="C909" s="12"/>
      <c r="E909" s="12"/>
      <c r="F909" s="12"/>
      <c r="G909" s="122"/>
      <c r="H909" s="122"/>
      <c r="I909" s="122"/>
      <c r="J909" s="122"/>
      <c r="K909" s="122"/>
    </row>
    <row r="910" spans="3:11" x14ac:dyDescent="0.3">
      <c r="C910" s="12"/>
      <c r="E910" s="12"/>
      <c r="F910" s="12"/>
      <c r="G910" s="122"/>
      <c r="H910" s="122"/>
      <c r="I910" s="122"/>
      <c r="J910" s="122"/>
      <c r="K910" s="122"/>
    </row>
    <row r="911" spans="3:11" x14ac:dyDescent="0.3">
      <c r="C911" s="12"/>
      <c r="E911" s="12"/>
      <c r="F911" s="12"/>
      <c r="G911" s="122"/>
      <c r="H911" s="122"/>
      <c r="I911" s="122"/>
      <c r="J911" s="122"/>
      <c r="K911" s="122"/>
    </row>
    <row r="912" spans="3:11" x14ac:dyDescent="0.3">
      <c r="C912" s="12"/>
      <c r="E912" s="12"/>
      <c r="F912" s="12"/>
      <c r="G912" s="122"/>
      <c r="H912" s="122"/>
      <c r="I912" s="122"/>
      <c r="J912" s="122"/>
      <c r="K912" s="122"/>
    </row>
    <row r="913" spans="3:11" x14ac:dyDescent="0.3">
      <c r="C913" s="12"/>
      <c r="E913" s="12"/>
      <c r="F913" s="12"/>
      <c r="G913" s="122"/>
      <c r="H913" s="122"/>
      <c r="I913" s="122"/>
      <c r="J913" s="122"/>
      <c r="K913" s="122"/>
    </row>
    <row r="914" spans="3:11" x14ac:dyDescent="0.3">
      <c r="C914" s="12"/>
      <c r="E914" s="12"/>
      <c r="F914" s="12"/>
      <c r="G914" s="122"/>
      <c r="H914" s="122"/>
      <c r="I914" s="122"/>
      <c r="J914" s="122"/>
      <c r="K914" s="122"/>
    </row>
    <row r="915" spans="3:11" x14ac:dyDescent="0.3">
      <c r="C915" s="12"/>
      <c r="E915" s="12"/>
      <c r="F915" s="12"/>
      <c r="G915" s="122"/>
      <c r="H915" s="122"/>
      <c r="I915" s="122"/>
      <c r="J915" s="122"/>
      <c r="K915" s="122"/>
    </row>
    <row r="916" spans="3:11" x14ac:dyDescent="0.3">
      <c r="C916" s="12"/>
      <c r="E916" s="12"/>
      <c r="F916" s="12"/>
      <c r="G916" s="122"/>
      <c r="H916" s="122"/>
      <c r="I916" s="122"/>
      <c r="J916" s="122"/>
      <c r="K916" s="122"/>
    </row>
    <row r="917" spans="3:11" x14ac:dyDescent="0.3">
      <c r="C917" s="12"/>
      <c r="E917" s="12"/>
      <c r="F917" s="12"/>
      <c r="G917" s="122"/>
      <c r="H917" s="122"/>
      <c r="I917" s="122"/>
      <c r="J917" s="122"/>
      <c r="K917" s="122"/>
    </row>
    <row r="918" spans="3:11" x14ac:dyDescent="0.3">
      <c r="C918" s="12"/>
      <c r="E918" s="12"/>
      <c r="F918" s="12"/>
      <c r="G918" s="122"/>
      <c r="H918" s="122"/>
      <c r="I918" s="122"/>
      <c r="J918" s="122"/>
      <c r="K918" s="122"/>
    </row>
    <row r="919" spans="3:11" x14ac:dyDescent="0.3">
      <c r="C919" s="12"/>
      <c r="E919" s="12"/>
      <c r="F919" s="12"/>
      <c r="G919" s="122"/>
      <c r="H919" s="122"/>
      <c r="I919" s="122"/>
      <c r="J919" s="122"/>
      <c r="K919" s="122"/>
    </row>
    <row r="920" spans="3:11" x14ac:dyDescent="0.3">
      <c r="C920" s="12"/>
      <c r="E920" s="12"/>
      <c r="F920" s="12"/>
      <c r="G920" s="122"/>
      <c r="H920" s="122"/>
      <c r="I920" s="122"/>
      <c r="J920" s="122"/>
      <c r="K920" s="122"/>
    </row>
    <row r="921" spans="3:11" x14ac:dyDescent="0.3">
      <c r="C921" s="12"/>
      <c r="E921" s="12"/>
      <c r="F921" s="12"/>
      <c r="G921" s="122"/>
      <c r="H921" s="122"/>
      <c r="I921" s="122"/>
      <c r="J921" s="122"/>
      <c r="K921" s="122"/>
    </row>
    <row r="922" spans="3:11" x14ac:dyDescent="0.3">
      <c r="C922" s="12"/>
      <c r="E922" s="12"/>
      <c r="F922" s="12"/>
      <c r="G922" s="122"/>
      <c r="H922" s="122"/>
      <c r="I922" s="122"/>
      <c r="J922" s="122"/>
      <c r="K922" s="122"/>
    </row>
    <row r="923" spans="3:11" x14ac:dyDescent="0.3">
      <c r="C923" s="12"/>
      <c r="E923" s="12"/>
      <c r="F923" s="12"/>
      <c r="G923" s="122"/>
      <c r="H923" s="122"/>
      <c r="I923" s="122"/>
      <c r="J923" s="122"/>
      <c r="K923" s="122"/>
    </row>
    <row r="924" spans="3:11" x14ac:dyDescent="0.3">
      <c r="C924" s="12"/>
      <c r="E924" s="12"/>
      <c r="F924" s="12"/>
      <c r="G924" s="122"/>
      <c r="H924" s="122"/>
      <c r="I924" s="122"/>
      <c r="J924" s="122"/>
      <c r="K924" s="122"/>
    </row>
    <row r="925" spans="3:11" x14ac:dyDescent="0.3">
      <c r="C925" s="12"/>
      <c r="E925" s="12"/>
      <c r="F925" s="12"/>
      <c r="G925" s="122"/>
      <c r="H925" s="122"/>
      <c r="I925" s="122"/>
      <c r="J925" s="122"/>
      <c r="K925" s="122"/>
    </row>
    <row r="926" spans="3:11" x14ac:dyDescent="0.3">
      <c r="C926" s="12"/>
      <c r="E926" s="12"/>
      <c r="F926" s="12"/>
      <c r="G926" s="122"/>
      <c r="H926" s="122"/>
      <c r="I926" s="122"/>
      <c r="J926" s="122"/>
      <c r="K926" s="122"/>
    </row>
    <row r="927" spans="3:11" x14ac:dyDescent="0.3">
      <c r="C927" s="12"/>
      <c r="E927" s="12"/>
      <c r="F927" s="12"/>
      <c r="G927" s="122"/>
      <c r="H927" s="122"/>
      <c r="I927" s="122"/>
      <c r="J927" s="122"/>
      <c r="K927" s="122"/>
    </row>
    <row r="928" spans="3:11" x14ac:dyDescent="0.3">
      <c r="C928" s="12"/>
      <c r="E928" s="12"/>
      <c r="F928" s="12"/>
      <c r="G928" s="122"/>
      <c r="H928" s="122"/>
      <c r="I928" s="122"/>
      <c r="J928" s="122"/>
      <c r="K928" s="122"/>
    </row>
    <row r="929" spans="3:11" x14ac:dyDescent="0.3">
      <c r="C929" s="12"/>
      <c r="E929" s="12"/>
      <c r="F929" s="12"/>
      <c r="G929" s="122"/>
      <c r="H929" s="122"/>
      <c r="I929" s="122"/>
      <c r="J929" s="122"/>
      <c r="K929" s="122"/>
    </row>
    <row r="930" spans="3:11" x14ac:dyDescent="0.3">
      <c r="C930" s="12"/>
      <c r="E930" s="12"/>
      <c r="F930" s="12"/>
      <c r="G930" s="122"/>
      <c r="H930" s="122"/>
      <c r="I930" s="122"/>
      <c r="J930" s="122"/>
      <c r="K930" s="122"/>
    </row>
    <row r="931" spans="3:11" x14ac:dyDescent="0.3">
      <c r="C931" s="12"/>
      <c r="E931" s="12"/>
      <c r="F931" s="12"/>
      <c r="G931" s="122"/>
      <c r="H931" s="122"/>
      <c r="I931" s="122"/>
      <c r="J931" s="122"/>
      <c r="K931" s="122"/>
    </row>
    <row r="932" spans="3:11" x14ac:dyDescent="0.3">
      <c r="C932" s="12"/>
      <c r="E932" s="12"/>
      <c r="F932" s="12"/>
      <c r="G932" s="122"/>
      <c r="H932" s="122"/>
      <c r="I932" s="122"/>
      <c r="J932" s="122"/>
      <c r="K932" s="122"/>
    </row>
    <row r="933" spans="3:11" x14ac:dyDescent="0.3">
      <c r="C933" s="12"/>
      <c r="E933" s="12"/>
      <c r="F933" s="12"/>
      <c r="G933" s="122"/>
      <c r="H933" s="122"/>
      <c r="I933" s="122"/>
      <c r="J933" s="122"/>
      <c r="K933" s="122"/>
    </row>
    <row r="934" spans="3:11" x14ac:dyDescent="0.3">
      <c r="C934" s="12"/>
      <c r="E934" s="12"/>
      <c r="F934" s="12"/>
      <c r="G934" s="122"/>
      <c r="H934" s="122"/>
      <c r="I934" s="122"/>
      <c r="J934" s="122"/>
      <c r="K934" s="122"/>
    </row>
    <row r="935" spans="3:11" x14ac:dyDescent="0.3">
      <c r="C935" s="12"/>
      <c r="E935" s="12"/>
      <c r="F935" s="12"/>
      <c r="G935" s="122"/>
      <c r="H935" s="122"/>
      <c r="I935" s="122"/>
      <c r="J935" s="122"/>
      <c r="K935" s="122"/>
    </row>
    <row r="936" spans="3:11" x14ac:dyDescent="0.3">
      <c r="C936" s="12"/>
      <c r="E936" s="12"/>
      <c r="F936" s="12"/>
      <c r="G936" s="122"/>
      <c r="H936" s="122"/>
      <c r="I936" s="122"/>
      <c r="J936" s="122"/>
      <c r="K936" s="122"/>
    </row>
    <row r="937" spans="3:11" x14ac:dyDescent="0.3">
      <c r="C937" s="12"/>
      <c r="E937" s="12"/>
      <c r="F937" s="12"/>
      <c r="G937" s="122"/>
      <c r="H937" s="122"/>
      <c r="I937" s="122"/>
      <c r="J937" s="122"/>
      <c r="K937" s="122"/>
    </row>
    <row r="938" spans="3:11" x14ac:dyDescent="0.3">
      <c r="C938" s="12"/>
      <c r="E938" s="12"/>
      <c r="F938" s="12"/>
      <c r="G938" s="122"/>
      <c r="H938" s="122"/>
      <c r="I938" s="122"/>
      <c r="J938" s="122"/>
      <c r="K938" s="122"/>
    </row>
    <row r="939" spans="3:11" x14ac:dyDescent="0.3">
      <c r="C939" s="12"/>
      <c r="E939" s="12"/>
      <c r="F939" s="12"/>
      <c r="G939" s="122"/>
      <c r="H939" s="122"/>
      <c r="I939" s="122"/>
      <c r="J939" s="122"/>
      <c r="K939" s="122"/>
    </row>
    <row r="940" spans="3:11" x14ac:dyDescent="0.3">
      <c r="C940" s="12"/>
      <c r="E940" s="12"/>
      <c r="F940" s="12"/>
      <c r="G940" s="122"/>
      <c r="H940" s="122"/>
      <c r="I940" s="122"/>
      <c r="J940" s="122"/>
      <c r="K940" s="122"/>
    </row>
    <row r="941" spans="3:11" x14ac:dyDescent="0.3">
      <c r="C941" s="12"/>
      <c r="E941" s="12"/>
      <c r="F941" s="12"/>
      <c r="G941" s="122"/>
      <c r="H941" s="122"/>
      <c r="I941" s="122"/>
      <c r="J941" s="122"/>
      <c r="K941" s="122"/>
    </row>
    <row r="942" spans="3:11" x14ac:dyDescent="0.3">
      <c r="C942" s="12"/>
      <c r="E942" s="12"/>
      <c r="F942" s="12"/>
      <c r="G942" s="122"/>
      <c r="H942" s="122"/>
      <c r="I942" s="122"/>
      <c r="J942" s="122"/>
      <c r="K942" s="122"/>
    </row>
    <row r="943" spans="3:11" x14ac:dyDescent="0.3">
      <c r="C943" s="12"/>
      <c r="E943" s="12"/>
      <c r="F943" s="12"/>
      <c r="G943" s="122"/>
      <c r="H943" s="122"/>
      <c r="I943" s="122"/>
      <c r="J943" s="122"/>
      <c r="K943" s="122"/>
    </row>
    <row r="944" spans="3:11" x14ac:dyDescent="0.3">
      <c r="C944" s="12"/>
      <c r="E944" s="12"/>
      <c r="F944" s="12"/>
      <c r="G944" s="122"/>
      <c r="H944" s="122"/>
      <c r="I944" s="122"/>
      <c r="J944" s="122"/>
      <c r="K944" s="122"/>
    </row>
    <row r="945" spans="3:11" x14ac:dyDescent="0.3">
      <c r="C945" s="12"/>
      <c r="E945" s="12"/>
      <c r="F945" s="12"/>
      <c r="G945" s="122"/>
      <c r="H945" s="122"/>
      <c r="I945" s="122"/>
      <c r="J945" s="122"/>
      <c r="K945" s="122"/>
    </row>
    <row r="946" spans="3:11" x14ac:dyDescent="0.3">
      <c r="C946" s="12"/>
      <c r="E946" s="12"/>
      <c r="F946" s="12"/>
      <c r="G946" s="122"/>
      <c r="H946" s="122"/>
      <c r="I946" s="122"/>
      <c r="J946" s="122"/>
      <c r="K946" s="122"/>
    </row>
    <row r="947" spans="3:11" x14ac:dyDescent="0.3">
      <c r="C947" s="12"/>
      <c r="E947" s="12"/>
      <c r="F947" s="12"/>
      <c r="G947" s="122"/>
      <c r="H947" s="122"/>
      <c r="I947" s="122"/>
      <c r="J947" s="122"/>
      <c r="K947" s="122"/>
    </row>
    <row r="948" spans="3:11" x14ac:dyDescent="0.3">
      <c r="C948" s="12"/>
      <c r="E948" s="12"/>
      <c r="F948" s="12"/>
      <c r="G948" s="122"/>
      <c r="H948" s="122"/>
      <c r="I948" s="122"/>
      <c r="J948" s="122"/>
      <c r="K948" s="122"/>
    </row>
    <row r="949" spans="3:11" x14ac:dyDescent="0.3">
      <c r="C949" s="12"/>
      <c r="E949" s="12"/>
      <c r="F949" s="12"/>
      <c r="G949" s="122"/>
      <c r="H949" s="122"/>
      <c r="I949" s="122"/>
      <c r="J949" s="122"/>
      <c r="K949" s="122"/>
    </row>
    <row r="950" spans="3:11" x14ac:dyDescent="0.3">
      <c r="C950" s="12"/>
      <c r="E950" s="12"/>
      <c r="F950" s="12"/>
      <c r="G950" s="122"/>
      <c r="H950" s="122"/>
      <c r="I950" s="122"/>
      <c r="J950" s="122"/>
      <c r="K950" s="122"/>
    </row>
    <row r="951" spans="3:11" x14ac:dyDescent="0.3">
      <c r="C951" s="12"/>
      <c r="E951" s="12"/>
      <c r="F951" s="12"/>
      <c r="G951" s="122"/>
      <c r="H951" s="122"/>
      <c r="I951" s="122"/>
      <c r="J951" s="122"/>
      <c r="K951" s="122"/>
    </row>
    <row r="952" spans="3:11" x14ac:dyDescent="0.3">
      <c r="C952" s="12"/>
      <c r="E952" s="12"/>
      <c r="F952" s="12"/>
      <c r="G952" s="122"/>
      <c r="H952" s="122"/>
      <c r="I952" s="122"/>
      <c r="J952" s="122"/>
      <c r="K952" s="122"/>
    </row>
    <row r="953" spans="3:11" x14ac:dyDescent="0.3">
      <c r="C953" s="12"/>
      <c r="E953" s="12"/>
      <c r="F953" s="12"/>
      <c r="G953" s="122"/>
      <c r="H953" s="122"/>
      <c r="I953" s="122"/>
      <c r="J953" s="122"/>
      <c r="K953" s="122"/>
    </row>
    <row r="954" spans="3:11" x14ac:dyDescent="0.3">
      <c r="C954" s="12"/>
      <c r="E954" s="12"/>
      <c r="F954" s="12"/>
      <c r="G954" s="122"/>
      <c r="H954" s="122"/>
      <c r="I954" s="122"/>
      <c r="J954" s="122"/>
      <c r="K954" s="122"/>
    </row>
    <row r="955" spans="3:11" x14ac:dyDescent="0.3">
      <c r="C955" s="12"/>
      <c r="E955" s="12"/>
      <c r="F955" s="12"/>
      <c r="G955" s="122"/>
      <c r="H955" s="122"/>
      <c r="I955" s="122"/>
      <c r="J955" s="122"/>
      <c r="K955" s="122"/>
    </row>
    <row r="956" spans="3:11" x14ac:dyDescent="0.3">
      <c r="C956" s="12"/>
      <c r="E956" s="12"/>
      <c r="F956" s="12"/>
      <c r="G956" s="122"/>
      <c r="H956" s="122"/>
      <c r="I956" s="122"/>
      <c r="J956" s="122"/>
      <c r="K956" s="122"/>
    </row>
    <row r="957" spans="3:11" x14ac:dyDescent="0.3">
      <c r="C957" s="12"/>
      <c r="E957" s="12"/>
      <c r="F957" s="12"/>
      <c r="G957" s="122"/>
      <c r="H957" s="122"/>
      <c r="I957" s="122"/>
      <c r="J957" s="122"/>
      <c r="K957" s="122"/>
    </row>
    <row r="958" spans="3:11" x14ac:dyDescent="0.3">
      <c r="C958" s="12"/>
      <c r="E958" s="12"/>
      <c r="F958" s="12"/>
      <c r="G958" s="122"/>
      <c r="H958" s="122"/>
      <c r="I958" s="122"/>
      <c r="J958" s="122"/>
      <c r="K958" s="122"/>
    </row>
    <row r="959" spans="3:11" x14ac:dyDescent="0.3">
      <c r="C959" s="12"/>
      <c r="E959" s="12"/>
      <c r="F959" s="12"/>
      <c r="G959" s="122"/>
      <c r="H959" s="122"/>
      <c r="I959" s="122"/>
      <c r="J959" s="122"/>
      <c r="K959" s="122"/>
    </row>
    <row r="960" spans="3:11" x14ac:dyDescent="0.3">
      <c r="C960" s="12"/>
      <c r="E960" s="12"/>
      <c r="F960" s="12"/>
      <c r="G960" s="122"/>
      <c r="H960" s="122"/>
      <c r="I960" s="122"/>
      <c r="J960" s="122"/>
      <c r="K960" s="122"/>
    </row>
    <row r="961" spans="3:11" x14ac:dyDescent="0.3">
      <c r="C961" s="12"/>
      <c r="E961" s="12"/>
      <c r="F961" s="12"/>
      <c r="G961" s="122"/>
      <c r="H961" s="122"/>
      <c r="I961" s="122"/>
      <c r="J961" s="122"/>
      <c r="K961" s="122"/>
    </row>
    <row r="962" spans="3:11" x14ac:dyDescent="0.3">
      <c r="C962" s="12"/>
      <c r="E962" s="12"/>
      <c r="F962" s="12"/>
      <c r="G962" s="122"/>
      <c r="H962" s="122"/>
      <c r="I962" s="122"/>
      <c r="J962" s="122"/>
      <c r="K962" s="122"/>
    </row>
    <row r="963" spans="3:11" x14ac:dyDescent="0.3">
      <c r="C963" s="12"/>
      <c r="E963" s="12"/>
      <c r="F963" s="12"/>
      <c r="G963" s="122"/>
      <c r="H963" s="122"/>
      <c r="I963" s="122"/>
      <c r="J963" s="122"/>
      <c r="K963" s="122"/>
    </row>
    <row r="964" spans="3:11" x14ac:dyDescent="0.3">
      <c r="C964" s="12"/>
      <c r="E964" s="12"/>
      <c r="F964" s="12"/>
      <c r="G964" s="122"/>
      <c r="H964" s="122"/>
      <c r="I964" s="122"/>
      <c r="J964" s="122"/>
      <c r="K964" s="122"/>
    </row>
    <row r="965" spans="3:11" x14ac:dyDescent="0.3">
      <c r="C965" s="12"/>
      <c r="E965" s="12"/>
      <c r="F965" s="12"/>
      <c r="G965" s="122"/>
      <c r="H965" s="122"/>
      <c r="I965" s="122"/>
      <c r="J965" s="122"/>
      <c r="K965" s="122"/>
    </row>
    <row r="966" spans="3:11" x14ac:dyDescent="0.3">
      <c r="C966" s="12"/>
      <c r="E966" s="12"/>
      <c r="F966" s="12"/>
      <c r="G966" s="122"/>
      <c r="H966" s="122"/>
      <c r="I966" s="122"/>
      <c r="J966" s="122"/>
      <c r="K966" s="122"/>
    </row>
    <row r="967" spans="3:11" x14ac:dyDescent="0.3">
      <c r="C967" s="12"/>
      <c r="E967" s="12"/>
      <c r="F967" s="12"/>
      <c r="G967" s="122"/>
      <c r="H967" s="122"/>
      <c r="I967" s="122"/>
      <c r="J967" s="122"/>
      <c r="K967" s="122"/>
    </row>
    <row r="968" spans="3:11" x14ac:dyDescent="0.3">
      <c r="C968" s="12"/>
      <c r="E968" s="12"/>
      <c r="F968" s="12"/>
      <c r="G968" s="122"/>
      <c r="H968" s="122"/>
      <c r="I968" s="122"/>
      <c r="J968" s="122"/>
      <c r="K968" s="122"/>
    </row>
    <row r="969" spans="3:11" x14ac:dyDescent="0.3">
      <c r="C969" s="12"/>
      <c r="E969" s="12"/>
      <c r="F969" s="12"/>
      <c r="G969" s="122"/>
      <c r="H969" s="122"/>
      <c r="I969" s="122"/>
      <c r="J969" s="122"/>
      <c r="K969" s="122"/>
    </row>
    <row r="970" spans="3:11" x14ac:dyDescent="0.3">
      <c r="C970" s="12"/>
      <c r="E970" s="12"/>
      <c r="F970" s="12"/>
      <c r="G970" s="122"/>
      <c r="H970" s="122"/>
      <c r="I970" s="122"/>
      <c r="J970" s="122"/>
      <c r="K970" s="122"/>
    </row>
    <row r="971" spans="3:11" x14ac:dyDescent="0.3">
      <c r="C971" s="12"/>
      <c r="E971" s="12"/>
      <c r="F971" s="12"/>
      <c r="G971" s="122"/>
      <c r="H971" s="122"/>
      <c r="I971" s="122"/>
      <c r="J971" s="122"/>
      <c r="K971" s="122"/>
    </row>
    <row r="972" spans="3:11" x14ac:dyDescent="0.3">
      <c r="C972" s="12"/>
      <c r="E972" s="12"/>
      <c r="F972" s="12"/>
      <c r="G972" s="122"/>
      <c r="H972" s="122"/>
      <c r="I972" s="122"/>
      <c r="J972" s="122"/>
      <c r="K972" s="122"/>
    </row>
    <row r="973" spans="3:11" x14ac:dyDescent="0.3">
      <c r="C973" s="12"/>
      <c r="E973" s="12"/>
      <c r="F973" s="12"/>
      <c r="G973" s="122"/>
      <c r="H973" s="122"/>
      <c r="I973" s="122"/>
      <c r="J973" s="122"/>
      <c r="K973" s="122"/>
    </row>
    <row r="974" spans="3:11" x14ac:dyDescent="0.3">
      <c r="C974" s="12"/>
      <c r="E974" s="12"/>
      <c r="F974" s="12"/>
      <c r="G974" s="122"/>
      <c r="H974" s="122"/>
      <c r="I974" s="122"/>
      <c r="J974" s="122"/>
      <c r="K974" s="122"/>
    </row>
    <row r="975" spans="3:11" x14ac:dyDescent="0.3">
      <c r="C975" s="12"/>
      <c r="E975" s="12"/>
      <c r="F975" s="12"/>
      <c r="G975" s="122"/>
      <c r="H975" s="122"/>
      <c r="I975" s="122"/>
      <c r="J975" s="122"/>
      <c r="K975" s="122"/>
    </row>
    <row r="976" spans="3:11" x14ac:dyDescent="0.3">
      <c r="C976" s="12"/>
      <c r="E976" s="12"/>
      <c r="F976" s="12"/>
      <c r="G976" s="122"/>
      <c r="H976" s="122"/>
      <c r="I976" s="122"/>
      <c r="J976" s="122"/>
      <c r="K976" s="122"/>
    </row>
    <row r="977" spans="3:11" x14ac:dyDescent="0.3">
      <c r="C977" s="12"/>
      <c r="E977" s="12"/>
      <c r="F977" s="12"/>
      <c r="G977" s="122"/>
      <c r="H977" s="122"/>
      <c r="I977" s="122"/>
      <c r="J977" s="122"/>
      <c r="K977" s="122"/>
    </row>
    <row r="978" spans="3:11" x14ac:dyDescent="0.3">
      <c r="C978" s="12"/>
      <c r="E978" s="12"/>
      <c r="F978" s="12"/>
      <c r="G978" s="122"/>
      <c r="H978" s="122"/>
      <c r="I978" s="122"/>
      <c r="J978" s="122"/>
      <c r="K978" s="122"/>
    </row>
    <row r="979" spans="3:11" x14ac:dyDescent="0.3">
      <c r="C979" s="12"/>
      <c r="E979" s="12"/>
      <c r="F979" s="12"/>
      <c r="G979" s="122"/>
      <c r="H979" s="122"/>
      <c r="I979" s="122"/>
      <c r="J979" s="122"/>
      <c r="K979" s="122"/>
    </row>
    <row r="980" spans="3:11" x14ac:dyDescent="0.3">
      <c r="C980" s="12"/>
      <c r="E980" s="12"/>
      <c r="F980" s="12"/>
      <c r="G980" s="122"/>
      <c r="H980" s="122"/>
      <c r="I980" s="122"/>
      <c r="J980" s="122"/>
      <c r="K980" s="122"/>
    </row>
    <row r="981" spans="3:11" x14ac:dyDescent="0.3">
      <c r="C981" s="12"/>
      <c r="E981" s="12"/>
      <c r="F981" s="12"/>
      <c r="G981" s="122"/>
      <c r="H981" s="122"/>
      <c r="I981" s="122"/>
      <c r="J981" s="122"/>
      <c r="K981" s="122"/>
    </row>
    <row r="982" spans="3:11" x14ac:dyDescent="0.3">
      <c r="C982" s="12"/>
      <c r="E982" s="12"/>
      <c r="F982" s="12"/>
      <c r="G982" s="122"/>
      <c r="H982" s="122"/>
      <c r="I982" s="122"/>
      <c r="J982" s="122"/>
      <c r="K982" s="122"/>
    </row>
    <row r="983" spans="3:11" x14ac:dyDescent="0.3">
      <c r="C983" s="12"/>
      <c r="E983" s="12"/>
      <c r="F983" s="12"/>
      <c r="G983" s="122"/>
      <c r="H983" s="122"/>
      <c r="I983" s="122"/>
      <c r="J983" s="122"/>
      <c r="K983" s="122"/>
    </row>
    <row r="984" spans="3:11" x14ac:dyDescent="0.3">
      <c r="C984" s="12"/>
      <c r="E984" s="12"/>
      <c r="F984" s="12"/>
      <c r="G984" s="122"/>
      <c r="H984" s="122"/>
      <c r="I984" s="122"/>
      <c r="J984" s="122"/>
      <c r="K984" s="122"/>
    </row>
    <row r="985" spans="3:11" x14ac:dyDescent="0.3">
      <c r="C985" s="12"/>
      <c r="E985" s="12"/>
      <c r="F985" s="12"/>
      <c r="G985" s="122"/>
      <c r="H985" s="122"/>
      <c r="I985" s="122"/>
      <c r="J985" s="122"/>
      <c r="K985" s="122"/>
    </row>
    <row r="986" spans="3:11" x14ac:dyDescent="0.3">
      <c r="C986" s="12"/>
      <c r="E986" s="12"/>
      <c r="F986" s="12"/>
      <c r="G986" s="122"/>
      <c r="H986" s="122"/>
      <c r="I986" s="122"/>
      <c r="J986" s="122"/>
      <c r="K986" s="122"/>
    </row>
    <row r="987" spans="3:11" x14ac:dyDescent="0.3">
      <c r="C987" s="12"/>
      <c r="E987" s="12"/>
      <c r="F987" s="12"/>
      <c r="G987" s="122"/>
      <c r="H987" s="122"/>
      <c r="I987" s="122"/>
      <c r="J987" s="122"/>
      <c r="K987" s="122"/>
    </row>
    <row r="988" spans="3:11" x14ac:dyDescent="0.3">
      <c r="C988" s="12"/>
      <c r="E988" s="12"/>
      <c r="F988" s="12"/>
      <c r="G988" s="122"/>
      <c r="H988" s="122"/>
      <c r="I988" s="122"/>
      <c r="J988" s="122"/>
      <c r="K988" s="122"/>
    </row>
    <row r="989" spans="3:11" x14ac:dyDescent="0.3">
      <c r="C989" s="12"/>
      <c r="E989" s="12"/>
      <c r="F989" s="12"/>
      <c r="G989" s="122"/>
      <c r="H989" s="122"/>
      <c r="I989" s="122"/>
      <c r="J989" s="122"/>
      <c r="K989" s="122"/>
    </row>
    <row r="990" spans="3:11" x14ac:dyDescent="0.3">
      <c r="C990" s="12"/>
      <c r="E990" s="12"/>
      <c r="F990" s="12"/>
      <c r="G990" s="122"/>
      <c r="H990" s="122"/>
      <c r="I990" s="122"/>
      <c r="J990" s="122"/>
      <c r="K990" s="122"/>
    </row>
    <row r="991" spans="3:11" x14ac:dyDescent="0.3">
      <c r="C991" s="12"/>
      <c r="E991" s="12"/>
      <c r="F991" s="12"/>
      <c r="G991" s="122"/>
      <c r="H991" s="122"/>
      <c r="I991" s="122"/>
      <c r="J991" s="122"/>
      <c r="K991" s="122"/>
    </row>
    <row r="992" spans="3:11" x14ac:dyDescent="0.3">
      <c r="C992" s="12"/>
      <c r="E992" s="12"/>
      <c r="F992" s="12"/>
      <c r="G992" s="122"/>
      <c r="H992" s="122"/>
      <c r="I992" s="122"/>
      <c r="J992" s="122"/>
      <c r="K992" s="122"/>
    </row>
    <row r="993" spans="3:11" x14ac:dyDescent="0.3">
      <c r="C993" s="12"/>
      <c r="E993" s="12"/>
      <c r="F993" s="12"/>
      <c r="G993" s="122"/>
      <c r="H993" s="122"/>
      <c r="I993" s="122"/>
      <c r="J993" s="122"/>
      <c r="K993" s="122"/>
    </row>
    <row r="994" spans="3:11" x14ac:dyDescent="0.3">
      <c r="C994" s="12"/>
      <c r="E994" s="12"/>
      <c r="F994" s="12"/>
      <c r="G994" s="122"/>
      <c r="H994" s="122"/>
      <c r="I994" s="122"/>
      <c r="J994" s="122"/>
      <c r="K994" s="122"/>
    </row>
    <row r="995" spans="3:11" x14ac:dyDescent="0.3">
      <c r="C995" s="12"/>
      <c r="E995" s="12"/>
      <c r="F995" s="12"/>
      <c r="G995" s="122"/>
      <c r="H995" s="122"/>
      <c r="I995" s="122"/>
      <c r="J995" s="122"/>
      <c r="K995" s="122"/>
    </row>
    <row r="996" spans="3:11" x14ac:dyDescent="0.3">
      <c r="C996" s="12"/>
      <c r="E996" s="12"/>
      <c r="F996" s="12"/>
      <c r="G996" s="122"/>
      <c r="H996" s="122"/>
      <c r="I996" s="122"/>
      <c r="J996" s="122"/>
      <c r="K996" s="122"/>
    </row>
    <row r="997" spans="3:11" x14ac:dyDescent="0.3">
      <c r="C997" s="12"/>
      <c r="E997" s="12"/>
      <c r="F997" s="12"/>
      <c r="G997" s="122"/>
      <c r="H997" s="122"/>
      <c r="I997" s="122"/>
      <c r="J997" s="122"/>
      <c r="K997" s="122"/>
    </row>
    <row r="998" spans="3:11" x14ac:dyDescent="0.3">
      <c r="C998" s="12"/>
      <c r="E998" s="12"/>
      <c r="F998" s="12"/>
      <c r="G998" s="122"/>
      <c r="H998" s="122"/>
      <c r="I998" s="122"/>
      <c r="J998" s="122"/>
      <c r="K998" s="122"/>
    </row>
    <row r="999" spans="3:11" x14ac:dyDescent="0.3">
      <c r="C999" s="12"/>
      <c r="E999" s="12"/>
      <c r="F999" s="12"/>
      <c r="G999" s="122"/>
      <c r="H999" s="122"/>
      <c r="I999" s="122"/>
      <c r="J999" s="122"/>
      <c r="K999" s="122"/>
    </row>
    <row r="1000" spans="3:11" x14ac:dyDescent="0.3">
      <c r="C1000" s="12"/>
      <c r="E1000" s="12"/>
      <c r="F1000" s="12"/>
      <c r="G1000" s="122"/>
      <c r="H1000" s="122"/>
      <c r="I1000" s="122"/>
      <c r="J1000" s="122"/>
      <c r="K1000" s="122"/>
    </row>
  </sheetData>
  <sheetProtection algorithmName="SHA-512" hashValue="bVG4WghcXlQ+VPWFIBhUEIg4kiX/gyXszpQWZfMWWolkJlkW+eT/m7MhJDCvgtjhqDSEZuP/dH6EcLwvQJOtng==" saltValue="gTZqLOCiYQIzFl8UfdpJYQ==" spinCount="100000" sheet="1" objects="1" scenarios="1"/>
  <pageMargins left="0.7" right="0.7" top="0.75" bottom="0.75" header="0.3" footer="0.3"/>
  <pageSetup paperSize="9" orientation="portrait" r:id="rId1"/>
  <ignoredErrors>
    <ignoredError sqref="A2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9A8A-5CC9-418D-8E4B-30564D52E7AF}">
  <dimension ref="A1:K6"/>
  <sheetViews>
    <sheetView showGridLines="0" showRowColHeaders="0" zoomScale="130" zoomScaleNormal="130" workbookViewId="0"/>
  </sheetViews>
  <sheetFormatPr defaultRowHeight="14.4" x14ac:dyDescent="0.3"/>
  <cols>
    <col min="1" max="1" width="7.21875" customWidth="1"/>
    <col min="2" max="2" width="6" style="8" customWidth="1"/>
    <col min="3" max="3" width="19.109375" style="8" customWidth="1"/>
    <col min="4" max="4" width="6.109375" customWidth="1"/>
    <col min="5" max="5" width="22.6640625" customWidth="1"/>
    <col min="6" max="6" width="20.33203125" customWidth="1"/>
    <col min="7" max="7" width="7.109375" customWidth="1"/>
    <col min="8" max="8" width="20.109375" customWidth="1"/>
    <col min="9" max="9" width="19.109375" customWidth="1"/>
    <col min="10" max="10" width="6" customWidth="1"/>
    <col min="11" max="11" width="23.88671875" customWidth="1"/>
  </cols>
  <sheetData>
    <row r="1" spans="1:11" ht="22.2" customHeight="1" x14ac:dyDescent="0.3">
      <c r="A1" s="131" t="s">
        <v>16</v>
      </c>
      <c r="C1" s="106"/>
      <c r="D1" s="21"/>
      <c r="E1" s="147" t="s">
        <v>1</v>
      </c>
      <c r="F1" s="150">
        <f>Data3!A4*10^5+Data3!A5*10^4+Data3!A6*100+Data3!M1*10+Data3!N2</f>
        <v>240944</v>
      </c>
      <c r="G1" s="32"/>
      <c r="H1" s="35"/>
      <c r="I1" s="34"/>
      <c r="J1" s="33"/>
      <c r="K1" s="110"/>
    </row>
    <row r="2" spans="1:11" ht="28.2" customHeight="1" x14ac:dyDescent="0.3">
      <c r="B2" s="105"/>
      <c r="C2" s="107"/>
      <c r="D2" s="23"/>
      <c r="E2" s="98" t="s">
        <v>14</v>
      </c>
      <c r="F2" s="99">
        <f>IF(Data3!L1=1, "-", Data3!A1)</f>
        <v>0.02</v>
      </c>
      <c r="G2" s="30"/>
      <c r="H2" s="96" t="s">
        <v>0</v>
      </c>
      <c r="I2" s="127">
        <f>0.5*POWER(0.2969*(Data3!A3/0.2)*(Data3!M1/6),2)</f>
        <v>3.9667324499999988E-3</v>
      </c>
      <c r="J2" s="109"/>
      <c r="K2" s="95"/>
    </row>
    <row r="3" spans="1:11" ht="25.8" customHeight="1" x14ac:dyDescent="0.3">
      <c r="B3" s="105"/>
      <c r="C3" s="108"/>
      <c r="D3" s="23"/>
      <c r="E3" s="100" t="s">
        <v>6</v>
      </c>
      <c r="F3" s="101">
        <f>IF(Data3!L1=1, "-", Data3!A2)</f>
        <v>0.4</v>
      </c>
      <c r="G3" s="30"/>
      <c r="H3" s="97" t="s">
        <v>12</v>
      </c>
      <c r="I3" s="143">
        <f>DEGREES(2*ATAN(Data3!$T$1*(F4/0.2)))</f>
        <v>16.135853641157102</v>
      </c>
      <c r="J3" s="109"/>
      <c r="K3" s="94"/>
    </row>
    <row r="4" spans="1:11" ht="26.4" customHeight="1" x14ac:dyDescent="0.3">
      <c r="D4" s="23"/>
      <c r="E4" s="100" t="s">
        <v>8</v>
      </c>
      <c r="F4" s="101">
        <f>Data3!A3</f>
        <v>0.09</v>
      </c>
      <c r="G4" s="54"/>
      <c r="H4" s="52"/>
      <c r="I4" s="53"/>
      <c r="K4" s="154"/>
    </row>
    <row r="5" spans="1:11" ht="25.8" customHeight="1" x14ac:dyDescent="0.3">
      <c r="D5" s="24"/>
      <c r="E5" s="102" t="s">
        <v>11</v>
      </c>
      <c r="F5" s="103">
        <f>Data3!$M$1</f>
        <v>4</v>
      </c>
    </row>
    <row r="6" spans="1:11" ht="24.6" customHeight="1" x14ac:dyDescent="0.3">
      <c r="D6" s="24"/>
      <c r="E6" s="104" t="s">
        <v>7</v>
      </c>
      <c r="F6" s="101">
        <f>Data3!N1</f>
        <v>0.4</v>
      </c>
    </row>
  </sheetData>
  <sheetProtection algorithmName="SHA-512" hashValue="8q5FoB/YOliNKfgyqM87Iuu5AjULrPp2c0XgNOOsDHKBEPWVM3yN1hisaKY50UlUFC1lpQNDQsJQx/64C5p0BQ==" saltValue="BpS2Ibernw9m2YcRvmNkuw==" spinCount="100000" sheet="1" objects="1" scenarios="1"/>
  <hyperlinks>
    <hyperlink ref="A1" location="Start_page!A1" display="BACK" xr:uid="{CB0B1A81-EE14-4490-BB19-D5E1904FA83B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Spinner 1">
              <controlPr locked="0" defaultSize="0" autoPict="0">
                <anchor moveWithCells="1">
                  <from>
                    <xdr:col>6</xdr:col>
                    <xdr:colOff>0</xdr:colOff>
                    <xdr:row>3</xdr:row>
                    <xdr:rowOff>7620</xdr:rowOff>
                  </from>
                  <to>
                    <xdr:col>6</xdr:col>
                    <xdr:colOff>144780</xdr:colOff>
                    <xdr:row>3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Spinner 2">
              <controlPr locked="0" defaultSize="0" autoPict="0">
                <anchor moveWithCells="1">
                  <from>
                    <xdr:col>6</xdr:col>
                    <xdr:colOff>0</xdr:colOff>
                    <xdr:row>2</xdr:row>
                    <xdr:rowOff>7620</xdr:rowOff>
                  </from>
                  <to>
                    <xdr:col>6</xdr:col>
                    <xdr:colOff>144780</xdr:colOff>
                    <xdr:row>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Spinner 3">
              <controlPr locked="0" defaultSize="0" autoPict="0">
                <anchor moveWithCells="1">
                  <from>
                    <xdr:col>6</xdr:col>
                    <xdr:colOff>0</xdr:colOff>
                    <xdr:row>1</xdr:row>
                    <xdr:rowOff>15240</xdr:rowOff>
                  </from>
                  <to>
                    <xdr:col>6</xdr:col>
                    <xdr:colOff>144780</xdr:colOff>
                    <xdr:row>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7" name="Spinner 7">
              <controlPr locked="0" defaultSize="0" autoPict="0">
                <anchor moveWithCells="1">
                  <from>
                    <xdr:col>5</xdr:col>
                    <xdr:colOff>1501140</xdr:colOff>
                    <xdr:row>4</xdr:row>
                    <xdr:rowOff>7620</xdr:rowOff>
                  </from>
                  <to>
                    <xdr:col>6</xdr:col>
                    <xdr:colOff>144780</xdr:colOff>
                    <xdr:row>4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8" name="Spinner 9">
              <controlPr locked="0" defaultSize="0" autoPict="0">
                <anchor moveWithCells="1">
                  <from>
                    <xdr:col>6</xdr:col>
                    <xdr:colOff>0</xdr:colOff>
                    <xdr:row>5</xdr:row>
                    <xdr:rowOff>7620</xdr:rowOff>
                  </from>
                  <to>
                    <xdr:col>6</xdr:col>
                    <xdr:colOff>144780</xdr:colOff>
                    <xdr:row>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9" name="Option Button 18">
              <controlPr locked="0" defaultSize="0" autoFill="0" autoLine="0" autoPict="0" altText="Symmetrical Airfoil_x000a_">
                <anchor moveWithCells="1">
                  <from>
                    <xdr:col>2</xdr:col>
                    <xdr:colOff>114300</xdr:colOff>
                    <xdr:row>1</xdr:row>
                    <xdr:rowOff>60960</xdr:rowOff>
                  </from>
                  <to>
                    <xdr:col>2</xdr:col>
                    <xdr:colOff>1188720</xdr:colOff>
                    <xdr:row>1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10" name="Option Button 19">
              <controlPr locked="0" defaultSize="0" autoFill="0" autoLine="0" autoPict="0" altText="Cambered Airfoil_x000a_">
                <anchor moveWithCells="1">
                  <from>
                    <xdr:col>2</xdr:col>
                    <xdr:colOff>121920</xdr:colOff>
                    <xdr:row>1</xdr:row>
                    <xdr:rowOff>327660</xdr:rowOff>
                  </from>
                  <to>
                    <xdr:col>2</xdr:col>
                    <xdr:colOff>1203960</xdr:colOff>
                    <xdr:row>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11" name="Check Box 21">
              <controlPr locked="0" defaultSize="0" autoFill="0" autoLine="0" autoPict="0">
                <anchor moveWithCells="1">
                  <from>
                    <xdr:col>10</xdr:col>
                    <xdr:colOff>121920</xdr:colOff>
                    <xdr:row>1</xdr:row>
                    <xdr:rowOff>38100</xdr:rowOff>
                  </from>
                  <to>
                    <xdr:col>10</xdr:col>
                    <xdr:colOff>1051560</xdr:colOff>
                    <xdr:row>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12" name="Check Box 22">
              <controlPr locked="0" defaultSize="0" autoFill="0" autoLine="0" autoPict="0">
                <anchor moveWithCells="1">
                  <from>
                    <xdr:col>10</xdr:col>
                    <xdr:colOff>121920</xdr:colOff>
                    <xdr:row>1</xdr:row>
                    <xdr:rowOff>327660</xdr:rowOff>
                  </from>
                  <to>
                    <xdr:col>10</xdr:col>
                    <xdr:colOff>1592580</xdr:colOff>
                    <xdr:row>2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A370-0EB6-4A4B-A334-1319030DF7CF}">
  <dimension ref="A1:AD500"/>
  <sheetViews>
    <sheetView topLeftCell="F1" zoomScale="90" zoomScaleNormal="70" workbookViewId="0">
      <selection activeCell="N17" sqref="N17"/>
    </sheetView>
  </sheetViews>
  <sheetFormatPr defaultRowHeight="14.4" x14ac:dyDescent="0.3"/>
  <cols>
    <col min="2" max="6" width="8.88671875" style="126"/>
    <col min="7" max="7" width="9.21875" style="126" bestFit="1" customWidth="1"/>
    <col min="8" max="9" width="8.88671875" style="126"/>
    <col min="10" max="10" width="9.21875" style="126" bestFit="1" customWidth="1"/>
    <col min="11" max="11" width="8.88671875" style="126"/>
    <col min="16" max="18" width="9.21875" bestFit="1" customWidth="1"/>
    <col min="21" max="22" width="9.21875" bestFit="1" customWidth="1"/>
    <col min="27" max="27" width="10.109375" customWidth="1"/>
    <col min="28" max="30" width="8.88671875" style="40"/>
  </cols>
  <sheetData>
    <row r="1" spans="1:30" x14ac:dyDescent="0.3">
      <c r="B1" s="126" cm="1">
        <f t="array" ref="B1:B500">1-COS((_xlfn.SEQUENCE(500,1,0,1)*PI())/(2*(500-1)))</f>
        <v>0</v>
      </c>
      <c r="C1" s="126">
        <f>IF(B1&lt;$N$1, ($A$7/0.2)*($O$1*SQRT(B1)+$P$1*B1+$Q$1*(B1^2)+$R$1*(B1^3)), ($A$7/0.2)*($S$1+$T$1*(1-B1)+$U$1*((1-B1)^2)+$V$1*((1-B1)^3)))</f>
        <v>0</v>
      </c>
      <c r="D1" s="126">
        <f xml:space="preserve"> IF(B1&lt;$A$8, ($A$10/6)*((B1^3)-3*$A$8*(B1^2)+($A$8^2)*(3-$A$8)*B1), (($A$10*($A$8^3))/6)*(1-B1))</f>
        <v>0</v>
      </c>
      <c r="E1" s="126">
        <f>IF(B1&lt;$A$8, ($A$10/6)*(3*(B1^2)-6*$A$8*B1+($A$8^2)*(3-$A$8)), -($A$10*($A$8^3))/6)</f>
        <v>0.21459075166501521</v>
      </c>
      <c r="F1" s="126">
        <f xml:space="preserve"> ATAN(E1)</f>
        <v>0.21138496048345404</v>
      </c>
      <c r="G1" s="126">
        <f>B1-C1*SIN(F1)</f>
        <v>0</v>
      </c>
      <c r="H1" s="126">
        <f>D1+C1*COS(F1)</f>
        <v>0</v>
      </c>
      <c r="I1" s="126">
        <f>B1+C1*SIN(F1)</f>
        <v>0</v>
      </c>
      <c r="J1" s="126">
        <f>D1-C1*COS(F1)</f>
        <v>0</v>
      </c>
      <c r="K1" s="126">
        <v>0.2</v>
      </c>
      <c r="L1" s="19"/>
      <c r="M1" s="130">
        <v>7</v>
      </c>
      <c r="N1" s="29">
        <f>N2/10</f>
        <v>0.2</v>
      </c>
      <c r="O1" s="125">
        <f>IF($M$1=9, 0.2969*SQRT(3),0.2969*(M1/6))</f>
        <v>0.34638333333333338</v>
      </c>
      <c r="P1" s="125">
        <f>(0.3/N1)-1.875*(O1/SQRT(N1))-0.1*(N1/W1)</f>
        <v>5.8687257381832142E-3</v>
      </c>
      <c r="Q1" s="125">
        <f>-(0.3/(N1^2))+1.25*(O1/POWER(N1, 3/2))+(0.2/W1)</f>
        <v>-2.2403957524606111</v>
      </c>
      <c r="R1" s="125">
        <f>(0.1/N1^3)-0.375*(O1/POWER(N1, 5/2))-(0.1/(W1*N1))</f>
        <v>4.1918436286909166</v>
      </c>
      <c r="S1" s="125">
        <v>2E-3</v>
      </c>
      <c r="T1" s="125">
        <f>IF(N1=0.2, 0.2, IF(N1=0.3, 0.234, IF(N1=0.4, 0.315, IF(N1=0.5, 0.465, 0.7))))</f>
        <v>0.2</v>
      </c>
      <c r="U1" s="125">
        <f>(0.294-2*(1-N1)*T1)/((1-N1)^2)</f>
        <v>-4.0625000000000112E-2</v>
      </c>
      <c r="V1" s="125">
        <f>(-0.196+(1-N1)*T1)/((1-N1)^3)</f>
        <v>-7.0312499999999931E-2</v>
      </c>
      <c r="W1" s="27">
        <f>0.2*((1-N1)^2/(0.588-2*T1*(1-N1)))</f>
        <v>0.47761194029850773</v>
      </c>
      <c r="Y1">
        <f>IF($Z$1, D1, -0.2)</f>
        <v>-0.2</v>
      </c>
      <c r="Z1" s="19" t="b">
        <v>0</v>
      </c>
      <c r="AA1" s="126">
        <f>$F$1</f>
        <v>0.21138496048345404</v>
      </c>
      <c r="AB1" s="40" cm="1">
        <f t="array" ref="AB1:AB50">_xlfn.SEQUENCE(50, 1, 0, (2*PI())/(50-1))</f>
        <v>0</v>
      </c>
      <c r="AC1" s="40">
        <f>$AA$2*(COS(ATAN($AA$1))+COS(AB1))</f>
        <v>2.4033595171310661E-2</v>
      </c>
      <c r="AD1" s="40">
        <f>IF($Z$2, $AA$2*(SIN(ATAN($AA$1))+SIN(AB1)), -0.2)</f>
        <v>-0.2</v>
      </c>
    </row>
    <row r="2" spans="1:30" x14ac:dyDescent="0.3">
      <c r="A2" s="19">
        <v>2</v>
      </c>
      <c r="B2" s="126">
        <v>4.9545966939179564E-6</v>
      </c>
      <c r="C2" s="126">
        <f t="shared" ref="C2:C65" si="0">IF(B2&lt;$N$1, ($A$7/0.2)*($O$1*SQRT(B2)+$P$1*B2+$Q$1*(B2^2)+$R$1*(B2^3)), ($A$7/0.2)*($S$1+$T$1*(1-B2)+$U$1*((1-B2)^2)+$V$1*((1-B2)^3)))</f>
        <v>3.4696846320665577E-4</v>
      </c>
      <c r="D2" s="126">
        <f t="shared" ref="D2:D65" si="1" xml:space="preserve"> IF(B2&lt;$A$8, ($A$10/6)*((B2^3)-3*$A$8*(B2^2)+($A$8^2)*(3-$A$8)*B2), (($A$10*($A$8^3))/6)*(1-B2))</f>
        <v>1.0631951487241408E-6</v>
      </c>
      <c r="E2" s="126">
        <f t="shared" ref="E2:E65" si="2">IF(B2&lt;$A$8, ($A$10/6)*(3*(B2^2)-6*$A$8*B2+($A$8^2)*(3-$A$8)), -($A$10*($A$8^3))/6)</f>
        <v>0.21458450292712394</v>
      </c>
      <c r="F2" s="126">
        <f t="shared" ref="F2:F65" si="3" xml:space="preserve"> ATAN(E2)</f>
        <v>0.21137898681992373</v>
      </c>
      <c r="G2" s="126">
        <f>B2-C2*SIN(F2)</f>
        <v>-6.7842298977678706E-5</v>
      </c>
      <c r="H2" s="126">
        <f t="shared" ref="H2:H65" si="4">D2+C2*COS(F2)</f>
        <v>3.4030901522697816E-4</v>
      </c>
      <c r="I2" s="126">
        <f t="shared" ref="I2:I65" si="5">B2+C2*SIN(F2)</f>
        <v>7.7751492365514619E-5</v>
      </c>
      <c r="J2" s="126">
        <f>D2-C2*COS(F2)</f>
        <v>-3.3818262492952986E-4</v>
      </c>
      <c r="K2" s="126">
        <f>K1-(K1-K1*SQRT(K1/3)-$A$5)/(1-SQRT(3*K1)/2)</f>
        <v>0.36588787609466977</v>
      </c>
      <c r="M2" s="27"/>
      <c r="N2" s="130">
        <v>2</v>
      </c>
      <c r="O2" s="27"/>
      <c r="P2" s="27"/>
      <c r="Q2" s="27"/>
      <c r="R2" s="27"/>
      <c r="S2" s="27"/>
      <c r="T2" s="27"/>
      <c r="U2" s="27"/>
      <c r="V2" s="27"/>
      <c r="W2" s="27"/>
      <c r="Y2">
        <f>IF($Z$1, D2, -0.2)</f>
        <v>-0.2</v>
      </c>
      <c r="Z2" s="19" t="b">
        <v>0</v>
      </c>
      <c r="AA2">
        <f>0.5*(0.2969*($A$7/0.2)*($M$1/6))^2</f>
        <v>1.2148118128124994E-2</v>
      </c>
      <c r="AB2" s="40">
        <v>0.12822827157509359</v>
      </c>
      <c r="AC2" s="40">
        <f t="shared" ref="AC2:AC50" si="6">$AA$2*(COS(ATAN($AA$1))+COS(AB2))</f>
        <v>2.3933859289405182E-2</v>
      </c>
      <c r="AD2" s="40">
        <f>IF($Z$2, $AA$2*(SIN(ATAN($AA$1))+SIN(AB2)), -0.2)</f>
        <v>-0.2</v>
      </c>
    </row>
    <row r="3" spans="1:30" x14ac:dyDescent="0.3">
      <c r="A3" s="19">
        <v>5</v>
      </c>
      <c r="B3" s="126">
        <v>1.9818337679722298E-5</v>
      </c>
      <c r="C3" s="126">
        <f t="shared" si="0"/>
        <v>6.9396188975838285E-4</v>
      </c>
      <c r="D3" s="126">
        <f t="shared" si="1"/>
        <v>4.2525843034741835E-6</v>
      </c>
      <c r="E3" s="126">
        <f t="shared" si="2"/>
        <v>0.21456575725004176</v>
      </c>
      <c r="F3" s="126">
        <f t="shared" si="3"/>
        <v>0.21136106625042056</v>
      </c>
      <c r="G3" s="126">
        <f t="shared" ref="G3:G65" si="7">B3-C3*SIN(F3)</f>
        <v>-1.2576853176540952E-4</v>
      </c>
      <c r="H3" s="126">
        <f t="shared" si="4"/>
        <v>6.8277124129250051E-4</v>
      </c>
      <c r="I3" s="126">
        <f t="shared" si="5"/>
        <v>1.6540520712485411E-4</v>
      </c>
      <c r="J3" s="126">
        <f t="shared" ref="J3:J65" si="8">D3-C3*COS(F3)</f>
        <v>-6.7426607268555221E-4</v>
      </c>
      <c r="K3" s="126">
        <f t="shared" ref="K3:K20" si="9">K2-(K2-K2*SQRT(K2/3)-$A$5)/(1-SQRT(3*K2)/2)</f>
        <v>0.39086239721664712</v>
      </c>
      <c r="M3" s="5"/>
      <c r="Y3">
        <f>IF($Z$1, D3, -0.2)</f>
        <v>-0.2</v>
      </c>
      <c r="AB3" s="40">
        <v>0.25645654315018718</v>
      </c>
      <c r="AC3" s="40">
        <f t="shared" si="6"/>
        <v>2.3636289304112285E-2</v>
      </c>
      <c r="AD3" s="40">
        <f>IF($Z$2, $AA$2*(SIN(ATAN($AA$1))+SIN(AB3)), -0.2)</f>
        <v>-0.2</v>
      </c>
    </row>
    <row r="4" spans="1:30" x14ac:dyDescent="0.3">
      <c r="A4" s="19">
        <v>9</v>
      </c>
      <c r="B4" s="126">
        <v>4.4591075669564439E-5</v>
      </c>
      <c r="C4" s="126">
        <f t="shared" si="0"/>
        <v>1.0409785289402051E-3</v>
      </c>
      <c r="D4" s="126">
        <f t="shared" si="1"/>
        <v>9.5675786227040871E-6</v>
      </c>
      <c r="E4" s="126">
        <f t="shared" si="2"/>
        <v>0.21453451624351993</v>
      </c>
      <c r="F4" s="126">
        <f t="shared" si="3"/>
        <v>0.21133120003824679</v>
      </c>
      <c r="G4" s="126">
        <f t="shared" si="7"/>
        <v>-1.7376631852399413E-4</v>
      </c>
      <c r="H4" s="126">
        <f t="shared" si="4"/>
        <v>1.0273869860401065E-3</v>
      </c>
      <c r="I4" s="126">
        <f t="shared" si="5"/>
        <v>2.6294846986312301E-4</v>
      </c>
      <c r="J4" s="126">
        <f t="shared" si="8"/>
        <v>-1.0082518287946984E-3</v>
      </c>
      <c r="K4" s="126">
        <f t="shared" si="9"/>
        <v>0.39134383524735145</v>
      </c>
      <c r="M4" s="5"/>
      <c r="Y4">
        <f>IF($Z$1, D4, -0.2)</f>
        <v>-0.2</v>
      </c>
      <c r="AB4" s="40">
        <v>0.38468481472528077</v>
      </c>
      <c r="AC4" s="40">
        <f t="shared" si="6"/>
        <v>2.3145771306363711E-2</v>
      </c>
      <c r="AD4" s="40">
        <f>IF($Z$2, $AA$2*(SIN(ATAN($AA$1))+SIN(AB4)), -0.2)</f>
        <v>-0.2</v>
      </c>
    </row>
    <row r="5" spans="1:30" x14ac:dyDescent="0.3">
      <c r="A5">
        <f>0.05*$A$3</f>
        <v>0.25</v>
      </c>
      <c r="B5" s="126">
        <v>7.9272565185806165E-5</v>
      </c>
      <c r="C5" s="126">
        <f t="shared" si="0"/>
        <v>1.3880160362390397E-3</v>
      </c>
      <c r="D5" s="126">
        <f t="shared" si="1"/>
        <v>1.7007196813356409E-5</v>
      </c>
      <c r="E5" s="126">
        <f t="shared" si="2"/>
        <v>0.2144907825903962</v>
      </c>
      <c r="F5" s="126">
        <f t="shared" si="3"/>
        <v>0.21128939028903373</v>
      </c>
      <c r="G5" s="126">
        <f t="shared" si="7"/>
        <v>-2.1182325415513664E-4</v>
      </c>
      <c r="H5" s="126">
        <f t="shared" si="4"/>
        <v>1.3741555825173518E-3</v>
      </c>
      <c r="I5" s="126">
        <f t="shared" si="5"/>
        <v>3.7036838452674897E-4</v>
      </c>
      <c r="J5" s="126">
        <f t="shared" si="8"/>
        <v>-1.3401411888906388E-3</v>
      </c>
      <c r="K5" s="126">
        <f t="shared" si="9"/>
        <v>0.39134401037747052</v>
      </c>
      <c r="M5" s="5"/>
      <c r="Y5">
        <f>IF($Z$1, D5, -0.2)</f>
        <v>-0.2</v>
      </c>
      <c r="AB5" s="40">
        <v>0.51291308630037435</v>
      </c>
      <c r="AC5" s="40">
        <f t="shared" si="6"/>
        <v>2.2470359588121391E-2</v>
      </c>
      <c r="AD5" s="40">
        <f>IF($Z$2, $AA$2*(SIN(ATAN($AA$1))+SIN(AB5)), -0.2)</f>
        <v>-0.2</v>
      </c>
    </row>
    <row r="6" spans="1:30" x14ac:dyDescent="0.3">
      <c r="A6">
        <f xml:space="preserve"> A2/100</f>
        <v>0.02</v>
      </c>
      <c r="B6" s="126">
        <v>1.2386246256268496E-4</v>
      </c>
      <c r="C6" s="126">
        <f t="shared" si="0"/>
        <v>1.7350714738198151E-3</v>
      </c>
      <c r="D6" s="126">
        <f t="shared" si="1"/>
        <v>2.6570065294806916E-5</v>
      </c>
      <c r="E6" s="126">
        <f t="shared" si="2"/>
        <v>0.2144345600464751</v>
      </c>
      <c r="F6" s="126">
        <f t="shared" si="3"/>
        <v>0.21123563995093458</v>
      </c>
      <c r="G6" s="126">
        <f t="shared" si="7"/>
        <v>-2.399269100343845E-4</v>
      </c>
      <c r="H6" s="126">
        <f t="shared" si="4"/>
        <v>1.7230753884956203E-3</v>
      </c>
      <c r="I6" s="126">
        <f t="shared" si="5"/>
        <v>4.8765183515975442E-4</v>
      </c>
      <c r="J6" s="126">
        <f t="shared" si="8"/>
        <v>-1.6699352579060064E-3</v>
      </c>
      <c r="K6" s="126">
        <f t="shared" si="9"/>
        <v>0.39134401037749367</v>
      </c>
      <c r="M6" s="5"/>
      <c r="Y6">
        <f>IF($Z$1, D6, -0.2)</f>
        <v>-0.2</v>
      </c>
      <c r="AB6" s="40">
        <v>0.64114135787546789</v>
      </c>
      <c r="AC6" s="40">
        <f t="shared" si="6"/>
        <v>2.1621144391126102E-2</v>
      </c>
      <c r="AD6" s="40">
        <f>IF($Z$2, $AA$2*(SIN(ATAN($AA$1))+SIN(AB6)), -0.2)</f>
        <v>-0.2</v>
      </c>
    </row>
    <row r="7" spans="1:30" x14ac:dyDescent="0.3">
      <c r="A7">
        <f>A4/100</f>
        <v>0.09</v>
      </c>
      <c r="B7" s="126">
        <v>1.7836032595031082E-4</v>
      </c>
      <c r="C7" s="126">
        <f t="shared" si="0"/>
        <v>2.0821413112165035E-3</v>
      </c>
      <c r="D7" s="126">
        <f t="shared" si="1"/>
        <v>3.8254418428718821E-5</v>
      </c>
      <c r="E7" s="126">
        <f t="shared" si="2"/>
        <v>0.21436585344035827</v>
      </c>
      <c r="F7" s="126">
        <f t="shared" si="3"/>
        <v>0.21116995281489218</v>
      </c>
      <c r="G7" s="126">
        <f t="shared" si="7"/>
        <v>-2.5806483589168271E-4</v>
      </c>
      <c r="H7" s="126">
        <f t="shared" si="4"/>
        <v>2.0741437862445565E-3</v>
      </c>
      <c r="I7" s="126">
        <f t="shared" si="5"/>
        <v>6.1478548779230434E-4</v>
      </c>
      <c r="J7" s="126">
        <f t="shared" si="8"/>
        <v>-1.9976349493871187E-3</v>
      </c>
      <c r="K7" s="126">
        <f t="shared" si="9"/>
        <v>0.39134401037749367</v>
      </c>
      <c r="M7" s="5"/>
      <c r="Y7">
        <f>IF($Z$1, D7, -0.2)</f>
        <v>-0.2</v>
      </c>
      <c r="AB7" s="40">
        <v>0.76936962945056142</v>
      </c>
      <c r="AC7" s="40">
        <f t="shared" si="6"/>
        <v>2.0612069805434681E-2</v>
      </c>
      <c r="AD7" s="40">
        <f>IF($Z$2, $AA$2*(SIN(ATAN($AA$1))+SIN(AB7)), -0.2)</f>
        <v>-0.2</v>
      </c>
    </row>
    <row r="8" spans="1:30" x14ac:dyDescent="0.3">
      <c r="A8" s="40">
        <f>K20</f>
        <v>0.39134401037749367</v>
      </c>
      <c r="B8" s="126">
        <v>2.4276561531888508E-4</v>
      </c>
      <c r="C8" s="126">
        <f t="shared" si="0"/>
        <v>2.4292214262070216E-3</v>
      </c>
      <c r="D8" s="126">
        <f t="shared" si="1"/>
        <v>5.2058098814328514E-5</v>
      </c>
      <c r="E8" s="126">
        <f t="shared" si="2"/>
        <v>0.21428466867322754</v>
      </c>
      <c r="F8" s="126">
        <f t="shared" si="3"/>
        <v>0.21109233351498408</v>
      </c>
      <c r="G8" s="126">
        <f t="shared" si="7"/>
        <v>-2.662245618351071E-4</v>
      </c>
      <c r="H8" s="126">
        <f t="shared" si="4"/>
        <v>2.4273571825307399E-3</v>
      </c>
      <c r="I8" s="126">
        <f t="shared" si="5"/>
        <v>7.5175579247287725E-4</v>
      </c>
      <c r="J8" s="126">
        <f t="shared" si="8"/>
        <v>-2.3232409849020829E-3</v>
      </c>
      <c r="K8" s="126">
        <f t="shared" si="9"/>
        <v>0.39134401037749367</v>
      </c>
      <c r="M8" s="5"/>
      <c r="Y8">
        <f>IF($Z$1, D8, -0.2)</f>
        <v>-0.2</v>
      </c>
      <c r="AB8" s="40">
        <v>0.89759790102565495</v>
      </c>
      <c r="AC8" s="40">
        <f t="shared" si="6"/>
        <v>1.9459704807846812E-2</v>
      </c>
      <c r="AD8" s="40">
        <f>IF($Z$2, $AA$2*(SIN(ATAN($AA$1))+SIN(AB8)), -0.2)</f>
        <v>-0.2</v>
      </c>
    </row>
    <row r="9" spans="1:30" x14ac:dyDescent="0.3">
      <c r="A9">
        <f>(3*A8-7*A8^2+8*A8^3-4*A8^4)/SQRT(A8-A8^2)-1.5*(1-2*A8)*(PI()/2-ASIN(1-2*A8))</f>
        <v>0.55852735376485518</v>
      </c>
      <c r="B9" s="126">
        <v>3.1707769246391848E-4</v>
      </c>
      <c r="C9" s="126">
        <f t="shared" si="0"/>
        <v>2.7763071058845229E-3</v>
      </c>
      <c r="D9" s="126">
        <f t="shared" si="1"/>
        <v>6.7978557649296862E-5</v>
      </c>
      <c r="E9" s="126">
        <f t="shared" si="2"/>
        <v>0.21419101271857971</v>
      </c>
      <c r="F9" s="126">
        <f t="shared" si="3"/>
        <v>0.21100278752884385</v>
      </c>
      <c r="G9" s="126">
        <f t="shared" si="7"/>
        <v>-2.6439360051949852E-4</v>
      </c>
      <c r="H9" s="126">
        <f t="shared" si="4"/>
        <v>2.7827110088534828E-3</v>
      </c>
      <c r="I9" s="126">
        <f t="shared" si="5"/>
        <v>8.9854898544733549E-4</v>
      </c>
      <c r="J9" s="126">
        <f t="shared" si="8"/>
        <v>-2.6467538935548893E-3</v>
      </c>
      <c r="K9" s="126">
        <f t="shared" si="9"/>
        <v>0.39134401037749367</v>
      </c>
      <c r="M9" s="5"/>
      <c r="Y9">
        <f>IF($Z$1, D9, -0.2)</f>
        <v>-0.2</v>
      </c>
      <c r="AB9" s="40">
        <v>1.0258261726007485</v>
      </c>
      <c r="AC9" s="40">
        <f t="shared" si="6"/>
        <v>1.8182971199764034E-2</v>
      </c>
      <c r="AD9" s="40">
        <f>IF($Z$2, $AA$2*(SIN(ATAN($AA$1))+SIN(AB9)), -0.2)</f>
        <v>-0.2</v>
      </c>
    </row>
    <row r="10" spans="1:30" x14ac:dyDescent="0.3">
      <c r="A10">
        <f>(6*0.15*A2)/A9</f>
        <v>3.2227606899944514</v>
      </c>
      <c r="B10" s="126">
        <v>4.0129582101267047E-4</v>
      </c>
      <c r="C10" s="126">
        <f t="shared" si="0"/>
        <v>3.1233930479241979E-3</v>
      </c>
      <c r="D10" s="126">
        <f t="shared" si="1"/>
        <v>8.6012855156133422E-5</v>
      </c>
      <c r="E10" s="126">
        <f t="shared" si="2"/>
        <v>0.21408489362191269</v>
      </c>
      <c r="F10" s="126">
        <f t="shared" si="3"/>
        <v>0.21090132117815724</v>
      </c>
      <c r="G10" s="126">
        <f t="shared" si="7"/>
        <v>-2.5255944945936346E-4</v>
      </c>
      <c r="H10" s="126">
        <f t="shared" si="4"/>
        <v>3.1401997219174245E-3</v>
      </c>
      <c r="I10" s="126">
        <f t="shared" si="5"/>
        <v>1.0551510914847044E-3</v>
      </c>
      <c r="J10" s="126">
        <f t="shared" si="8"/>
        <v>-2.9681740116051579E-3</v>
      </c>
      <c r="K10" s="126">
        <f t="shared" si="9"/>
        <v>0.39134401037749367</v>
      </c>
      <c r="M10" s="5"/>
      <c r="Y10">
        <f>IF($Z$1, D10, -0.2)</f>
        <v>-0.2</v>
      </c>
      <c r="AB10" s="40">
        <v>1.154054444175842</v>
      </c>
      <c r="AC10" s="40">
        <f t="shared" si="6"/>
        <v>1.6802832911733862E-2</v>
      </c>
      <c r="AD10" s="40">
        <f>IF($Z$2, $AA$2*(SIN(ATAN($AA$1))+SIN(AB10)), -0.2)</f>
        <v>-0.2</v>
      </c>
    </row>
    <row r="11" spans="1:30" x14ac:dyDescent="0.3">
      <c r="B11" s="126">
        <v>4.9541916643136563E-4</v>
      </c>
      <c r="C11" s="126">
        <f t="shared" si="0"/>
        <v>3.470473362042939E-3</v>
      </c>
      <c r="D11" s="126">
        <f t="shared" si="1"/>
        <v>1.0615766107405115E-4</v>
      </c>
      <c r="E11" s="126">
        <f t="shared" si="2"/>
        <v>0.2139663205003639</v>
      </c>
      <c r="F11" s="126">
        <f t="shared" si="3"/>
        <v>0.21078794162923453</v>
      </c>
      <c r="G11" s="126">
        <f t="shared" si="7"/>
        <v>-2.3070959348561856E-4</v>
      </c>
      <c r="H11" s="126">
        <f t="shared" si="4"/>
        <v>3.4998168043397747E-3</v>
      </c>
      <c r="I11" s="126">
        <f t="shared" si="5"/>
        <v>1.2215479263483499E-3</v>
      </c>
      <c r="J11" s="126">
        <f t="shared" si="8"/>
        <v>-3.287501482191672E-3</v>
      </c>
      <c r="K11" s="126">
        <f t="shared" si="9"/>
        <v>0.39134401037749367</v>
      </c>
      <c r="M11" s="5"/>
      <c r="Y11">
        <f>IF($Z$1, D11, -0.2)</f>
        <v>-0.2</v>
      </c>
      <c r="AB11" s="40">
        <v>1.2822827157509356</v>
      </c>
      <c r="AC11" s="40">
        <f t="shared" si="6"/>
        <v>1.5341951776289772E-2</v>
      </c>
      <c r="AD11" s="40">
        <f>IF($Z$2, $AA$2*(SIN(ATAN($AA$1))+SIN(AB11)), -0.2)</f>
        <v>-0.2</v>
      </c>
    </row>
    <row r="12" spans="1:30" x14ac:dyDescent="0.3">
      <c r="B12" s="126">
        <v>5.9944679603363138E-4</v>
      </c>
      <c r="C12" s="126">
        <f t="shared" si="0"/>
        <v>3.8175415716538309E-3</v>
      </c>
      <c r="D12" s="126">
        <f t="shared" si="1"/>
        <v>1.2840925521629201E-4</v>
      </c>
      <c r="E12" s="126">
        <f t="shared" si="2"/>
        <v>0.21383530354229993</v>
      </c>
      <c r="F12" s="126">
        <f t="shared" si="3"/>
        <v>0.2106626568936569</v>
      </c>
      <c r="G12" s="126">
        <f t="shared" si="7"/>
        <v>-1.9883150734572436E-4</v>
      </c>
      <c r="H12" s="126">
        <f t="shared" si="4"/>
        <v>3.8615547655947687E-3</v>
      </c>
      <c r="I12" s="126">
        <f t="shared" si="5"/>
        <v>1.3977250994129872E-3</v>
      </c>
      <c r="J12" s="126">
        <f t="shared" si="8"/>
        <v>-3.6047362551621847E-3</v>
      </c>
      <c r="K12" s="126">
        <f t="shared" si="9"/>
        <v>0.39134401037749367</v>
      </c>
      <c r="M12" s="5"/>
      <c r="Y12">
        <f>IF($Z$1, D12, -0.2)</f>
        <v>-0.2</v>
      </c>
      <c r="AB12" s="40">
        <v>1.4105109873260291</v>
      </c>
      <c r="AC12" s="40">
        <f t="shared" si="6"/>
        <v>1.3824315421287512E-2</v>
      </c>
      <c r="AD12" s="40">
        <f>IF($Z$2, $AA$2*(SIN(ATAN($AA$1))+SIN(AB12)), -0.2)</f>
        <v>-0.2</v>
      </c>
    </row>
    <row r="13" spans="1:30" x14ac:dyDescent="0.3">
      <c r="B13" s="126">
        <v>7.133776789896018E-4</v>
      </c>
      <c r="C13" s="126">
        <f t="shared" si="0"/>
        <v>4.1645906157130883E-3</v>
      </c>
      <c r="D13" s="126">
        <f t="shared" si="1"/>
        <v>1.5276352809274275E-4</v>
      </c>
      <c r="E13" s="126">
        <f t="shared" si="2"/>
        <v>0.21369185400685856</v>
      </c>
      <c r="F13" s="126">
        <f t="shared" si="3"/>
        <v>0.21052547582899792</v>
      </c>
      <c r="G13" s="126">
        <f t="shared" si="7"/>
        <v>-1.5691265844676352E-4</v>
      </c>
      <c r="H13" s="126">
        <f t="shared" si="4"/>
        <v>4.225405143193489E-3</v>
      </c>
      <c r="I13" s="126">
        <f t="shared" si="5"/>
        <v>1.5836680164259672E-3</v>
      </c>
      <c r="J13" s="126">
        <f t="shared" si="8"/>
        <v>-3.919878087008004E-3</v>
      </c>
      <c r="K13" s="126">
        <f t="shared" si="9"/>
        <v>0.39134401037749367</v>
      </c>
      <c r="M13" s="5"/>
      <c r="Y13">
        <f>IF($Z$1, D13, -0.2)</f>
        <v>-0.2</v>
      </c>
      <c r="AB13" s="40">
        <v>1.5387392589011226</v>
      </c>
      <c r="AC13" s="40">
        <f t="shared" si="6"/>
        <v>1.2274843393718904E-2</v>
      </c>
      <c r="AD13" s="40">
        <f>IF($Z$2, $AA$2*(SIN(ATAN($AA$1))+SIN(AB13)), -0.2)</f>
        <v>-0.2</v>
      </c>
    </row>
    <row r="14" spans="1:30" x14ac:dyDescent="0.3">
      <c r="B14" s="126">
        <v>8.3721068633602069E-4</v>
      </c>
      <c r="C14" s="126">
        <f t="shared" si="0"/>
        <v>4.5116128507607222E-3</v>
      </c>
      <c r="D14" s="126">
        <f t="shared" si="1"/>
        <v>1.7921598159784309E-4</v>
      </c>
      <c r="E14" s="126">
        <f t="shared" si="2"/>
        <v>0.21353598422344244</v>
      </c>
      <c r="F14" s="126">
        <f t="shared" si="3"/>
        <v>0.21037640813961819</v>
      </c>
      <c r="G14" s="126">
        <f t="shared" si="7"/>
        <v>-1.049405097407883E-4</v>
      </c>
      <c r="H14" s="126">
        <f t="shared" si="4"/>
        <v>4.5913585041009782E-3</v>
      </c>
      <c r="I14" s="126">
        <f t="shared" si="5"/>
        <v>1.7793618824128296E-3</v>
      </c>
      <c r="J14" s="126">
        <f t="shared" si="8"/>
        <v>-4.2329265409052925E-3</v>
      </c>
      <c r="K14" s="126">
        <f t="shared" si="9"/>
        <v>0.39134401037749367</v>
      </c>
      <c r="M14" s="5"/>
      <c r="Y14">
        <f>IF($Z$1, D14, -0.2)</f>
        <v>-0.2</v>
      </c>
      <c r="AB14" s="40">
        <v>1.6669675304762162</v>
      </c>
      <c r="AC14" s="40">
        <f t="shared" si="6"/>
        <v>1.071897798143915E-2</v>
      </c>
      <c r="AD14" s="40">
        <f>IF($Z$2, $AA$2*(SIN(ATAN($AA$1))+SIN(AB14)), -0.2)</f>
        <v>-0.2</v>
      </c>
    </row>
    <row r="15" spans="1:30" x14ac:dyDescent="0.3">
      <c r="B15" s="126">
        <v>9.7094459098767683E-4</v>
      </c>
      <c r="C15" s="126">
        <f t="shared" si="0"/>
        <v>4.8586000531553692E-3</v>
      </c>
      <c r="D15" s="126">
        <f t="shared" si="1"/>
        <v>2.0776172976378089E-4</v>
      </c>
      <c r="E15" s="126">
        <f t="shared" si="2"/>
        <v>0.21336770759116433</v>
      </c>
      <c r="F15" s="126">
        <f t="shared" si="3"/>
        <v>0.21021546437753311</v>
      </c>
      <c r="G15" s="126">
        <f t="shared" si="7"/>
        <v>-4.2902522751496214E-5</v>
      </c>
      <c r="H15" s="126">
        <f t="shared" si="4"/>
        <v>4.9594044463918E-3</v>
      </c>
      <c r="I15" s="126">
        <f t="shared" si="5"/>
        <v>1.9847917047268499E-3</v>
      </c>
      <c r="J15" s="126">
        <f t="shared" si="8"/>
        <v>-4.5438809868642389E-3</v>
      </c>
      <c r="K15" s="126">
        <f t="shared" si="9"/>
        <v>0.39134401037749367</v>
      </c>
      <c r="M15" s="5"/>
      <c r="Y15">
        <f>IF($Z$1, D15, -0.2)</f>
        <v>-0.2</v>
      </c>
      <c r="AB15" s="40">
        <v>1.7951958020513097</v>
      </c>
      <c r="AC15" s="40">
        <f t="shared" si="6"/>
        <v>9.1822664515036675E-3</v>
      </c>
      <c r="AD15" s="40">
        <f>IF($Z$2, $AA$2*(SIN(ATAN($AA$1))+SIN(AB15)), -0.2)</f>
        <v>-0.2</v>
      </c>
    </row>
    <row r="16" spans="1:30" x14ac:dyDescent="0.3">
      <c r="B16" s="126">
        <v>1.1145780677496164E-3</v>
      </c>
      <c r="C16" s="126">
        <f t="shared" si="0"/>
        <v>5.2055434215012514E-3</v>
      </c>
      <c r="D16" s="126">
        <f t="shared" si="1"/>
        <v>2.3839549957877215E-4</v>
      </c>
      <c r="E16" s="126">
        <f t="shared" si="2"/>
        <v>0.21318703857824425</v>
      </c>
      <c r="F16" s="126">
        <f t="shared" si="3"/>
        <v>0.21004265594335278</v>
      </c>
      <c r="G16" s="126">
        <f t="shared" si="7"/>
        <v>2.9213839258433304E-5</v>
      </c>
      <c r="H16" s="126">
        <f t="shared" si="4"/>
        <v>5.3295316011426159E-3</v>
      </c>
      <c r="I16" s="126">
        <f t="shared" si="5"/>
        <v>2.1999422962407996E-3</v>
      </c>
      <c r="J16" s="126">
        <f t="shared" si="8"/>
        <v>-4.8527406019850715E-3</v>
      </c>
      <c r="K16" s="126">
        <f t="shared" si="9"/>
        <v>0.39134401037749367</v>
      </c>
      <c r="M16" s="5"/>
      <c r="Y16">
        <f>IF($Z$1, D16, -0.2)</f>
        <v>-0.2</v>
      </c>
      <c r="AB16" s="40">
        <v>1.9234240736264032</v>
      </c>
      <c r="AC16" s="40">
        <f t="shared" si="6"/>
        <v>7.6899415647493129E-3</v>
      </c>
      <c r="AD16" s="40">
        <f>IF($Z$2, $AA$2*(SIN(ATAN($AA$1))+SIN(AB16)), -0.2)</f>
        <v>-0.2</v>
      </c>
    </row>
    <row r="17" spans="2:30" x14ac:dyDescent="0.3">
      <c r="B17" s="126">
        <v>1.2681096933296887E-3</v>
      </c>
      <c r="C17" s="126">
        <f t="shared" si="0"/>
        <v>5.5524335792662858E-3</v>
      </c>
      <c r="D17" s="126">
        <f t="shared" si="1"/>
        <v>2.7111163187024009E-4</v>
      </c>
      <c r="E17" s="126">
        <f t="shared" si="2"/>
        <v>0.21299399272135966</v>
      </c>
      <c r="F17" s="126">
        <f t="shared" si="3"/>
        <v>0.20985799508729455</v>
      </c>
      <c r="G17" s="126">
        <f t="shared" si="7"/>
        <v>1.1142110797998455E-4</v>
      </c>
      <c r="H17" s="126">
        <f t="shared" si="4"/>
        <v>5.7017276345614192E-3</v>
      </c>
      <c r="I17" s="126">
        <f t="shared" si="5"/>
        <v>2.4247982786793926E-3</v>
      </c>
      <c r="J17" s="126">
        <f t="shared" si="8"/>
        <v>-5.1595043708209387E-3</v>
      </c>
      <c r="K17" s="126">
        <f t="shared" si="9"/>
        <v>0.39134401037749367</v>
      </c>
      <c r="M17" s="5"/>
      <c r="Y17">
        <f>IF($Z$1, D17, -0.2)</f>
        <v>-0.2</v>
      </c>
      <c r="AB17" s="40">
        <v>2.051652345201497</v>
      </c>
      <c r="AC17" s="40">
        <f t="shared" si="6"/>
        <v>6.2665072545590424E-3</v>
      </c>
      <c r="AD17" s="40">
        <f>IF($Z$2, $AA$2*(SIN(ATAN($AA$1))+SIN(AB17)), -0.2)</f>
        <v>-0.2</v>
      </c>
    </row>
    <row r="18" spans="2:30" x14ac:dyDescent="0.3">
      <c r="B18" s="126">
        <v>1.4315379463535338E-3</v>
      </c>
      <c r="C18" s="126">
        <f t="shared" si="0"/>
        <v>5.8992605775959866E-3</v>
      </c>
      <c r="D18" s="126">
        <f t="shared" si="1"/>
        <v>3.0590408225324519E-4</v>
      </c>
      <c r="E18" s="126">
        <f t="shared" si="2"/>
        <v>0.21278858662494538</v>
      </c>
      <c r="F18" s="126">
        <f t="shared" si="3"/>
        <v>0.20966149491026431</v>
      </c>
      <c r="G18" s="126">
        <f t="shared" si="7"/>
        <v>2.0373180661258116E-4</v>
      </c>
      <c r="H18" s="126">
        <f t="shared" si="4"/>
        <v>6.0759792503591644E-3</v>
      </c>
      <c r="I18" s="126">
        <f t="shared" si="5"/>
        <v>2.6593440860944867E-3</v>
      </c>
      <c r="J18" s="126">
        <f t="shared" si="8"/>
        <v>-5.4641710858526742E-3</v>
      </c>
      <c r="K18" s="126">
        <f t="shared" si="9"/>
        <v>0.39134401037749367</v>
      </c>
      <c r="M18" s="5"/>
      <c r="Y18">
        <f>IF($Z$1, D18, -0.2)</f>
        <v>-0.2</v>
      </c>
      <c r="AB18" s="40">
        <v>2.1798806167765905</v>
      </c>
      <c r="AC18" s="40">
        <f t="shared" si="6"/>
        <v>4.9353362729532176E-3</v>
      </c>
      <c r="AD18" s="40">
        <f>IF($Z$2, $AA$2*(SIN(ATAN($AA$1))+SIN(AB18)), -0.2)</f>
        <v>-0.2</v>
      </c>
    </row>
    <row r="19" spans="2:30" x14ac:dyDescent="0.3">
      <c r="B19" s="126">
        <v>1.6048612073787938E-3</v>
      </c>
      <c r="C19" s="126">
        <f t="shared" si="0"/>
        <v>6.2460138983151626E-3</v>
      </c>
      <c r="D19" s="126">
        <f t="shared" si="1"/>
        <v>3.4276642214337461E-4</v>
      </c>
      <c r="E19" s="126">
        <f t="shared" si="2"/>
        <v>0.2125708379604479</v>
      </c>
      <c r="F19" s="126">
        <f t="shared" si="3"/>
        <v>0.20945316936500966</v>
      </c>
      <c r="G19" s="126">
        <f t="shared" si="7"/>
        <v>3.0615844628049623E-4</v>
      </c>
      <c r="H19" s="126">
        <f t="shared" si="4"/>
        <v>6.4522721923560384E-3</v>
      </c>
      <c r="I19" s="126">
        <f t="shared" si="5"/>
        <v>2.9035639684770916E-3</v>
      </c>
      <c r="J19" s="126">
        <f t="shared" si="8"/>
        <v>-5.7667393480692894E-3</v>
      </c>
      <c r="K19" s="126">
        <f t="shared" si="9"/>
        <v>0.39134401037749367</v>
      </c>
      <c r="M19" s="5"/>
      <c r="Y19">
        <f>IF($Z$1, D19, -0.2)</f>
        <v>-0.2</v>
      </c>
      <c r="AB19" s="40">
        <v>2.308108888351684</v>
      </c>
      <c r="AC19" s="40">
        <f t="shared" si="6"/>
        <v>3.7182864106475983E-3</v>
      </c>
      <c r="AD19" s="40">
        <f>IF($Z$2, $AA$2*(SIN(ATAN($AA$1))+SIN(AB19)), -0.2)</f>
        <v>-0.2</v>
      </c>
    </row>
    <row r="20" spans="2:30" x14ac:dyDescent="0.3">
      <c r="B20" s="126">
        <v>1.7880777589119878E-3</v>
      </c>
      <c r="C20" s="126">
        <f t="shared" si="0"/>
        <v>6.5926824571248639E-3</v>
      </c>
      <c r="D20" s="126">
        <f t="shared" si="1"/>
        <v>3.8169183983471141E-4</v>
      </c>
      <c r="E20" s="126">
        <f t="shared" si="2"/>
        <v>0.21234076546552944</v>
      </c>
      <c r="F20" s="126">
        <f t="shared" si="3"/>
        <v>0.20923303325733997</v>
      </c>
      <c r="G20" s="126">
        <f t="shared" si="7"/>
        <v>4.1871352231398831E-4</v>
      </c>
      <c r="H20" s="126">
        <f t="shared" si="4"/>
        <v>6.8305912473311803E-3</v>
      </c>
      <c r="I20" s="126">
        <f t="shared" si="5"/>
        <v>3.1574419955099874E-3</v>
      </c>
      <c r="J20" s="126">
        <f t="shared" si="8"/>
        <v>-6.0672075676617577E-3</v>
      </c>
      <c r="K20" s="126">
        <f t="shared" si="9"/>
        <v>0.39134401037749367</v>
      </c>
      <c r="M20" s="5"/>
      <c r="Y20">
        <f>IF($Z$1, D20, -0.2)</f>
        <v>-0.2</v>
      </c>
      <c r="AB20" s="40">
        <v>2.4363371599267776</v>
      </c>
      <c r="AC20" s="40">
        <f t="shared" si="6"/>
        <v>2.6353415927340817E-3</v>
      </c>
      <c r="AD20" s="40">
        <f>IF($Z$2, $AA$2*(SIN(ATAN($AA$1))+SIN(AB20)), -0.2)</f>
        <v>-0.2</v>
      </c>
    </row>
    <row r="21" spans="2:30" x14ac:dyDescent="0.3">
      <c r="B21" s="126">
        <v>1.9811857854247217E-3</v>
      </c>
      <c r="C21" s="126">
        <f t="shared" si="0"/>
        <v>6.9392546069870966E-3</v>
      </c>
      <c r="D21" s="126">
        <f t="shared" si="1"/>
        <v>4.2267314164205424E-4</v>
      </c>
      <c r="E21" s="126">
        <f t="shared" si="2"/>
        <v>0.21209838894322605</v>
      </c>
      <c r="F21" s="126">
        <f t="shared" si="3"/>
        <v>0.20900110224741605</v>
      </c>
      <c r="G21" s="126">
        <f t="shared" si="7"/>
        <v>5.4140951039464025E-4</v>
      </c>
      <c r="H21" s="126">
        <f t="shared" si="4"/>
        <v>7.2109202481086525E-3</v>
      </c>
      <c r="I21" s="126">
        <f t="shared" si="5"/>
        <v>3.4209620604548031E-3</v>
      </c>
      <c r="J21" s="126">
        <f t="shared" si="8"/>
        <v>-6.3655739648245443E-3</v>
      </c>
      <c r="M21" s="5"/>
      <c r="Y21">
        <f>IF($Z$1, D21, -0.2)</f>
        <v>-0.2</v>
      </c>
      <c r="AB21" s="40">
        <v>2.5645654315018711</v>
      </c>
      <c r="AC21" s="40">
        <f t="shared" si="6"/>
        <v>1.7042837431831815E-3</v>
      </c>
      <c r="AD21" s="40">
        <f>IF($Z$2, $AA$2*(SIN(ATAN($AA$1))+SIN(AB21)), -0.2)</f>
        <v>-0.2</v>
      </c>
    </row>
    <row r="22" spans="2:30" x14ac:dyDescent="0.3">
      <c r="B22" s="126">
        <v>2.1841833733722282E-3</v>
      </c>
      <c r="C22" s="126">
        <f t="shared" si="0"/>
        <v>7.2857181417029611E-3</v>
      </c>
      <c r="D22" s="126">
        <f t="shared" si="1"/>
        <v>4.657027531078999E-4</v>
      </c>
      <c r="E22" s="126">
        <f t="shared" si="2"/>
        <v>0.21184372926105632</v>
      </c>
      <c r="F22" s="126">
        <f t="shared" si="3"/>
        <v>0.20875739285110526</v>
      </c>
      <c r="G22" s="126">
        <f t="shared" si="7"/>
        <v>6.7425886256810793E-4</v>
      </c>
      <c r="H22" s="126">
        <f t="shared" si="4"/>
        <v>7.5932420768866603E-3</v>
      </c>
      <c r="I22" s="126">
        <f t="shared" si="5"/>
        <v>3.6941078841763487E-3</v>
      </c>
      <c r="J22" s="126">
        <f t="shared" si="8"/>
        <v>-6.6618365706708604E-3</v>
      </c>
      <c r="M22" s="5"/>
      <c r="Y22">
        <f>IF($Z$1, D22, -0.2)</f>
        <v>-0.2</v>
      </c>
      <c r="AB22" s="40">
        <v>2.6927937030769646</v>
      </c>
      <c r="AC22" s="40">
        <f t="shared" si="6"/>
        <v>9.4040080614404061E-4</v>
      </c>
      <c r="AD22" s="40">
        <f>IF($Z$2, $AA$2*(SIN(ATAN($AA$1))+SIN(AB22)), -0.2)</f>
        <v>-0.2</v>
      </c>
    </row>
    <row r="23" spans="2:30" x14ac:dyDescent="0.3">
      <c r="B23" s="126">
        <v>2.3970685112121304E-3</v>
      </c>
      <c r="C23" s="126">
        <f t="shared" si="0"/>
        <v>7.632060299679588E-3</v>
      </c>
      <c r="D23" s="126">
        <f t="shared" si="1"/>
        <v>5.1077272027360416E-4</v>
      </c>
      <c r="E23" s="126">
        <f t="shared" si="2"/>
        <v>0.21157680835008266</v>
      </c>
      <c r="F23" s="126">
        <f t="shared" si="3"/>
        <v>0.20850192244140234</v>
      </c>
      <c r="G23" s="126">
        <f t="shared" si="7"/>
        <v>8.1727400312458522E-4</v>
      </c>
      <c r="H23" s="126">
        <f t="shared" si="4"/>
        <v>7.9775386688059214E-3</v>
      </c>
      <c r="I23" s="126">
        <f t="shared" si="5"/>
        <v>3.9768630192996753E-3</v>
      </c>
      <c r="J23" s="126">
        <f t="shared" si="8"/>
        <v>-6.9559932282587129E-3</v>
      </c>
      <c r="M23" s="5"/>
      <c r="Y23">
        <f>IF($Z$1, D23, -0.2)</f>
        <v>-0.2</v>
      </c>
      <c r="AB23" s="40">
        <v>2.8210219746520582</v>
      </c>
      <c r="AC23" s="40">
        <f t="shared" si="6"/>
        <v>3.562357183241585E-4</v>
      </c>
      <c r="AD23" s="40">
        <f>IF($Z$2, $AA$2*(SIN(ATAN($AA$1))+SIN(AB23)), -0.2)</f>
        <v>-0.2</v>
      </c>
    </row>
    <row r="24" spans="2:30" x14ac:dyDescent="0.3">
      <c r="B24" s="126">
        <v>2.619839089424536E-3</v>
      </c>
      <c r="C24" s="126">
        <f t="shared" si="0"/>
        <v>7.9782677678874956E-3</v>
      </c>
      <c r="D24" s="126">
        <f t="shared" si="1"/>
        <v>5.5787471101481699E-4</v>
      </c>
      <c r="E24" s="126">
        <f t="shared" si="2"/>
        <v>0.21129764920392474</v>
      </c>
      <c r="F24" s="126">
        <f t="shared" si="3"/>
        <v>0.20823470924991508</v>
      </c>
      <c r="G24" s="126">
        <f t="shared" si="7"/>
        <v>9.7046732434931263E-4</v>
      </c>
      <c r="H24" s="126">
        <f t="shared" si="4"/>
        <v>8.3637910157599027E-3</v>
      </c>
      <c r="I24" s="126">
        <f t="shared" si="5"/>
        <v>4.2692108544997599E-3</v>
      </c>
      <c r="J24" s="126">
        <f t="shared" si="8"/>
        <v>-7.2480415937302683E-3</v>
      </c>
      <c r="M24" s="5"/>
      <c r="Y24">
        <f>IF($Z$1, D24, -0.2)</f>
        <v>-0.2</v>
      </c>
      <c r="AB24" s="40">
        <v>2.9492502462271517</v>
      </c>
      <c r="AC24" s="40">
        <f t="shared" si="6"/>
        <v>-3.8619545684578765E-5</v>
      </c>
      <c r="AD24" s="40">
        <f>IF($Z$2, $AA$2*(SIN(ATAN($AA$1))+SIN(AB24)), -0.2)</f>
        <v>-0.2</v>
      </c>
    </row>
    <row r="25" spans="2:30" x14ac:dyDescent="0.3">
      <c r="B25" s="126">
        <v>2.8524929005325772E-3</v>
      </c>
      <c r="C25" s="126">
        <f t="shared" si="0"/>
        <v>8.3243266860064738E-3</v>
      </c>
      <c r="D25" s="126">
        <f t="shared" si="1"/>
        <v>6.0700001644085325E-4</v>
      </c>
      <c r="E25" s="126">
        <f t="shared" si="2"/>
        <v>0.2110062758777255</v>
      </c>
      <c r="F25" s="126">
        <f t="shared" si="3"/>
        <v>0.20795577236841303</v>
      </c>
      <c r="G25" s="126">
        <f t="shared" si="7"/>
        <v>1.1338511821442896E-3</v>
      </c>
      <c r="H25" s="126">
        <f t="shared" si="4"/>
        <v>8.7519791704457842E-3</v>
      </c>
      <c r="I25" s="126">
        <f t="shared" si="5"/>
        <v>4.5711346189208652E-3</v>
      </c>
      <c r="J25" s="126">
        <f t="shared" si="8"/>
        <v>-7.5379791375640775E-3</v>
      </c>
      <c r="M25" s="5"/>
      <c r="Y25">
        <f>IF($Z$1, D25, -0.2)</f>
        <v>-0.2</v>
      </c>
      <c r="AB25" s="40">
        <v>3.0774785178022452</v>
      </c>
      <c r="AC25" s="40">
        <f t="shared" si="6"/>
        <v>-2.3768147336351026E-4</v>
      </c>
      <c r="AD25" s="40">
        <f>IF($Z$2, $AA$2*(SIN(ATAN($AA$1))+SIN(AB25)), -0.2)</f>
        <v>-0.2</v>
      </c>
    </row>
    <row r="26" spans="2:30" x14ac:dyDescent="0.3">
      <c r="B26" s="126">
        <v>3.0950276391248366E-3</v>
      </c>
      <c r="C26" s="126">
        <f t="shared" si="0"/>
        <v>8.6702226507616095E-3</v>
      </c>
      <c r="D26" s="126">
        <f t="shared" si="1"/>
        <v>6.5813955235815278E-4</v>
      </c>
      <c r="E26" s="126">
        <f t="shared" si="2"/>
        <v>0.21070271348706815</v>
      </c>
      <c r="F26" s="126">
        <f t="shared" si="3"/>
        <v>0.20766513175043705</v>
      </c>
      <c r="G26" s="126">
        <f t="shared" si="7"/>
        <v>1.3074378915240497E-3</v>
      </c>
      <c r="H26" s="126">
        <f t="shared" si="4"/>
        <v>9.1420822506589981E-3</v>
      </c>
      <c r="I26" s="126">
        <f t="shared" si="5"/>
        <v>4.8826173867256234E-3</v>
      </c>
      <c r="J26" s="126">
        <f t="shared" si="8"/>
        <v>-7.8258031459426929E-3</v>
      </c>
      <c r="M26" s="5"/>
      <c r="Y26">
        <f>IF($Z$1, D26, -0.2)</f>
        <v>-0.2</v>
      </c>
      <c r="AB26" s="40">
        <v>3.2057067893773388</v>
      </c>
      <c r="AC26" s="40">
        <f t="shared" si="6"/>
        <v>-2.3768147336351297E-4</v>
      </c>
      <c r="AD26" s="40">
        <f>IF($Z$2, $AA$2*(SIN(ATAN($AA$1))+SIN(AB26)), -0.2)</f>
        <v>-0.2</v>
      </c>
    </row>
    <row r="27" spans="2:30" x14ac:dyDescent="0.3">
      <c r="B27" s="126">
        <v>3.3474409018774409E-3</v>
      </c>
      <c r="C27" s="126">
        <f t="shared" si="0"/>
        <v>9.0159407204457066E-3</v>
      </c>
      <c r="D27" s="126">
        <f t="shared" si="1"/>
        <v>7.1128386079719259E-4</v>
      </c>
      <c r="E27" s="126">
        <f t="shared" si="2"/>
        <v>0.2103869882068474</v>
      </c>
      <c r="F27" s="126">
        <f t="shared" si="3"/>
        <v>0.20736280821297093</v>
      </c>
      <c r="G27" s="126">
        <f t="shared" si="7"/>
        <v>1.4912397219858722E-3</v>
      </c>
      <c r="H27" s="126">
        <f t="shared" si="4"/>
        <v>9.5340784438281371E-3</v>
      </c>
      <c r="I27" s="126">
        <f t="shared" si="5"/>
        <v>5.2036420817690096E-3</v>
      </c>
      <c r="J27" s="126">
        <f t="shared" si="8"/>
        <v>-8.1115107222337526E-3</v>
      </c>
      <c r="M27" s="5"/>
      <c r="Y27">
        <f>IF($Z$1, D27, -0.2)</f>
        <v>-0.2</v>
      </c>
      <c r="AB27" s="40">
        <v>3.3339350609524323</v>
      </c>
      <c r="AC27" s="40">
        <f t="shared" si="6"/>
        <v>-3.8619545684585508E-5</v>
      </c>
      <c r="AD27" s="40">
        <f>IF($Z$2, $AA$2*(SIN(ATAN($AA$1))+SIN(AB27)), -0.2)</f>
        <v>-0.2</v>
      </c>
    </row>
    <row r="28" spans="2:30" x14ac:dyDescent="0.3">
      <c r="B28" s="126">
        <v>3.609730187578708E-3</v>
      </c>
      <c r="C28" s="126">
        <f t="shared" si="0"/>
        <v>9.3614654196316101E-3</v>
      </c>
      <c r="D28" s="126">
        <f t="shared" si="1"/>
        <v>7.6642311160329552E-4</v>
      </c>
      <c r="E28" s="126">
        <f t="shared" si="2"/>
        <v>0.21005912727009052</v>
      </c>
      <c r="F28" s="126">
        <f t="shared" si="3"/>
        <v>0.20704882343816963</v>
      </c>
      <c r="G28" s="126">
        <f t="shared" si="7"/>
        <v>1.6852688927585556E-3</v>
      </c>
      <c r="H28" s="126">
        <f t="shared" si="4"/>
        <v>9.927945011795291E-3</v>
      </c>
      <c r="I28" s="126">
        <f t="shared" si="5"/>
        <v>5.5341914823988604E-3</v>
      </c>
      <c r="J28" s="126">
        <f t="shared" si="8"/>
        <v>-8.3950987885887014E-3</v>
      </c>
      <c r="M28" s="5"/>
      <c r="Y28">
        <f>IF($Z$1, D28, -0.2)</f>
        <v>-0.2</v>
      </c>
      <c r="AB28" s="40">
        <v>3.4621633325275258</v>
      </c>
      <c r="AC28" s="40">
        <f t="shared" si="6"/>
        <v>3.5623571832414907E-4</v>
      </c>
      <c r="AD28" s="40">
        <f>IF($Z$2, $AA$2*(SIN(ATAN($AA$1))+SIN(AB28)), -0.2)</f>
        <v>-0.2</v>
      </c>
    </row>
    <row r="29" spans="2:30" x14ac:dyDescent="0.3">
      <c r="B29" s="126">
        <v>3.8818928971533495E-3</v>
      </c>
      <c r="C29" s="126">
        <f t="shared" si="0"/>
        <v>9.7067807440696843E-3</v>
      </c>
      <c r="D29" s="126">
        <f t="shared" si="1"/>
        <v>8.2354710409052233E-4</v>
      </c>
      <c r="E29" s="126">
        <f t="shared" si="2"/>
        <v>0.20971915896673299</v>
      </c>
      <c r="F29" s="126">
        <f t="shared" si="3"/>
        <v>0.20672319997514726</v>
      </c>
      <c r="G29" s="126">
        <f t="shared" si="7"/>
        <v>1.8895375679297255E-3</v>
      </c>
      <c r="H29" s="126">
        <f t="shared" si="4"/>
        <v>1.0323658295837502E-2</v>
      </c>
      <c r="I29" s="126">
        <f t="shared" si="5"/>
        <v>5.874248226376973E-3</v>
      </c>
      <c r="J29" s="126">
        <f t="shared" si="8"/>
        <v>-8.6765640876564579E-3</v>
      </c>
      <c r="M29" s="5"/>
      <c r="Y29">
        <f>IF($Z$1, D29, -0.2)</f>
        <v>-0.2</v>
      </c>
      <c r="AB29" s="40">
        <v>3.5903916041026194</v>
      </c>
      <c r="AC29" s="40">
        <f t="shared" si="6"/>
        <v>9.4040080614402706E-4</v>
      </c>
      <c r="AD29" s="40">
        <f>IF($Z$2, $AA$2*(SIN(ATAN($AA$1))+SIN(AB29)), -0.2)</f>
        <v>-0.2</v>
      </c>
    </row>
    <row r="30" spans="2:30" x14ac:dyDescent="0.3">
      <c r="B30" s="126">
        <v>4.1639263336883392E-3</v>
      </c>
      <c r="C30" s="126">
        <f t="shared" si="0"/>
        <v>1.0051870165772749E-2</v>
      </c>
      <c r="D30" s="126">
        <f t="shared" si="1"/>
        <v>8.8264526875891176E-4</v>
      </c>
      <c r="E30" s="126">
        <f t="shared" si="2"/>
        <v>0.2093671126423455</v>
      </c>
      <c r="F30" s="126">
        <f t="shared" si="3"/>
        <v>0.2063859612418196</v>
      </c>
      <c r="G30" s="126">
        <f t="shared" si="7"/>
        <v>2.1040578514554486E-3</v>
      </c>
      <c r="H30" s="126">
        <f t="shared" si="4"/>
        <v>1.0721193721933081E-2</v>
      </c>
      <c r="I30" s="126">
        <f t="shared" si="5"/>
        <v>6.2237948159212294E-3</v>
      </c>
      <c r="J30" s="126">
        <f t="shared" si="8"/>
        <v>-8.9559031844152568E-3</v>
      </c>
      <c r="M30" s="5"/>
      <c r="Y30">
        <f>IF($Z$1, D30, -0.2)</f>
        <v>-0.2</v>
      </c>
      <c r="AB30" s="40">
        <v>3.7186198756777129</v>
      </c>
      <c r="AC30" s="40">
        <f t="shared" si="6"/>
        <v>1.7042837431831652E-3</v>
      </c>
      <c r="AD30" s="40">
        <f>IF($Z$2, $AA$2*(SIN(ATAN($AA$1))+SIN(AB30)), -0.2)</f>
        <v>-0.2</v>
      </c>
    </row>
    <row r="31" spans="2:30" x14ac:dyDescent="0.3">
      <c r="B31" s="126">
        <v>4.4558277024601134E-3</v>
      </c>
      <c r="C31" s="126">
        <f t="shared" si="0"/>
        <v>1.0396716638287305E-2</v>
      </c>
      <c r="D31" s="126">
        <f t="shared" si="1"/>
        <v>9.4370666907480228E-4</v>
      </c>
      <c r="E31" s="126">
        <f t="shared" si="2"/>
        <v>0.20900301869681273</v>
      </c>
      <c r="F31" s="126">
        <f t="shared" si="3"/>
        <v>0.20603713152680025</v>
      </c>
      <c r="G31" s="126">
        <f t="shared" si="7"/>
        <v>2.3288417820542793E-3</v>
      </c>
      <c r="H31" s="126">
        <f t="shared" si="4"/>
        <v>1.1120525806272603E-2</v>
      </c>
      <c r="I31" s="126">
        <f t="shared" si="5"/>
        <v>6.5828136228659479E-3</v>
      </c>
      <c r="J31" s="126">
        <f t="shared" si="8"/>
        <v>-9.2331124681230003E-3</v>
      </c>
      <c r="M31" s="5"/>
      <c r="Y31">
        <f>IF($Z$1, D31, -0.2)</f>
        <v>-0.2</v>
      </c>
      <c r="AB31" s="40">
        <v>3.8468481472528064</v>
      </c>
      <c r="AC31" s="40">
        <f t="shared" si="6"/>
        <v>2.6353415927340613E-3</v>
      </c>
      <c r="AD31" s="40">
        <f>IF($Z$2, $AA$2*(SIN(ATAN($AA$1))+SIN(AB31)), -0.2)</f>
        <v>-0.2</v>
      </c>
    </row>
    <row r="32" spans="2:30" x14ac:dyDescent="0.3">
      <c r="B32" s="126">
        <v>4.7575941109612163E-3</v>
      </c>
      <c r="C32" s="126">
        <f t="shared" si="0"/>
        <v>1.0741302602148136E-2</v>
      </c>
      <c r="D32" s="126">
        <f t="shared" si="1"/>
        <v>1.0067200033136469E-3</v>
      </c>
      <c r="E32" s="126">
        <f t="shared" si="2"/>
        <v>0.20862690858296695</v>
      </c>
      <c r="F32" s="126">
        <f t="shared" si="3"/>
        <v>0.20567673599135194</v>
      </c>
      <c r="G32" s="126">
        <f t="shared" si="7"/>
        <v>2.5639013279867046E-3</v>
      </c>
      <c r="H32" s="126">
        <f t="shared" si="4"/>
        <v>1.1521628161012404E-2</v>
      </c>
      <c r="I32" s="126">
        <f t="shared" si="5"/>
        <v>6.9512868939357285E-3</v>
      </c>
      <c r="J32" s="126">
        <f t="shared" si="8"/>
        <v>-9.5081881543851096E-3</v>
      </c>
      <c r="M32" s="5"/>
      <c r="Y32">
        <f>IF($Z$1, D32, -0.2)</f>
        <v>-0.2</v>
      </c>
      <c r="AB32" s="40">
        <v>3.9750764188279</v>
      </c>
      <c r="AC32" s="40">
        <f t="shared" si="6"/>
        <v>3.7182864106475766E-3</v>
      </c>
      <c r="AD32" s="40">
        <f>IF($Z$2, $AA$2*(SIN(ATAN($AA$1))+SIN(AB32)), -0.2)</f>
        <v>-0.2</v>
      </c>
    </row>
    <row r="33" spans="2:30" x14ac:dyDescent="0.3">
      <c r="B33" s="126">
        <v>5.0692225689300541E-3</v>
      </c>
      <c r="C33" s="126">
        <f t="shared" si="0"/>
        <v>1.1085609990519983E-2</v>
      </c>
      <c r="D33" s="126">
        <f t="shared" si="1"/>
        <v>1.0716736064658799E-3</v>
      </c>
      <c r="E33" s="126">
        <f t="shared" si="2"/>
        <v>0.2082388148051712</v>
      </c>
      <c r="F33" s="126">
        <f t="shared" si="3"/>
        <v>0.20530480067138523</v>
      </c>
      <c r="G33" s="126">
        <f t="shared" si="7"/>
        <v>2.8092483817253474E-3</v>
      </c>
      <c r="H33" s="126">
        <f t="shared" si="4"/>
        <v>1.1924473500275997E-2</v>
      </c>
      <c r="I33" s="126">
        <f t="shared" si="5"/>
        <v>7.3291967561347603E-3</v>
      </c>
      <c r="J33" s="126">
        <f t="shared" si="8"/>
        <v>-9.781126287344238E-3</v>
      </c>
      <c r="M33" s="5"/>
      <c r="Y33">
        <f>IF($Z$1, D33, -0.2)</f>
        <v>-0.2</v>
      </c>
      <c r="AB33" s="40">
        <v>4.1033046904029939</v>
      </c>
      <c r="AC33" s="40">
        <f t="shared" si="6"/>
        <v>4.9353362729531976E-3</v>
      </c>
      <c r="AD33" s="40">
        <f>IF($Z$2, $AA$2*(SIN(ATAN($AA$1))+SIN(AB33)), -0.2)</f>
        <v>-0.2</v>
      </c>
    </row>
    <row r="34" spans="2:30" x14ac:dyDescent="0.3">
      <c r="B34" s="126">
        <v>5.3907099883800935E-3</v>
      </c>
      <c r="C34" s="126">
        <f t="shared" si="0"/>
        <v>1.1429620235021256E-2</v>
      </c>
      <c r="D34" s="126">
        <f t="shared" si="1"/>
        <v>1.138555452204857E-3</v>
      </c>
      <c r="E34" s="126">
        <f t="shared" si="2"/>
        <v>0.20783877091785707</v>
      </c>
      <c r="F34" s="126">
        <f t="shared" si="3"/>
        <v>0.20492135247950857</v>
      </c>
      <c r="G34" s="126">
        <f t="shared" si="7"/>
        <v>3.0648947545157284E-3</v>
      </c>
      <c r="H34" s="126">
        <f t="shared" si="4"/>
        <v>1.2329033646398873E-2</v>
      </c>
      <c r="I34" s="126">
        <f t="shared" si="5"/>
        <v>7.7165252222444591E-3</v>
      </c>
      <c r="J34" s="126">
        <f t="shared" si="8"/>
        <v>-1.0051922741989161E-2</v>
      </c>
      <c r="M34" s="5"/>
      <c r="Y34">
        <f>IF($Z$1, D34, -0.2)</f>
        <v>-0.2</v>
      </c>
      <c r="AB34" s="40">
        <v>4.2315329619780879</v>
      </c>
      <c r="AC34" s="40">
        <f t="shared" si="6"/>
        <v>6.2665072545590251E-3</v>
      </c>
      <c r="AD34" s="40">
        <f>IF($Z$2, $AA$2*(SIN(ATAN($AA$1))+SIN(AB34)), -0.2)</f>
        <v>-0.2</v>
      </c>
    </row>
    <row r="35" spans="2:30" x14ac:dyDescent="0.3">
      <c r="B35" s="126">
        <v>5.7220531836302824E-3</v>
      </c>
      <c r="C35" s="126">
        <f t="shared" si="0"/>
        <v>1.1773314271731153E-2</v>
      </c>
      <c r="D35" s="126">
        <f t="shared" si="1"/>
        <v>1.207353154917023E-3</v>
      </c>
      <c r="E35" s="126">
        <f t="shared" si="2"/>
        <v>0.20742681152401501</v>
      </c>
      <c r="F35" s="126">
        <f t="shared" si="3"/>
        <v>0.20452641920712528</v>
      </c>
      <c r="G35" s="126">
        <f t="shared" si="7"/>
        <v>3.3308521708316609E-3</v>
      </c>
      <c r="H35" s="126">
        <f t="shared" si="4"/>
        <v>1.2735279536419435E-2</v>
      </c>
      <c r="I35" s="126">
        <f t="shared" si="5"/>
        <v>8.1132541964289047E-3</v>
      </c>
      <c r="J35" s="126">
        <f t="shared" si="8"/>
        <v>-1.0320573226585389E-2</v>
      </c>
      <c r="M35" s="5"/>
      <c r="Y35">
        <f>IF($Z$1, D35, -0.2)</f>
        <v>-0.2</v>
      </c>
      <c r="AB35" s="40">
        <v>4.3597612335531819</v>
      </c>
      <c r="AC35" s="40">
        <f t="shared" si="6"/>
        <v>7.6899415647492973E-3</v>
      </c>
      <c r="AD35" s="40">
        <f>IF($Z$2, $AA$2*(SIN(ATAN($AA$1))+SIN(AB35)), -0.2)</f>
        <v>-0.2</v>
      </c>
    </row>
    <row r="36" spans="2:30" x14ac:dyDescent="0.3">
      <c r="B36" s="126">
        <v>6.0632488713366905E-3</v>
      </c>
      <c r="C36" s="126">
        <f t="shared" si="0"/>
        <v>1.2116672547379449E-2</v>
      </c>
      <c r="D36" s="126">
        <f t="shared" si="1"/>
        <v>1.2780539717940805E-3</v>
      </c>
      <c r="E36" s="126">
        <f t="shared" si="2"/>
        <v>0.20700297227363679</v>
      </c>
      <c r="F36" s="126">
        <f t="shared" si="3"/>
        <v>0.20412002952657515</v>
      </c>
      <c r="G36" s="126">
        <f t="shared" si="7"/>
        <v>3.6071322627281108E-3</v>
      </c>
      <c r="H36" s="126">
        <f t="shared" si="4"/>
        <v>1.314318122881648E-2</v>
      </c>
      <c r="I36" s="126">
        <f t="shared" si="5"/>
        <v>8.5193654799452703E-3</v>
      </c>
      <c r="J36" s="126">
        <f t="shared" si="8"/>
        <v>-1.0587073285228319E-2</v>
      </c>
      <c r="M36" s="5"/>
      <c r="Y36">
        <f>IF($Z$1, D36, -0.2)</f>
        <v>-0.2</v>
      </c>
      <c r="AB36" s="40">
        <v>4.4879895051282759</v>
      </c>
      <c r="AC36" s="40">
        <f t="shared" si="6"/>
        <v>9.1822664515036571E-3</v>
      </c>
      <c r="AD36" s="40">
        <f>IF($Z$2, $AA$2*(SIN(ATAN($AA$1))+SIN(AB36)), -0.2)</f>
        <v>-0.2</v>
      </c>
    </row>
    <row r="37" spans="2:30" x14ac:dyDescent="0.3">
      <c r="B37" s="126">
        <v>6.4142936705253728E-3</v>
      </c>
      <c r="C37" s="126">
        <f t="shared" si="0"/>
        <v>1.2459675025718106E-2</v>
      </c>
      <c r="D37" s="126">
        <f t="shared" si="1"/>
        <v>1.3506448049869254E-3</v>
      </c>
      <c r="E37" s="126">
        <f t="shared" si="2"/>
        <v>0.20656728986211059</v>
      </c>
      <c r="F37" s="126">
        <f t="shared" si="3"/>
        <v>0.2037022129933195</v>
      </c>
      <c r="G37" s="126">
        <f t="shared" si="7"/>
        <v>3.8937465640944196E-3</v>
      </c>
      <c r="H37" s="126">
        <f t="shared" si="4"/>
        <v>1.3552707910493553E-2</v>
      </c>
      <c r="I37" s="126">
        <f t="shared" si="5"/>
        <v>8.9348407769563251E-3</v>
      </c>
      <c r="J37" s="126">
        <f t="shared" si="8"/>
        <v>-1.0851418300519701E-2</v>
      </c>
      <c r="M37" s="5"/>
      <c r="Y37">
        <f>IF($Z$1, D37, -0.2)</f>
        <v>-0.2</v>
      </c>
      <c r="AB37" s="40">
        <v>4.6162177767033699</v>
      </c>
      <c r="AC37" s="40">
        <f t="shared" si="6"/>
        <v>1.0718977981439145E-2</v>
      </c>
      <c r="AD37" s="40">
        <f>IF($Z$2, $AA$2*(SIN(ATAN($AA$1))+SIN(AB37)), -0.2)</f>
        <v>-0.2</v>
      </c>
    </row>
    <row r="38" spans="2:30" x14ac:dyDescent="0.3">
      <c r="B38" s="126">
        <v>6.7751841026255644E-3</v>
      </c>
      <c r="C38" s="126">
        <f t="shared" si="0"/>
        <v>1.2802301194072999E-2</v>
      </c>
      <c r="D38" s="126">
        <f t="shared" si="1"/>
        <v>1.4251122038209246E-3</v>
      </c>
      <c r="E38" s="126">
        <f t="shared" si="2"/>
        <v>0.20611980202856989</v>
      </c>
      <c r="F38" s="126">
        <f t="shared" si="3"/>
        <v>0.20327300004816812</v>
      </c>
      <c r="G38" s="126">
        <f t="shared" si="7"/>
        <v>4.1907065048101908E-3</v>
      </c>
      <c r="H38" s="126">
        <f t="shared" si="4"/>
        <v>1.3963827904009418E-2</v>
      </c>
      <c r="I38" s="126">
        <f t="shared" si="5"/>
        <v>9.3596617004409379E-3</v>
      </c>
      <c r="J38" s="126">
        <f t="shared" si="8"/>
        <v>-1.1113603496367568E-2</v>
      </c>
      <c r="M38" s="5"/>
      <c r="Y38">
        <f>IF($Z$1, D38, -0.2)</f>
        <v>-0.2</v>
      </c>
      <c r="AB38" s="40">
        <v>4.7444460482784638</v>
      </c>
      <c r="AC38" s="40">
        <f t="shared" si="6"/>
        <v>1.2274843393718902E-2</v>
      </c>
      <c r="AD38" s="40">
        <f>IF($Z$2, $AA$2*(SIN(ATAN($AA$1))+SIN(AB38)), -0.2)</f>
        <v>-0.2</v>
      </c>
    </row>
    <row r="39" spans="2:30" x14ac:dyDescent="0.3">
      <c r="B39" s="126">
        <v>7.1459165915040979E-3</v>
      </c>
      <c r="C39" s="126">
        <f t="shared" si="0"/>
        <v>1.3144530070075941E-2</v>
      </c>
      <c r="D39" s="126">
        <f t="shared" si="1"/>
        <v>1.5014423670724759E-3</v>
      </c>
      <c r="E39" s="126">
        <f t="shared" si="2"/>
        <v>0.20566054755419461</v>
      </c>
      <c r="F39" s="126">
        <f t="shared" si="3"/>
        <v>0.20283242201954513</v>
      </c>
      <c r="G39" s="126">
        <f t="shared" si="7"/>
        <v>4.4980234048076079E-3</v>
      </c>
      <c r="H39" s="126">
        <f t="shared" si="4"/>
        <v>1.4376508675056172E-2</v>
      </c>
      <c r="I39" s="126">
        <f t="shared" si="5"/>
        <v>9.7938097782005878E-3</v>
      </c>
      <c r="J39" s="126">
        <f t="shared" si="8"/>
        <v>-1.1373623940911222E-2</v>
      </c>
      <c r="M39" s="5"/>
      <c r="Y39">
        <f>IF($Z$1, D39, -0.2)</f>
        <v>-0.2</v>
      </c>
      <c r="AB39" s="40">
        <v>4.8726743198535578</v>
      </c>
      <c r="AC39" s="40">
        <f t="shared" si="6"/>
        <v>1.3824315421287517E-2</v>
      </c>
      <c r="AD39" s="40">
        <f>IF($Z$2, $AA$2*(SIN(ATAN($AA$1))+SIN(AB39)), -0.2)</f>
        <v>-0.2</v>
      </c>
    </row>
    <row r="40" spans="2:30" x14ac:dyDescent="0.3">
      <c r="B40" s="126">
        <v>7.5264874635010415E-3</v>
      </c>
      <c r="C40" s="126">
        <f t="shared" si="0"/>
        <v>1.348634020857605E-2</v>
      </c>
      <c r="D40" s="126">
        <f t="shared" si="1"/>
        <v>1.5796211453065936E-3</v>
      </c>
      <c r="E40" s="126">
        <f t="shared" si="2"/>
        <v>0.20518956626046544</v>
      </c>
      <c r="F40" s="126">
        <f t="shared" si="3"/>
        <v>0.20238051112579214</v>
      </c>
      <c r="G40" s="126">
        <f t="shared" si="7"/>
        <v>4.8157084680433924E-3</v>
      </c>
      <c r="H40" s="126">
        <f t="shared" si="4"/>
        <v>1.4790716840185224E-2</v>
      </c>
      <c r="I40" s="126">
        <f t="shared" si="5"/>
        <v>1.0237266458958691E-2</v>
      </c>
      <c r="J40" s="126">
        <f t="shared" si="8"/>
        <v>-1.1631474549572038E-2</v>
      </c>
      <c r="M40" s="5"/>
      <c r="Y40">
        <f>IF($Z$1, D40, -0.2)</f>
        <v>-0.2</v>
      </c>
      <c r="AB40" s="40">
        <v>5.0009025914286518</v>
      </c>
      <c r="AC40" s="40">
        <f t="shared" si="6"/>
        <v>1.5341951776289782E-2</v>
      </c>
      <c r="AD40" s="40">
        <f>IF($Z$2, $AA$2*(SIN(ATAN($AA$1))+SIN(AB40)), -0.2)</f>
        <v>-0.2</v>
      </c>
    </row>
    <row r="41" spans="2:30" x14ac:dyDescent="0.3">
      <c r="B41" s="126">
        <v>7.9168929474660032E-3</v>
      </c>
      <c r="C41" s="126">
        <f t="shared" si="0"/>
        <v>1.3827709708729114E-2</v>
      </c>
      <c r="D41" s="126">
        <f t="shared" si="1"/>
        <v>1.6596340432751485E-3</v>
      </c>
      <c r="E41" s="126">
        <f t="shared" si="2"/>
        <v>0.20470689900737113</v>
      </c>
      <c r="F41" s="126">
        <f t="shared" si="3"/>
        <v>0.20191730047750611</v>
      </c>
      <c r="G41" s="126">
        <f t="shared" si="7"/>
        <v>5.1437727763832038E-3</v>
      </c>
      <c r="H41" s="126">
        <f t="shared" si="4"/>
        <v>1.5206418174780866E-2</v>
      </c>
      <c r="I41" s="126">
        <f t="shared" si="5"/>
        <v>1.0690013118548803E-2</v>
      </c>
      <c r="J41" s="126">
        <f t="shared" si="8"/>
        <v>-1.1887150088230568E-2</v>
      </c>
      <c r="M41" s="5"/>
      <c r="Y41">
        <f>IF($Z$1, D41, -0.2)</f>
        <v>-0.2</v>
      </c>
      <c r="AB41" s="40">
        <v>5.1291308630037458</v>
      </c>
      <c r="AC41" s="40">
        <f t="shared" si="6"/>
        <v>1.680283291173388E-2</v>
      </c>
      <c r="AD41" s="40">
        <f>IF($Z$2, $AA$2*(SIN(ATAN($AA$1))+SIN(AB41)), -0.2)</f>
        <v>-0.2</v>
      </c>
    </row>
    <row r="42" spans="2:30" x14ac:dyDescent="0.3">
      <c r="B42" s="126">
        <v>8.3171291747956566E-3</v>
      </c>
      <c r="C42" s="126">
        <f t="shared" si="0"/>
        <v>1.4168616221264575E-2</v>
      </c>
      <c r="D42" s="126">
        <f t="shared" si="1"/>
        <v>1.7414662223756022E-3</v>
      </c>
      <c r="E42" s="126">
        <f t="shared" si="2"/>
        <v>0.20421258769156889</v>
      </c>
      <c r="F42" s="126">
        <f t="shared" si="3"/>
        <v>0.20144282407991027</v>
      </c>
      <c r="G42" s="126">
        <f t="shared" si="7"/>
        <v>5.4822272834022896E-3</v>
      </c>
      <c r="H42" s="126">
        <f t="shared" si="4"/>
        <v>1.5623577621282326E-2</v>
      </c>
      <c r="I42" s="126">
        <f t="shared" si="5"/>
        <v>1.1152031066189023E-2</v>
      </c>
      <c r="J42" s="126">
        <f t="shared" si="8"/>
        <v>-1.214064517653112E-2</v>
      </c>
      <c r="M42" s="5"/>
      <c r="Y42">
        <f>IF($Z$1, D42, -0.2)</f>
        <v>-0.2</v>
      </c>
      <c r="AB42" s="40">
        <v>5.2573591345788397</v>
      </c>
      <c r="AC42" s="40">
        <f t="shared" si="6"/>
        <v>1.8182971199764052E-2</v>
      </c>
      <c r="AD42" s="40">
        <f>IF($Z$2, $AA$2*(SIN(ATAN($AA$1))+SIN(AB42)), -0.2)</f>
        <v>-0.2</v>
      </c>
    </row>
    <row r="43" spans="2:30" x14ac:dyDescent="0.3">
      <c r="B43" s="126">
        <v>8.727192179471821E-3</v>
      </c>
      <c r="C43" s="126">
        <f t="shared" si="0"/>
        <v>1.4509036955928666E-2</v>
      </c>
      <c r="D43" s="126">
        <f t="shared" si="1"/>
        <v>1.8251025031698358E-3</v>
      </c>
      <c r="E43" s="126">
        <f t="shared" si="2"/>
        <v>0.20370667524449859</v>
      </c>
      <c r="F43" s="126">
        <f t="shared" si="3"/>
        <v>0.20095711683525597</v>
      </c>
      <c r="G43" s="126">
        <f t="shared" si="7"/>
        <v>5.8310828081052559E-3</v>
      </c>
      <c r="H43" s="126">
        <f t="shared" si="4"/>
        <v>1.6042159297653937E-2</v>
      </c>
      <c r="I43" s="126">
        <f t="shared" si="5"/>
        <v>1.1623301550838386E-2</v>
      </c>
      <c r="J43" s="126">
        <f t="shared" si="8"/>
        <v>-1.2391954291314265E-2</v>
      </c>
      <c r="M43" s="5"/>
      <c r="Y43">
        <f>IF($Z$1, D43, -0.2)</f>
        <v>-0.2</v>
      </c>
      <c r="AB43" s="40">
        <v>5.3855874061539337</v>
      </c>
      <c r="AC43" s="40">
        <f t="shared" si="6"/>
        <v>1.9459704807846832E-2</v>
      </c>
      <c r="AD43" s="40">
        <f>IF($Z$2, $AA$2*(SIN(ATAN($AA$1))+SIN(AB43)), -0.2)</f>
        <v>-0.2</v>
      </c>
    </row>
    <row r="44" spans="2:30" x14ac:dyDescent="0.3">
      <c r="B44" s="126">
        <v>9.1470778981007639E-3</v>
      </c>
      <c r="C44" s="126">
        <f t="shared" si="0"/>
        <v>1.4848948689103296E-2</v>
      </c>
      <c r="D44" s="126">
        <f t="shared" si="1"/>
        <v>1.910527367962916E-3</v>
      </c>
      <c r="E44" s="126">
        <f t="shared" si="2"/>
        <v>0.20318920563044973</v>
      </c>
      <c r="F44" s="126">
        <f t="shared" si="3"/>
        <v>0.2004602145452524</v>
      </c>
      <c r="G44" s="126">
        <f t="shared" si="7"/>
        <v>6.1903500285690784E-3</v>
      </c>
      <c r="H44" s="126">
        <f t="shared" si="4"/>
        <v>1.6462126506104301E-2</v>
      </c>
      <c r="I44" s="126">
        <f t="shared" si="5"/>
        <v>1.2103805767632449E-2</v>
      </c>
      <c r="J44" s="126">
        <f t="shared" si="8"/>
        <v>-1.264107177017847E-2</v>
      </c>
      <c r="M44" s="5"/>
      <c r="Y44">
        <f>IF($Z$1, D44, -0.2)</f>
        <v>-0.2</v>
      </c>
      <c r="AB44" s="40">
        <v>5.5138156777290277</v>
      </c>
      <c r="AC44" s="40">
        <f t="shared" si="6"/>
        <v>2.0612069805434705E-2</v>
      </c>
      <c r="AD44" s="40">
        <f>IF($Z$2, $AA$2*(SIN(ATAN($AA$1))+SIN(AB44)), -0.2)</f>
        <v>-0.2</v>
      </c>
    </row>
    <row r="45" spans="2:30" x14ac:dyDescent="0.3">
      <c r="B45" s="126">
        <v>9.5767821699537237E-3</v>
      </c>
      <c r="C45" s="126">
        <f t="shared" si="0"/>
        <v>1.5188327771599787E-2</v>
      </c>
      <c r="D45" s="126">
        <f t="shared" si="1"/>
        <v>1.9977249634415251E-3</v>
      </c>
      <c r="E45" s="126">
        <f t="shared" si="2"/>
        <v>0.20266022384458157</v>
      </c>
      <c r="F45" s="126">
        <f t="shared" si="3"/>
        <v>0.19995215391352175</v>
      </c>
      <c r="G45" s="126">
        <f t="shared" si="7"/>
        <v>6.5600394755129226E-3</v>
      </c>
      <c r="H45" s="126">
        <f t="shared" si="4"/>
        <v>1.6883441742054753E-2</v>
      </c>
      <c r="I45" s="126">
        <f t="shared" si="5"/>
        <v>1.2593524864394525E-2</v>
      </c>
      <c r="J45" s="126">
        <f t="shared" si="8"/>
        <v>-1.2887991815171704E-2</v>
      </c>
      <c r="M45" s="5"/>
      <c r="Y45">
        <f>IF($Z$1, D45, -0.2)</f>
        <v>-0.2</v>
      </c>
      <c r="AB45" s="40">
        <v>5.6420439493041217</v>
      </c>
      <c r="AC45" s="40">
        <f t="shared" si="6"/>
        <v>2.1621144391126123E-2</v>
      </c>
      <c r="AD45" s="40">
        <f>IF($Z$2, $AA$2*(SIN(ATAN($AA$1))+SIN(AB45)), -0.2)</f>
        <v>-0.2</v>
      </c>
    </row>
    <row r="46" spans="2:30" x14ac:dyDescent="0.3">
      <c r="B46" s="126">
        <v>1.0016300737007988E-2</v>
      </c>
      <c r="C46" s="126">
        <f t="shared" si="0"/>
        <v>1.5527150136625888E-2</v>
      </c>
      <c r="D46" s="126">
        <f t="shared" si="1"/>
        <v>2.0866791033716105E-3</v>
      </c>
      <c r="E46" s="126">
        <f t="shared" si="2"/>
        <v>0.20211977591089722</v>
      </c>
      <c r="F46" s="126">
        <f t="shared" si="3"/>
        <v>0.19943297254807865</v>
      </c>
      <c r="G46" s="126">
        <f t="shared" si="7"/>
        <v>6.9401615257979315E-3</v>
      </c>
      <c r="H46" s="126">
        <f t="shared" si="4"/>
        <v>1.7306066703356614E-2</v>
      </c>
      <c r="I46" s="126">
        <f t="shared" si="5"/>
        <v>1.3092439948218045E-2</v>
      </c>
      <c r="J46" s="126">
        <f t="shared" si="8"/>
        <v>-1.3132708496613393E-2</v>
      </c>
      <c r="M46" s="5"/>
      <c r="Y46">
        <f>IF($Z$1, D46, -0.2)</f>
        <v>-0.2</v>
      </c>
      <c r="AB46" s="40">
        <v>5.7702722208792157</v>
      </c>
      <c r="AC46" s="40">
        <f t="shared" si="6"/>
        <v>2.2470359588121415E-2</v>
      </c>
      <c r="AD46" s="40">
        <f>IF($Z$2, $AA$2*(SIN(ATAN($AA$1))+SIN(AB46)), -0.2)</f>
        <v>-0.2</v>
      </c>
    </row>
    <row r="47" spans="2:30" x14ac:dyDescent="0.3">
      <c r="B47" s="126">
        <v>1.0465629243989194E-2</v>
      </c>
      <c r="C47" s="126">
        <f t="shared" si="0"/>
        <v>1.5865391307925625E-2</v>
      </c>
      <c r="D47" s="126">
        <f t="shared" si="1"/>
        <v>2.1773732713550988E-3</v>
      </c>
      <c r="E47" s="126">
        <f t="shared" si="2"/>
        <v>0.20156790888017115</v>
      </c>
      <c r="F47" s="126">
        <f t="shared" si="3"/>
        <v>0.1989027089638303</v>
      </c>
      <c r="G47" s="126">
        <f t="shared" si="7"/>
        <v>7.3307263958613065E-3</v>
      </c>
      <c r="H47" s="126">
        <f t="shared" si="4"/>
        <v>1.7729962299758109E-2</v>
      </c>
      <c r="I47" s="126">
        <f t="shared" si="5"/>
        <v>1.3600532092117082E-2</v>
      </c>
      <c r="J47" s="126">
        <f t="shared" si="8"/>
        <v>-1.337521575704791E-2</v>
      </c>
      <c r="M47" s="5"/>
      <c r="Y47">
        <f>IF($Z$1, D47, -0.2)</f>
        <v>-0.2</v>
      </c>
      <c r="AB47" s="40">
        <v>5.8985004924543096</v>
      </c>
      <c r="AC47" s="40">
        <f t="shared" si="6"/>
        <v>2.3145771306363729E-2</v>
      </c>
      <c r="AD47" s="40">
        <f>IF($Z$2, $AA$2*(SIN(ATAN($AA$1))+SIN(AB47)), -0.2)</f>
        <v>-0.2</v>
      </c>
    </row>
    <row r="48" spans="2:30" x14ac:dyDescent="0.3">
      <c r="B48" s="126">
        <v>1.092476323841407E-2</v>
      </c>
      <c r="C48" s="126">
        <f t="shared" si="0"/>
        <v>1.6203026408090397E-2</v>
      </c>
      <c r="D48" s="126">
        <f t="shared" si="1"/>
        <v>2.2697906236452061E-3</v>
      </c>
      <c r="E48" s="126">
        <f t="shared" si="2"/>
        <v>0.20100467082783052</v>
      </c>
      <c r="F48" s="126">
        <f t="shared" si="3"/>
        <v>0.19836140258509546</v>
      </c>
      <c r="G48" s="126">
        <f t="shared" si="7"/>
        <v>7.7317441350878823E-3</v>
      </c>
      <c r="H48" s="126">
        <f t="shared" si="4"/>
        <v>1.8155088662620389E-2</v>
      </c>
      <c r="I48" s="126">
        <f t="shared" si="5"/>
        <v>1.4117782341740258E-2</v>
      </c>
      <c r="J48" s="126">
        <f t="shared" si="8"/>
        <v>-1.3615507415329978E-2</v>
      </c>
      <c r="M48" s="5"/>
      <c r="Y48">
        <f>IF($Z$1, D48, -0.2)</f>
        <v>-0.2</v>
      </c>
      <c r="AB48" s="40">
        <v>6.0267287640294036</v>
      </c>
      <c r="AC48" s="40">
        <f t="shared" si="6"/>
        <v>2.3636289304112296E-2</v>
      </c>
      <c r="AD48" s="40">
        <f>IF($Z$2, $AA$2*(SIN(ATAN($AA$1))+SIN(AB48)), -0.2)</f>
        <v>-0.2</v>
      </c>
    </row>
    <row r="49" spans="2:30" x14ac:dyDescent="0.3">
      <c r="B49" s="126">
        <v>1.1393698170635291E-2</v>
      </c>
      <c r="C49" s="126">
        <f t="shared" si="0"/>
        <v>1.654003016704151E-2</v>
      </c>
      <c r="D49" s="126">
        <f t="shared" si="1"/>
        <v>2.3639139920203635E-3</v>
      </c>
      <c r="E49" s="126">
        <f t="shared" si="2"/>
        <v>0.20043011085178936</v>
      </c>
      <c r="F49" s="126">
        <f t="shared" si="3"/>
        <v>0.19780909374813857</v>
      </c>
      <c r="G49" s="126">
        <f t="shared" si="7"/>
        <v>8.1432246191245443E-3</v>
      </c>
      <c r="H49" s="126">
        <f t="shared" si="4"/>
        <v>1.8581405154884375E-2</v>
      </c>
      <c r="I49" s="126">
        <f t="shared" si="5"/>
        <v>1.4644171722146038E-2</v>
      </c>
      <c r="J49" s="126">
        <f t="shared" si="8"/>
        <v>-1.3853577170843647E-2</v>
      </c>
      <c r="M49" s="5"/>
      <c r="Y49">
        <f>IF($Z$1, D49, -0.2)</f>
        <v>-0.2</v>
      </c>
      <c r="AB49" s="40">
        <v>6.1549570356044976</v>
      </c>
      <c r="AC49" s="40">
        <f t="shared" si="6"/>
        <v>2.3933859289405189E-2</v>
      </c>
      <c r="AD49" s="40">
        <f>IF($Z$2, $AA$2*(SIN(ATAN($AA$1))+SIN(AB49)), -0.2)</f>
        <v>-0.2</v>
      </c>
    </row>
    <row r="50" spans="2:30" x14ac:dyDescent="0.3">
      <c r="B50" s="126">
        <v>1.1872429393885775E-2</v>
      </c>
      <c r="C50" s="126">
        <f t="shared" si="0"/>
        <v>1.68763769306811E-2</v>
      </c>
      <c r="D50" s="126">
        <f t="shared" si="1"/>
        <v>2.4597258867159106E-3</v>
      </c>
      <c r="E50" s="126">
        <f t="shared" si="2"/>
        <v>0.199844279070238</v>
      </c>
      <c r="F50" s="126">
        <f t="shared" si="3"/>
        <v>0.19724582370371865</v>
      </c>
      <c r="G50" s="126">
        <f t="shared" si="7"/>
        <v>8.5651775431392213E-3</v>
      </c>
      <c r="H50" s="126">
        <f t="shared" si="4"/>
        <v>1.9008870381285979E-2</v>
      </c>
      <c r="I50" s="126">
        <f t="shared" si="5"/>
        <v>1.5179681244632329E-2</v>
      </c>
      <c r="J50" s="126">
        <f t="shared" si="8"/>
        <v>-1.4089418607854157E-2</v>
      </c>
      <c r="M50" s="5"/>
      <c r="Y50">
        <f>IF($Z$1, D50, -0.2)</f>
        <v>-0.2</v>
      </c>
      <c r="AB50" s="40">
        <v>6.2831853071795916</v>
      </c>
      <c r="AC50" s="40">
        <f t="shared" si="6"/>
        <v>2.4033595171310661E-2</v>
      </c>
      <c r="AD50" s="40">
        <f>IF($Z$2, $AA$2*(SIN(ATAN($AA$1))+SIN(AB50)), -0.2)</f>
        <v>-0.2</v>
      </c>
    </row>
    <row r="51" spans="2:30" x14ac:dyDescent="0.3">
      <c r="B51" s="126">
        <v>1.2360952164325312E-2</v>
      </c>
      <c r="C51" s="126">
        <f t="shared" si="0"/>
        <v>1.7212040669712509E-2</v>
      </c>
      <c r="D51" s="126">
        <f t="shared" si="1"/>
        <v>2.5572084994137903E-3</v>
      </c>
      <c r="E51" s="126">
        <f t="shared" si="2"/>
        <v>0.19924722661938482</v>
      </c>
      <c r="F51" s="126">
        <f t="shared" si="3"/>
        <v>0.19667163461964773</v>
      </c>
      <c r="G51" s="126">
        <f t="shared" si="7"/>
        <v>8.9976124150310411E-3</v>
      </c>
      <c r="H51" s="126">
        <f t="shared" si="4"/>
        <v>1.9437442198822534E-2</v>
      </c>
      <c r="I51" s="126">
        <f t="shared" si="5"/>
        <v>1.5724291913619581E-2</v>
      </c>
      <c r="J51" s="126">
        <f t="shared" si="8"/>
        <v>-1.4323025199994954E-2</v>
      </c>
      <c r="M51" s="5"/>
      <c r="Y51">
        <f>IF($Z$1, D51, -0.2)</f>
        <v>-0.2</v>
      </c>
    </row>
    <row r="52" spans="2:30" x14ac:dyDescent="0.3">
      <c r="B52" s="126">
        <v>1.2859261641087194E-2</v>
      </c>
      <c r="C52" s="126">
        <f t="shared" si="0"/>
        <v>1.7546994988627322E-2</v>
      </c>
      <c r="D52" s="126">
        <f t="shared" si="1"/>
        <v>2.6563437062894699E-3</v>
      </c>
      <c r="E52" s="126">
        <f t="shared" si="2"/>
        <v>0.19863900565115356</v>
      </c>
      <c r="F52" s="126">
        <f t="shared" si="3"/>
        <v>0.19608656958335863</v>
      </c>
      <c r="G52" s="126">
        <f t="shared" si="7"/>
        <v>9.4405385485937399E-3</v>
      </c>
      <c r="H52" s="126">
        <f t="shared" si="4"/>
        <v>1.9867077727468357E-2</v>
      </c>
      <c r="I52" s="126">
        <f t="shared" si="5"/>
        <v>1.6277984733580646E-2</v>
      </c>
      <c r="J52" s="126">
        <f t="shared" si="8"/>
        <v>-1.4554390314889417E-2</v>
      </c>
      <c r="M52" s="5"/>
      <c r="Y52">
        <f>IF($Z$1, D52, -0.2)</f>
        <v>-0.2</v>
      </c>
    </row>
    <row r="53" spans="2:30" x14ac:dyDescent="0.3">
      <c r="B53" s="126">
        <v>1.3367352886326511E-2</v>
      </c>
      <c r="C53" s="126">
        <f t="shared" si="0"/>
        <v>1.7881213134859051E-2</v>
      </c>
      <c r="D53" s="126">
        <f t="shared" si="1"/>
        <v>2.7571130711160586E-3</v>
      </c>
      <c r="E53" s="126">
        <f t="shared" si="2"/>
        <v>0.19801966933083304</v>
      </c>
      <c r="F53" s="126">
        <f t="shared" si="3"/>
        <v>0.19549067260447678</v>
      </c>
      <c r="G53" s="126">
        <f t="shared" si="7"/>
        <v>9.8939650566381068E-3</v>
      </c>
      <c r="H53" s="126">
        <f t="shared" si="4"/>
        <v>2.029773336114082E-2</v>
      </c>
      <c r="I53" s="126">
        <f t="shared" si="5"/>
        <v>1.6840740716014914E-2</v>
      </c>
      <c r="J53" s="126">
        <f t="shared" si="8"/>
        <v>-1.4783507218908701E-2</v>
      </c>
      <c r="M53" s="5"/>
      <c r="Y53">
        <f>IF($Z$1, D53, -0.2)</f>
        <v>-0.2</v>
      </c>
    </row>
    <row r="54" spans="2:30" x14ac:dyDescent="0.3">
      <c r="B54" s="126">
        <v>1.3885220865268999E-2</v>
      </c>
      <c r="C54" s="126">
        <f t="shared" si="0"/>
        <v>1.8214668008101668E-2</v>
      </c>
      <c r="D54" s="126">
        <f t="shared" si="1"/>
        <v>2.8594978484250619E-3</v>
      </c>
      <c r="E54" s="126">
        <f t="shared" si="2"/>
        <v>0.19738927183468233</v>
      </c>
      <c r="F54" s="126">
        <f t="shared" si="3"/>
        <v>0.19488398861739606</v>
      </c>
      <c r="G54" s="126">
        <f t="shared" si="7"/>
        <v>1.0357900844076697E-2</v>
      </c>
      <c r="H54" s="126">
        <f t="shared" si="4"/>
        <v>2.072936477891613E-2</v>
      </c>
      <c r="I54" s="126">
        <f t="shared" si="5"/>
        <v>1.7412540886461301E-2</v>
      </c>
      <c r="J54" s="126">
        <f t="shared" si="8"/>
        <v>-1.5010369082066006E-2</v>
      </c>
      <c r="M54" s="5"/>
      <c r="Y54">
        <f>IF($Z$1, D54, -0.2)</f>
        <v>-0.2</v>
      </c>
    </row>
    <row r="55" spans="2:30" x14ac:dyDescent="0.3">
      <c r="B55" s="126">
        <v>1.4412860446260445E-2</v>
      </c>
      <c r="C55" s="126">
        <f t="shared" si="0"/>
        <v>1.8547332169791739E-2</v>
      </c>
      <c r="D55" s="126">
        <f t="shared" si="1"/>
        <v>2.9634789867234255E-3</v>
      </c>
      <c r="E55" s="126">
        <f t="shared" si="2"/>
        <v>0.19674786834749033</v>
      </c>
      <c r="F55" s="126">
        <f t="shared" si="3"/>
        <v>0.1942665634838544</v>
      </c>
      <c r="G55" s="126">
        <f t="shared" si="7"/>
        <v>1.0832354600975244E-2</v>
      </c>
      <c r="H55" s="126">
        <f t="shared" si="4"/>
        <v>2.1161926956494645E-2</v>
      </c>
      <c r="I55" s="126">
        <f t="shared" si="5"/>
        <v>1.7993366291545645E-2</v>
      </c>
      <c r="J55" s="126">
        <f t="shared" si="8"/>
        <v>-1.5234968983047792E-2</v>
      </c>
      <c r="M55" s="5"/>
      <c r="Y55">
        <f>IF($Z$1, D55, -0.2)</f>
        <v>-0.2</v>
      </c>
    </row>
    <row r="56" spans="2:30" x14ac:dyDescent="0.3">
      <c r="B56" s="126">
        <v>1.4950266400818424E-2</v>
      </c>
      <c r="C56" s="126">
        <f t="shared" si="0"/>
        <v>1.8879177852754173E-2</v>
      </c>
      <c r="D56" s="126">
        <f t="shared" si="1"/>
        <v>3.0690371317668472E-3</v>
      </c>
      <c r="E56" s="126">
        <f t="shared" si="2"/>
        <v>0.1960955150600881</v>
      </c>
      <c r="F56" s="126">
        <f t="shared" si="3"/>
        <v>0.19363844399550539</v>
      </c>
      <c r="G56" s="126">
        <f t="shared" si="7"/>
        <v>1.1317334795576794E-2</v>
      </c>
      <c r="H56" s="126">
        <f t="shared" si="4"/>
        <v>2.1595374177917123E-2</v>
      </c>
      <c r="I56" s="126">
        <f t="shared" si="5"/>
        <v>1.8583198006060054E-2</v>
      </c>
      <c r="J56" s="126">
        <f t="shared" si="8"/>
        <v>-1.5457299914383427E-2</v>
      </c>
      <c r="M56" s="5"/>
      <c r="Y56">
        <f>IF($Z$1, D56, -0.2)</f>
        <v>-0.2</v>
      </c>
    </row>
    <row r="57" spans="2:30" x14ac:dyDescent="0.3">
      <c r="B57" s="126">
        <v>1.5497433403683258E-2</v>
      </c>
      <c r="C57" s="126">
        <f t="shared" si="0"/>
        <v>1.9210176971008346E-2</v>
      </c>
      <c r="D57" s="126">
        <f t="shared" si="1"/>
        <v>3.1761526298883973E-3</v>
      </c>
      <c r="E57" s="126">
        <f t="shared" si="2"/>
        <v>0.19543226916681775</v>
      </c>
      <c r="F57" s="126">
        <f t="shared" si="3"/>
        <v>0.19299967787648578</v>
      </c>
      <c r="G57" s="126">
        <f t="shared" si="7"/>
        <v>1.1812849667300262E-2</v>
      </c>
      <c r="H57" s="126">
        <f t="shared" si="4"/>
        <v>2.202966004752932E-2</v>
      </c>
      <c r="I57" s="126">
        <f t="shared" si="5"/>
        <v>1.9182017140066253E-2</v>
      </c>
      <c r="J57" s="126">
        <f t="shared" si="8"/>
        <v>-1.5677354787752527E-2</v>
      </c>
      <c r="M57" s="5"/>
      <c r="Y57">
        <f>IF($Z$1, D57, -0.2)</f>
        <v>-0.2</v>
      </c>
    </row>
    <row r="58" spans="2:30" x14ac:dyDescent="0.3">
      <c r="B58" s="126">
        <v>1.605435603287142E-2</v>
      </c>
      <c r="C58" s="126">
        <f t="shared" si="0"/>
        <v>1.954030112973543E-2</v>
      </c>
      <c r="D58" s="126">
        <f t="shared" si="1"/>
        <v>3.2848055313826827E-3</v>
      </c>
      <c r="E58" s="126">
        <f t="shared" si="2"/>
        <v>0.19475818886295418</v>
      </c>
      <c r="F58" s="126">
        <f t="shared" si="3"/>
        <v>0.19235031378597292</v>
      </c>
      <c r="G58" s="126">
        <f t="shared" si="7"/>
        <v>1.2318907219720916E-2</v>
      </c>
      <c r="H58" s="126">
        <f t="shared" si="4"/>
        <v>2.2464737502197182E-2</v>
      </c>
      <c r="I58" s="126">
        <f t="shared" si="5"/>
        <v>1.9789804846021924E-2</v>
      </c>
      <c r="J58" s="126">
        <f t="shared" si="8"/>
        <v>-1.5895126439431816E-2</v>
      </c>
      <c r="M58" s="5"/>
      <c r="Y58">
        <f>IF($Z$1, D58, -0.2)</f>
        <v>-0.2</v>
      </c>
    </row>
    <row r="59" spans="2:30" x14ac:dyDescent="0.3">
      <c r="B59" s="126">
        <v>1.6621028769728818E-2</v>
      </c>
      <c r="C59" s="126">
        <f t="shared" si="0"/>
        <v>1.9869521635404105E-2</v>
      </c>
      <c r="D59" s="126">
        <f t="shared" si="1"/>
        <v>3.3949755939447004E-3</v>
      </c>
      <c r="E59" s="126">
        <f t="shared" si="2"/>
        <v>0.1940733333420829</v>
      </c>
      <c r="F59" s="126">
        <f t="shared" si="3"/>
        <v>0.19169040132073201</v>
      </c>
      <c r="G59" s="126">
        <f t="shared" si="7"/>
        <v>1.2835515213535076E-2</v>
      </c>
      <c r="H59" s="126">
        <f t="shared" si="4"/>
        <v>2.2900558823770595E-2</v>
      </c>
      <c r="I59" s="126">
        <f t="shared" si="5"/>
        <v>2.0406542325922563E-2</v>
      </c>
      <c r="J59" s="126">
        <f t="shared" si="8"/>
        <v>-1.6110607635881194E-2</v>
      </c>
      <c r="M59" s="5"/>
      <c r="Y59">
        <f>IF($Z$1, D59, -0.2)</f>
        <v>-0.2</v>
      </c>
    </row>
    <row r="60" spans="2:30" x14ac:dyDescent="0.3">
      <c r="B60" s="126">
        <v>1.719744599898565E-2</v>
      </c>
      <c r="C60" s="126">
        <f t="shared" si="0"/>
        <v>2.0197809506054345E-2</v>
      </c>
      <c r="D60" s="126">
        <f t="shared" si="1"/>
        <v>3.5066422861633048E-3</v>
      </c>
      <c r="E60" s="126">
        <f t="shared" si="2"/>
        <v>0.19337776279343155</v>
      </c>
      <c r="F60" s="126">
        <f t="shared" si="3"/>
        <v>0.19101999101764788</v>
      </c>
      <c r="G60" s="126">
        <f t="shared" si="7"/>
        <v>1.336268115951527E-2</v>
      </c>
      <c r="H60" s="126">
        <f t="shared" si="4"/>
        <v>2.3337075651796567E-2</v>
      </c>
      <c r="I60" s="126">
        <f t="shared" si="5"/>
        <v>2.1032210838456029E-2</v>
      </c>
      <c r="J60" s="126">
        <f t="shared" si="8"/>
        <v>-1.6323791079469956E-2</v>
      </c>
      <c r="M60" s="5"/>
      <c r="Y60">
        <f>IF($Z$1, D60, -0.2)</f>
        <v>-0.2</v>
      </c>
    </row>
    <row r="61" spans="2:30" x14ac:dyDescent="0.3">
      <c r="B61" s="126">
        <v>1.7783602008812238E-2</v>
      </c>
      <c r="C61" s="126">
        <f t="shared" si="0"/>
        <v>2.0525135481737702E-2</v>
      </c>
      <c r="D61" s="126">
        <f t="shared" si="1"/>
        <v>3.619784791068799E-3</v>
      </c>
      <c r="E61" s="126">
        <f t="shared" si="2"/>
        <v>0.19267153839915671</v>
      </c>
      <c r="F61" s="126">
        <f t="shared" si="3"/>
        <v>0.19033913435623967</v>
      </c>
      <c r="G61" s="126">
        <f t="shared" si="7"/>
        <v>1.3900412311460076E-2</v>
      </c>
      <c r="H61" s="126">
        <f t="shared" si="4"/>
        <v>2.3774238996481206E-2</v>
      </c>
      <c r="I61" s="126">
        <f t="shared" si="5"/>
        <v>2.1666791706164402E-2</v>
      </c>
      <c r="J61" s="126">
        <f t="shared" si="8"/>
        <v>-1.653466941434361E-2</v>
      </c>
      <c r="M61" s="5"/>
      <c r="Y61">
        <f>IF($Z$1, D61, -0.2)</f>
        <v>-0.2</v>
      </c>
    </row>
    <row r="62" spans="2:30" x14ac:dyDescent="0.3">
      <c r="B62" s="126">
        <v>1.8379490990875214E-2</v>
      </c>
      <c r="C62" s="126">
        <f t="shared" si="0"/>
        <v>2.0851470035112372E-2</v>
      </c>
      <c r="D62" s="126">
        <f t="shared" si="1"/>
        <v>3.7343820097341155E-3</v>
      </c>
      <c r="E62" s="126">
        <f t="shared" si="2"/>
        <v>0.19195472233158625</v>
      </c>
      <c r="F62" s="126">
        <f t="shared" si="3"/>
        <v>0.18964788376115563</v>
      </c>
      <c r="G62" s="126">
        <f t="shared" si="7"/>
        <v>1.4448715659142835E-2</v>
      </c>
      <c r="H62" s="126">
        <f t="shared" si="4"/>
        <v>2.4211999251899603E-2</v>
      </c>
      <c r="I62" s="126">
        <f t="shared" si="5"/>
        <v>2.2310266322607592E-2</v>
      </c>
      <c r="J62" s="126">
        <f t="shared" si="8"/>
        <v>-1.6743235232431375E-2</v>
      </c>
      <c r="M62" s="5"/>
      <c r="Y62">
        <f>IF($Z$1, D62, -0.2)</f>
        <v>-0.2</v>
      </c>
    </row>
    <row r="63" spans="2:30" x14ac:dyDescent="0.3">
      <c r="B63" s="126">
        <v>1.8985107040395466E-2</v>
      </c>
      <c r="C63" s="126">
        <f t="shared" si="0"/>
        <v>2.1176783382192536E-2</v>
      </c>
      <c r="D63" s="126">
        <f t="shared" si="1"/>
        <v>3.8504125649294701E-3</v>
      </c>
      <c r="E63" s="126">
        <f t="shared" si="2"/>
        <v>0.19122737775041576</v>
      </c>
      <c r="F63" s="126">
        <f t="shared" si="3"/>
        <v>0.18894629260464346</v>
      </c>
      <c r="G63" s="126">
        <f t="shared" si="7"/>
        <v>1.5007597921265449E-2</v>
      </c>
      <c r="H63" s="126">
        <f t="shared" si="4"/>
        <v>2.4650306209454277E-2</v>
      </c>
      <c r="I63" s="126">
        <f t="shared" si="5"/>
        <v>2.2962616159525481E-2</v>
      </c>
      <c r="J63" s="126">
        <f t="shared" si="8"/>
        <v>-1.694948107959534E-2</v>
      </c>
      <c r="M63" s="5"/>
      <c r="Y63">
        <f>IF($Z$1, D63, -0.2)</f>
        <v>-0.2</v>
      </c>
    </row>
    <row r="64" spans="2:30" x14ac:dyDescent="0.3">
      <c r="B64" s="126">
        <v>1.9600444156206542E-2</v>
      </c>
      <c r="C64" s="126">
        <f t="shared" si="0"/>
        <v>2.1501045493249875E-2</v>
      </c>
      <c r="D64" s="126">
        <f t="shared" si="1"/>
        <v>3.9678548048298189E-3</v>
      </c>
      <c r="E64" s="126">
        <f t="shared" si="2"/>
        <v>0.19048956879986101</v>
      </c>
      <c r="F64" s="126">
        <f t="shared" si="3"/>
        <v>0.18823441520899503</v>
      </c>
      <c r="G64" s="126">
        <f t="shared" si="7"/>
        <v>1.5577065538420925E-2</v>
      </c>
      <c r="H64" s="126">
        <f t="shared" si="4"/>
        <v>2.5089109071580795E-2</v>
      </c>
      <c r="I64" s="126">
        <f t="shared" si="5"/>
        <v>2.3623822773992158E-2</v>
      </c>
      <c r="J64" s="126">
        <f t="shared" si="8"/>
        <v>-1.7153399461921154E-2</v>
      </c>
      <c r="M64" s="5"/>
      <c r="Y64">
        <f>IF($Z$1, D64, -0.2)</f>
        <v>-0.2</v>
      </c>
    </row>
    <row r="65" spans="2:25" x14ac:dyDescent="0.3">
      <c r="B65" s="126">
        <v>2.0225496240813712E-2</v>
      </c>
      <c r="C65" s="126">
        <f t="shared" si="0"/>
        <v>2.1824226103866005E-2</v>
      </c>
      <c r="D65" s="126">
        <f t="shared" si="1"/>
        <v>4.0866868067747451E-3</v>
      </c>
      <c r="E65" s="126">
        <f t="shared" si="2"/>
        <v>0.18974136060576607</v>
      </c>
      <c r="F65" s="126">
        <f t="shared" si="3"/>
        <v>0.1875123068489617</v>
      </c>
      <c r="G65" s="126">
        <f t="shared" si="7"/>
        <v>1.6157124666069833E-2</v>
      </c>
      <c r="H65" s="126">
        <f t="shared" si="4"/>
        <v>2.5528356465700147E-2</v>
      </c>
      <c r="I65" s="126">
        <f t="shared" si="5"/>
        <v>2.429386781555759E-2</v>
      </c>
      <c r="J65" s="126">
        <f t="shared" si="8"/>
        <v>-1.735498285215066E-2</v>
      </c>
      <c r="M65" s="5"/>
      <c r="Y65">
        <f>IF($Z$1, D65, -0.2)</f>
        <v>-0.2</v>
      </c>
    </row>
    <row r="66" spans="2:25" x14ac:dyDescent="0.3">
      <c r="B66" s="126">
        <v>2.0860257100455248E-2</v>
      </c>
      <c r="C66" s="126">
        <f t="shared" ref="C66:C129" si="10">IF(B66&lt;$N$1, ($A$7/0.2)*($O$1*SQRT(B66)+$P$1*B66+$Q$1*(B66^2)+$R$1*(B66^3)), ($A$7/0.2)*($S$1+$T$1*(1-B66)+$U$1*((1-B66)^2)+$V$1*((1-B66)^3)))</f>
        <v>2.2146294726135302E-2</v>
      </c>
      <c r="D66" s="126">
        <f t="shared" ref="D66:D129" si="11" xml:space="preserve"> IF(B66&lt;$A$8, ($A$10/6)*((B66^3)-3*$A$8*(B66^2)+($A$8^2)*(3-$A$8)*B66), (($A$10*($A$8^3))/6)*(1-B66))</f>
        <v>4.2068863810806557E-3</v>
      </c>
      <c r="E66" s="126">
        <f t="shared" ref="E66:E129" si="12">IF(B66&lt;$A$8, ($A$10/6)*(3*(B66^2)-6*$A$8*B66+($A$8^2)*(3-$A$8)), -($A$10*($A$8^3))/6)</f>
        <v>0.18898281927266522</v>
      </c>
      <c r="F66" s="126">
        <f t="shared" ref="F66:F129" si="13" xml:space="preserve"> ATAN(E66)</f>
        <v>0.18678002375413533</v>
      </c>
      <c r="G66" s="126">
        <f t="shared" ref="G66:G129" si="14">B66-C66*SIN(F66)</f>
        <v>1.6747781167537126E-2</v>
      </c>
      <c r="H66" s="126">
        <f t="shared" ref="H66:H129" si="15">D66+C66*COS(F66)</f>
        <v>2.5967996458418564E-2</v>
      </c>
      <c r="I66" s="126">
        <f t="shared" ref="I66:I129" si="16">B66+C66*SIN(F66)</f>
        <v>2.497273303337337E-2</v>
      </c>
      <c r="J66" s="126">
        <f t="shared" ref="J66:J129" si="17">D66-C66*COS(F66)</f>
        <v>-1.7554223696257251E-2</v>
      </c>
      <c r="M66" s="5"/>
      <c r="Y66">
        <f>IF($Z$1, D66, -0.2)</f>
        <v>-0.2</v>
      </c>
    </row>
    <row r="67" spans="2:25" x14ac:dyDescent="0.3">
      <c r="B67" s="126">
        <v>2.1504720445162939E-2</v>
      </c>
      <c r="C67" s="126">
        <f t="shared" si="10"/>
        <v>2.246722066001508E-2</v>
      </c>
      <c r="D67" s="126">
        <f t="shared" si="11"/>
        <v>4.3284310749042787E-3</v>
      </c>
      <c r="E67" s="126">
        <f t="shared" si="12"/>
        <v>0.18821401188080278</v>
      </c>
      <c r="F67" s="126">
        <f t="shared" si="13"/>
        <v>0.18603762311129612</v>
      </c>
      <c r="G67" s="126">
        <f t="shared" si="14"/>
        <v>1.7349040607031574E-2</v>
      </c>
      <c r="H67" s="126">
        <f t="shared" si="15"/>
        <v>2.6407976569971809E-2</v>
      </c>
      <c r="I67" s="126">
        <f t="shared" si="16"/>
        <v>2.5660400283294305E-2</v>
      </c>
      <c r="J67" s="126">
        <f t="shared" si="17"/>
        <v>-1.7751114420163253E-2</v>
      </c>
      <c r="M67" s="5"/>
      <c r="Y67">
        <f>IF($Z$1, D67, -0.2)</f>
        <v>-0.2</v>
      </c>
    </row>
    <row r="68" spans="2:25" x14ac:dyDescent="0.3">
      <c r="B68" s="126">
        <v>2.2158879888824812E-2</v>
      </c>
      <c r="C68" s="126">
        <f t="shared" si="10"/>
        <v>2.278697300482331E-2</v>
      </c>
      <c r="D68" s="126">
        <f t="shared" si="11"/>
        <v>4.4512981761576191E-3</v>
      </c>
      <c r="E68" s="126">
        <f t="shared" si="12"/>
        <v>0.18743500648310688</v>
      </c>
      <c r="F68" s="126">
        <f t="shared" si="13"/>
        <v>0.18528516306671947</v>
      </c>
      <c r="G68" s="126">
        <f t="shared" si="14"/>
        <v>1.7960908242695712E-2</v>
      </c>
      <c r="H68" s="126">
        <f t="shared" si="15"/>
        <v>2.6848243788915677E-2</v>
      </c>
      <c r="I68" s="126">
        <f t="shared" si="16"/>
        <v>2.6356851534953912E-2</v>
      </c>
      <c r="J68" s="126">
        <f t="shared" si="17"/>
        <v>-1.7945647436600438E-2</v>
      </c>
      <c r="M68" s="5"/>
      <c r="Y68">
        <f>IF($Z$1, D68, -0.2)</f>
        <v>-0.2</v>
      </c>
    </row>
    <row r="69" spans="2:25" x14ac:dyDescent="0.3">
      <c r="B69" s="126">
        <v>2.2822728949248527E-2</v>
      </c>
      <c r="C69" s="126">
        <f t="shared" si="10"/>
        <v>2.3105520670881542E-2</v>
      </c>
      <c r="D69" s="126">
        <f t="shared" si="11"/>
        <v>4.5754647174736035E-3</v>
      </c>
      <c r="E69" s="126">
        <f t="shared" si="12"/>
        <v>0.18664587210211969</v>
      </c>
      <c r="F69" s="126">
        <f t="shared" si="13"/>
        <v>0.18452270272844148</v>
      </c>
      <c r="G69" s="126">
        <f t="shared" si="14"/>
        <v>1.858338901968995E-2</v>
      </c>
      <c r="H69" s="126">
        <f t="shared" si="15"/>
        <v>2.728874458706057E-2</v>
      </c>
      <c r="I69" s="126">
        <f t="shared" si="16"/>
        <v>2.7062068878807105E-2</v>
      </c>
      <c r="J69" s="126">
        <f t="shared" si="17"/>
        <v>-1.8137815152113365E-2</v>
      </c>
      <c r="M69" s="5"/>
      <c r="Y69">
        <f>IF($Z$1, D69, -0.2)</f>
        <v>-0.2</v>
      </c>
    </row>
    <row r="70" spans="2:25" x14ac:dyDescent="0.3">
      <c r="B70" s="126">
        <v>2.349626104822522E-2</v>
      </c>
      <c r="C70" s="126">
        <f t="shared" si="10"/>
        <v>2.3422832391301551E-2</v>
      </c>
      <c r="D70" s="126">
        <f t="shared" si="11"/>
        <v>4.7009074802219775E-3</v>
      </c>
      <c r="E70" s="126">
        <f t="shared" si="12"/>
        <v>0.18584667872688401</v>
      </c>
      <c r="F70" s="126">
        <f t="shared" si="13"/>
        <v>0.1837503021684799</v>
      </c>
      <c r="G70" s="126">
        <f t="shared" si="14"/>
        <v>1.9216487563315794E-2</v>
      </c>
      <c r="H70" s="126">
        <f t="shared" si="15"/>
        <v>2.7729424934649465E-2</v>
      </c>
      <c r="I70" s="126">
        <f t="shared" si="16"/>
        <v>2.7776034533134646E-2</v>
      </c>
      <c r="J70" s="126">
        <f t="shared" si="17"/>
        <v>-1.832760997420551E-2</v>
      </c>
      <c r="M70" s="5"/>
      <c r="Y70">
        <f>IF($Z$1, D70, -0.2)</f>
        <v>-0.2</v>
      </c>
    </row>
    <row r="71" spans="2:25" x14ac:dyDescent="0.3">
      <c r="B71" s="126">
        <v>2.4179469511595331E-2</v>
      </c>
      <c r="C71" s="126">
        <f t="shared" si="10"/>
        <v>2.3738876733914914E-2</v>
      </c>
      <c r="D71" s="126">
        <f t="shared" si="11"/>
        <v>4.8276029985752393E-3</v>
      </c>
      <c r="E71" s="126">
        <f t="shared" si="12"/>
        <v>0.18503749730978478</v>
      </c>
      <c r="F71" s="126">
        <f t="shared" si="13"/>
        <v>0.18296802242500526</v>
      </c>
      <c r="G71" s="126">
        <f t="shared" si="14"/>
        <v>1.9860208172184875E-2</v>
      </c>
      <c r="H71" s="126">
        <f t="shared" si="15"/>
        <v>2.8170230315779296E-2</v>
      </c>
      <c r="I71" s="126">
        <f t="shared" si="16"/>
        <v>2.8498730851005787E-2</v>
      </c>
      <c r="J71" s="126">
        <f t="shared" si="17"/>
        <v>-1.8515024318628816E-2</v>
      </c>
      <c r="M71" s="5"/>
      <c r="Y71">
        <f>IF($Z$1, D71, -0.2)</f>
        <v>-0.2</v>
      </c>
    </row>
    <row r="72" spans="2:25" x14ac:dyDescent="0.3">
      <c r="B72" s="126">
        <v>2.487234756931378E-2</v>
      </c>
      <c r="C72" s="126">
        <f t="shared" si="10"/>
        <v>2.4053622113342797E-2</v>
      </c>
      <c r="D72" s="126">
        <f t="shared" si="11"/>
        <v>4.9555275636237036E-3</v>
      </c>
      <c r="E72" s="126">
        <f t="shared" si="12"/>
        <v>0.18421839976334861</v>
      </c>
      <c r="F72" s="126">
        <f t="shared" si="13"/>
        <v>0.18217592550446254</v>
      </c>
      <c r="G72" s="126">
        <f t="shared" si="14"/>
        <v>2.0514554811436429E-2</v>
      </c>
      <c r="H72" s="126">
        <f t="shared" si="15"/>
        <v>2.8611105744063205E-2</v>
      </c>
      <c r="I72" s="126">
        <f t="shared" si="16"/>
        <v>2.923014032719113E-2</v>
      </c>
      <c r="J72" s="126">
        <f t="shared" si="17"/>
        <v>-1.8700050616815796E-2</v>
      </c>
      <c r="M72" s="5"/>
      <c r="Y72">
        <f>IF($Z$1, D72, -0.2)</f>
        <v>-0.2</v>
      </c>
    </row>
    <row r="73" spans="2:25" x14ac:dyDescent="0.3">
      <c r="B73" s="126">
        <v>2.5574888355518133E-2</v>
      </c>
      <c r="C73" s="126">
        <f t="shared" si="10"/>
        <v>2.4367036803205996E-2</v>
      </c>
      <c r="D73" s="126">
        <f t="shared" si="11"/>
        <v>5.0846572275398882E-3</v>
      </c>
      <c r="E73" s="126">
        <f t="shared" si="12"/>
        <v>0.18338945895699763</v>
      </c>
      <c r="F73" s="126">
        <f t="shared" si="13"/>
        <v>0.18137407438363573</v>
      </c>
      <c r="G73" s="126">
        <f t="shared" si="14"/>
        <v>2.1179531106011975E-2</v>
      </c>
      <c r="H73" s="126">
        <f t="shared" si="15"/>
        <v>2.9051995778534848E-2</v>
      </c>
      <c r="I73" s="126">
        <f t="shared" si="16"/>
        <v>2.9970245605024291E-2</v>
      </c>
      <c r="J73" s="126">
        <f t="shared" si="17"/>
        <v>-1.888268132345507E-2</v>
      </c>
      <c r="M73" s="5"/>
      <c r="Y73">
        <f>IF($Z$1, D73, -0.2)</f>
        <v>-0.2</v>
      </c>
    </row>
    <row r="74" spans="2:25" x14ac:dyDescent="0.3">
      <c r="B74" s="126">
        <v>2.6287084908595659E-2</v>
      </c>
      <c r="C74" s="126">
        <f t="shared" si="10"/>
        <v>2.4679088948472056E-2</v>
      </c>
      <c r="D74" s="126">
        <f t="shared" si="11"/>
        <v>5.2149678077910017E-3</v>
      </c>
      <c r="E74" s="126">
        <f t="shared" si="12"/>
        <v>0.18255074871376167</v>
      </c>
      <c r="F74" s="126">
        <f t="shared" si="13"/>
        <v>0.18056253301165676</v>
      </c>
      <c r="G74" s="126">
        <f t="shared" si="14"/>
        <v>2.1855140333988572E-2</v>
      </c>
      <c r="H74" s="126">
        <f t="shared" si="15"/>
        <v>2.94928445397914E-2</v>
      </c>
      <c r="I74" s="126">
        <f t="shared" si="16"/>
        <v>3.0719029483202747E-2</v>
      </c>
      <c r="J74" s="126">
        <f t="shared" si="17"/>
        <v>-1.9062908924209396E-2</v>
      </c>
      <c r="M74" s="5"/>
      <c r="Y74">
        <f>IF($Z$1, D74, -0.2)</f>
        <v>-0.2</v>
      </c>
    </row>
    <row r="75" spans="2:25" x14ac:dyDescent="0.3">
      <c r="B75" s="126">
        <v>2.7008930171253165E-2</v>
      </c>
      <c r="C75" s="126">
        <f t="shared" si="10"/>
        <v>2.4989746577939391E-2</v>
      </c>
      <c r="D75" s="126">
        <f t="shared" si="11"/>
        <v>5.3464348913997758E-3</v>
      </c>
      <c r="E75" s="126">
        <f t="shared" si="12"/>
        <v>0.18170234380694547</v>
      </c>
      <c r="F75" s="126">
        <f t="shared" si="13"/>
        <v>0.17974136631195126</v>
      </c>
      <c r="G75" s="126">
        <f t="shared" si="14"/>
        <v>2.2541385419979604E-2</v>
      </c>
      <c r="H75" s="126">
        <f t="shared" si="15"/>
        <v>2.9933595726376258E-2</v>
      </c>
      <c r="I75" s="126">
        <f t="shared" si="16"/>
        <v>3.1476474922526726E-2</v>
      </c>
      <c r="J75" s="126">
        <f t="shared" si="17"/>
        <v>-1.924072594357671E-2</v>
      </c>
      <c r="M75" s="5"/>
      <c r="Y75">
        <f>IF($Z$1, D75, -0.2)</f>
        <v>-0.2</v>
      </c>
    </row>
    <row r="76" spans="2:25" x14ac:dyDescent="0.3">
      <c r="B76" s="126">
        <v>2.7740416990586381E-2</v>
      </c>
      <c r="C76" s="126">
        <f t="shared" si="10"/>
        <v>2.5298977616855553E-2</v>
      </c>
      <c r="D76" s="126">
        <f t="shared" si="11"/>
        <v>5.4790338392525688E-3</v>
      </c>
      <c r="E76" s="126">
        <f t="shared" si="12"/>
        <v>0.18084431995675385</v>
      </c>
      <c r="F76" s="126">
        <f t="shared" si="13"/>
        <v>0.17891064018412164</v>
      </c>
      <c r="G76" s="126">
        <f t="shared" si="14"/>
        <v>2.3238268928605355E-2</v>
      </c>
      <c r="H76" s="126">
        <f t="shared" si="15"/>
        <v>3.0374192631398459E-2</v>
      </c>
      <c r="I76" s="126">
        <f t="shared" si="16"/>
        <v>3.2242565052567403E-2</v>
      </c>
      <c r="J76" s="126">
        <f t="shared" si="17"/>
        <v>-1.9416124952893323E-2</v>
      </c>
      <c r="M76" s="5"/>
      <c r="Y76">
        <f>IF($Z$1, D76, -0.2)</f>
        <v>-0.2</v>
      </c>
    </row>
    <row r="77" spans="2:25" x14ac:dyDescent="0.3">
      <c r="B77" s="126">
        <v>2.8481538118150684E-2</v>
      </c>
      <c r="C77" s="126">
        <f t="shared" si="10"/>
        <v>2.5606749899668792E-2</v>
      </c>
      <c r="D77" s="126">
        <f t="shared" si="11"/>
        <v>5.6127397904545927E-3</v>
      </c>
      <c r="E77" s="126">
        <f t="shared" si="12"/>
        <v>0.17997675382687356</v>
      </c>
      <c r="F77" s="126">
        <f t="shared" si="13"/>
        <v>0.17807042150576216</v>
      </c>
      <c r="G77" s="126">
        <f t="shared" si="14"/>
        <v>2.3945793058040399E-2</v>
      </c>
      <c r="H77" s="126">
        <f t="shared" si="15"/>
        <v>3.0814578159388571E-2</v>
      </c>
      <c r="I77" s="126">
        <f t="shared" si="16"/>
        <v>3.301728317826097E-2</v>
      </c>
      <c r="J77" s="126">
        <f t="shared" si="17"/>
        <v>-1.9589098578479385E-2</v>
      </c>
      <c r="M77" s="5"/>
      <c r="Y77">
        <f>IF($Z$1, D77, -0.2)</f>
        <v>-0.2</v>
      </c>
    </row>
    <row r="78" spans="2:25" x14ac:dyDescent="0.3">
      <c r="B78" s="126">
        <v>2.923228621003382E-2</v>
      </c>
      <c r="C78" s="126">
        <f t="shared" si="10"/>
        <v>2.5913031182911602E-2</v>
      </c>
      <c r="D78" s="126">
        <f t="shared" si="11"/>
        <v>5.7475276667318725E-3</v>
      </c>
      <c r="E78" s="126">
        <f t="shared" si="12"/>
        <v>0.1790997230210109</v>
      </c>
      <c r="F78" s="126">
        <f t="shared" si="13"/>
        <v>0.17722077813420201</v>
      </c>
      <c r="G78" s="126">
        <f t="shared" si="14"/>
        <v>2.4663959633643692E-2</v>
      </c>
      <c r="H78" s="126">
        <f t="shared" si="15"/>
        <v>3.1254694843390211E-2</v>
      </c>
      <c r="I78" s="126">
        <f t="shared" si="16"/>
        <v>3.3800612786423948E-2</v>
      </c>
      <c r="J78" s="126">
        <f t="shared" si="17"/>
        <v>-1.9759639509926468E-2</v>
      </c>
      <c r="M78" s="5"/>
      <c r="Y78">
        <f>IF($Z$1, D78, -0.2)</f>
        <v>-0.2</v>
      </c>
    </row>
    <row r="79" spans="2:25" x14ac:dyDescent="0.3">
      <c r="B79" s="126">
        <v>2.9992653826927507E-2</v>
      </c>
      <c r="C79" s="126">
        <f t="shared" si="10"/>
        <v>2.6217789158213191E-2</v>
      </c>
      <c r="D79" s="126">
        <f t="shared" si="11"/>
        <v>5.8833721768788974E-3</v>
      </c>
      <c r="E79" s="126">
        <f t="shared" si="12"/>
        <v>0.17821330607938882</v>
      </c>
      <c r="F79" s="126">
        <f t="shared" si="13"/>
        <v>0.17636177890817692</v>
      </c>
      <c r="G79" s="126">
        <f t="shared" si="14"/>
        <v>2.5392770101673855E-2</v>
      </c>
      <c r="H79" s="126">
        <f t="shared" si="15"/>
        <v>3.1694484862283753E-2</v>
      </c>
      <c r="I79" s="126">
        <f t="shared" si="16"/>
        <v>3.4592537552181161E-2</v>
      </c>
      <c r="J79" s="126">
        <f t="shared" si="17"/>
        <v>-1.992774050852596E-2</v>
      </c>
      <c r="M79" s="5"/>
      <c r="Y79">
        <f>IF($Z$1, D79, -0.2)</f>
        <v>-0.2</v>
      </c>
    </row>
    <row r="80" spans="2:25" x14ac:dyDescent="0.3">
      <c r="B80" s="126">
        <v>3.0762633434202158E-2</v>
      </c>
      <c r="C80" s="126">
        <f t="shared" si="10"/>
        <v>2.6520991465441134E-2</v>
      </c>
      <c r="D80" s="126">
        <f t="shared" si="11"/>
        <v>6.0202478212522236E-3</v>
      </c>
      <c r="E80" s="126">
        <f t="shared" si="12"/>
        <v>0.17731758247519894</v>
      </c>
      <c r="F80" s="126">
        <f t="shared" si="13"/>
        <v>0.17549349364942127</v>
      </c>
      <c r="G80" s="126">
        <f t="shared" si="14"/>
        <v>2.61322255230989E-2</v>
      </c>
      <c r="H80" s="126">
        <f t="shared" si="15"/>
        <v>3.2133890058343433E-2</v>
      </c>
      <c r="I80" s="126">
        <f t="shared" si="16"/>
        <v>3.5393041345305416E-2</v>
      </c>
      <c r="J80" s="126">
        <f t="shared" si="17"/>
        <v>-2.0093394415838982E-2</v>
      </c>
      <c r="M80" s="5"/>
      <c r="Y80">
        <f>IF($Z$1, D80, -0.2)</f>
        <v>-0.2</v>
      </c>
    </row>
    <row r="81" spans="2:25" x14ac:dyDescent="0.3">
      <c r="B81" s="126">
        <v>3.1542217401980821E-2</v>
      </c>
      <c r="C81" s="126">
        <f t="shared" si="10"/>
        <v>2.6822605705968838E-2</v>
      </c>
      <c r="D81" s="126">
        <f t="shared" si="11"/>
        <v>6.1581288963088055E-3</v>
      </c>
      <c r="E81" s="126">
        <f t="shared" si="12"/>
        <v>0.176412632611013</v>
      </c>
      <c r="F81" s="126">
        <f t="shared" si="13"/>
        <v>0.17461599316418167</v>
      </c>
      <c r="G81" s="126">
        <f t="shared" si="14"/>
        <v>2.6882326567502068E-2</v>
      </c>
      <c r="H81" s="126">
        <f t="shared" si="15"/>
        <v>3.2572851955023865E-2</v>
      </c>
      <c r="I81" s="126">
        <f t="shared" si="16"/>
        <v>3.6202108236459571E-2</v>
      </c>
      <c r="J81" s="126">
        <f t="shared" si="17"/>
        <v>-2.0256594162406251E-2</v>
      </c>
      <c r="M81" s="5"/>
      <c r="Y81">
        <f>IF($Z$1, D81, -0.2)</f>
        <v>-0.2</v>
      </c>
    </row>
    <row r="82" spans="2:25" x14ac:dyDescent="0.3">
      <c r="B82" s="126">
        <v>3.2331398005215228E-2</v>
      </c>
      <c r="C82" s="126">
        <f t="shared" si="10"/>
        <v>2.7122599456068354E-2</v>
      </c>
      <c r="D82" s="126">
        <f t="shared" si="11"/>
        <v>6.2969894991890948E-3</v>
      </c>
      <c r="E82" s="126">
        <f t="shared" si="12"/>
        <v>0.1754985378151504</v>
      </c>
      <c r="F82" s="126">
        <f t="shared" si="13"/>
        <v>0.17372934924464584</v>
      </c>
      <c r="G82" s="126">
        <f t="shared" si="14"/>
        <v>2.7643073507091886E-2</v>
      </c>
      <c r="H82" s="126">
        <f t="shared" si="15"/>
        <v>3.301131177497621E-2</v>
      </c>
      <c r="I82" s="126">
        <f t="shared" si="16"/>
        <v>3.701972250333857E-2</v>
      </c>
      <c r="J82" s="126">
        <f t="shared" si="17"/>
        <v>-2.0417332776598022E-2</v>
      </c>
      <c r="M82" s="5"/>
      <c r="Y82">
        <f>IF($Z$1, D82, -0.2)</f>
        <v>-0.2</v>
      </c>
    </row>
    <row r="83" spans="2:25" x14ac:dyDescent="0.3">
      <c r="B83" s="126">
        <v>3.313016742376218E-2</v>
      </c>
      <c r="C83" s="126">
        <f t="shared" si="10"/>
        <v>2.742094028042609E-2</v>
      </c>
      <c r="D83" s="126">
        <f t="shared" si="11"/>
        <v>6.4368035323440261E-3</v>
      </c>
      <c r="E83" s="126">
        <f t="shared" si="12"/>
        <v>0.17457538033800452</v>
      </c>
      <c r="F83" s="126">
        <f t="shared" si="13"/>
        <v>0.17283363467028559</v>
      </c>
      <c r="G83" s="126">
        <f t="shared" si="14"/>
        <v>2.8414466210820034E-2</v>
      </c>
      <c r="H83" s="126">
        <f t="shared" si="15"/>
        <v>3.3449210458291037E-2</v>
      </c>
      <c r="I83" s="126">
        <f t="shared" si="16"/>
        <v>3.7845868636704326E-2</v>
      </c>
      <c r="J83" s="126">
        <f t="shared" si="17"/>
        <v>-2.0575603393602981E-2</v>
      </c>
      <c r="M83" s="5"/>
      <c r="Y83">
        <f>IF($Z$1, D83, -0.2)</f>
        <v>-0.2</v>
      </c>
    </row>
    <row r="84" spans="2:25" x14ac:dyDescent="0.3">
      <c r="B84" s="126">
        <v>3.3938517742461038E-2</v>
      </c>
      <c r="C84" s="126">
        <f t="shared" si="10"/>
        <v>2.7717595745779994E-2</v>
      </c>
      <c r="D84" s="126">
        <f t="shared" si="11"/>
        <v>6.5775447082055596E-3</v>
      </c>
      <c r="E84" s="126">
        <f t="shared" si="12"/>
        <v>0.17364324334832645</v>
      </c>
      <c r="F84" s="126">
        <f t="shared" si="13"/>
        <v>0.17192892320910994</v>
      </c>
      <c r="G84" s="126">
        <f t="shared" si="14"/>
        <v>2.9196504138613077E-2</v>
      </c>
      <c r="H84" s="126">
        <f t="shared" si="15"/>
        <v>3.3886488680966609E-2</v>
      </c>
      <c r="I84" s="126">
        <f t="shared" si="16"/>
        <v>3.8680531346308999E-2</v>
      </c>
      <c r="J84" s="126">
        <f t="shared" si="17"/>
        <v>-2.0731399264555493E-2</v>
      </c>
      <c r="M84" s="5"/>
      <c r="Y84">
        <f>IF($Z$1, D84, -0.2)</f>
        <v>-0.2</v>
      </c>
    </row>
    <row r="85" spans="2:25" x14ac:dyDescent="0.3">
      <c r="B85" s="126">
        <v>3.475644095121222E-2</v>
      </c>
      <c r="C85" s="126">
        <f t="shared" si="10"/>
        <v>2.8012533434676551E-2</v>
      </c>
      <c r="D85" s="126">
        <f t="shared" si="11"/>
        <v>6.7191865539001847E-3</v>
      </c>
      <c r="E85" s="126">
        <f t="shared" si="12"/>
        <v>0.17270221092946697</v>
      </c>
      <c r="F85" s="126">
        <f t="shared" si="13"/>
        <v>0.17101528961882501</v>
      </c>
      <c r="G85" s="126">
        <f t="shared" si="14"/>
        <v>2.9989186335723294E-2</v>
      </c>
      <c r="H85" s="126">
        <f t="shared" si="15"/>
        <v>3.4323086873600861E-2</v>
      </c>
      <c r="I85" s="126">
        <f t="shared" si="16"/>
        <v>3.9523695566701149E-2</v>
      </c>
      <c r="J85" s="126">
        <f t="shared" si="17"/>
        <v>-2.0884713765800495E-2</v>
      </c>
      <c r="M85" s="5"/>
      <c r="Y85">
        <f>IF($Z$1, D85, -0.2)</f>
        <v>-0.2</v>
      </c>
    </row>
    <row r="86" spans="2:25" x14ac:dyDescent="0.3">
      <c r="B86" s="126">
        <v>3.5583928945056353E-2</v>
      </c>
      <c r="C86" s="126">
        <f t="shared" si="10"/>
        <v>2.8305720959345481E-2</v>
      </c>
      <c r="D86" s="126">
        <f t="shared" si="11"/>
        <v>6.8617024160048338E-3</v>
      </c>
      <c r="E86" s="126">
        <f t="shared" si="12"/>
        <v>0.1717523680755767</v>
      </c>
      <c r="F86" s="126">
        <f t="shared" si="13"/>
        <v>0.1700928096478985</v>
      </c>
      <c r="G86" s="126">
        <f t="shared" si="14"/>
        <v>3.0792511427203486E-2</v>
      </c>
      <c r="H86" s="126">
        <f t="shared" si="15"/>
        <v>3.475894524030456E-2</v>
      </c>
      <c r="I86" s="126">
        <f t="shared" si="16"/>
        <v>4.0375346462909224E-2</v>
      </c>
      <c r="J86" s="126">
        <f t="shared" si="17"/>
        <v>-2.1035540408294896E-2</v>
      </c>
      <c r="M86" s="5"/>
      <c r="Y86">
        <f>IF($Z$1, D86, -0.2)</f>
        <v>-0.2</v>
      </c>
    </row>
    <row r="87" spans="2:25" x14ac:dyDescent="0.3">
      <c r="B87" s="126">
        <v>3.6420973524254996E-2</v>
      </c>
      <c r="C87" s="126">
        <f t="shared" si="10"/>
        <v>2.8597125975690953E-2</v>
      </c>
      <c r="D87" s="126">
        <f t="shared" si="11"/>
        <v>7.0050654653447831E-3</v>
      </c>
      <c r="E87" s="126">
        <f t="shared" si="12"/>
        <v>0.17079380068776434</v>
      </c>
      <c r="F87" s="126">
        <f t="shared" si="13"/>
        <v>0.16916156003652419</v>
      </c>
      <c r="G87" s="126">
        <f t="shared" si="14"/>
        <v>3.1606477612511952E-2</v>
      </c>
      <c r="H87" s="126">
        <f t="shared" si="15"/>
        <v>3.5194003777834451E-2</v>
      </c>
      <c r="I87" s="126">
        <f t="shared" si="16"/>
        <v>4.123546943599804E-2</v>
      </c>
      <c r="J87" s="126">
        <f t="shared" si="17"/>
        <v>-2.1183872847144881E-2</v>
      </c>
      <c r="M87" s="5"/>
      <c r="Y87">
        <f>IF($Z$1, D87, -0.2)</f>
        <v>-0.2</v>
      </c>
    </row>
    <row r="88" spans="2:25" x14ac:dyDescent="0.3">
      <c r="B88" s="126">
        <v>3.7267566394371454E-2</v>
      </c>
      <c r="C88" s="126">
        <f t="shared" si="10"/>
        <v>2.8886716197396817E-2</v>
      </c>
      <c r="D88" s="126">
        <f t="shared" si="11"/>
        <v>7.1492487018328032E-3</v>
      </c>
      <c r="E88" s="126">
        <f t="shared" si="12"/>
        <v>0.16982659557021423</v>
      </c>
      <c r="F88" s="126">
        <f t="shared" si="13"/>
        <v>0.16822161851748563</v>
      </c>
      <c r="G88" s="126">
        <f t="shared" si="14"/>
        <v>3.2431082660251381E-2</v>
      </c>
      <c r="H88" s="126">
        <f t="shared" si="15"/>
        <v>3.5628202294943269E-2</v>
      </c>
      <c r="I88" s="126">
        <f t="shared" si="16"/>
        <v>4.2104050128491527E-2</v>
      </c>
      <c r="J88" s="126">
        <f t="shared" si="17"/>
        <v>-2.1329704891277664E-2</v>
      </c>
      <c r="M88" s="5"/>
      <c r="Y88">
        <f>IF($Z$1, D88, -0.2)</f>
        <v>-0.2</v>
      </c>
    </row>
    <row r="89" spans="2:25" x14ac:dyDescent="0.3">
      <c r="B89" s="126">
        <v>3.8123699166353275E-2</v>
      </c>
      <c r="C89" s="126">
        <f t="shared" si="10"/>
        <v>2.9174459410144689E-2</v>
      </c>
      <c r="D89" s="126">
        <f t="shared" si="11"/>
        <v>7.2942249593492166E-3</v>
      </c>
      <c r="E89" s="126">
        <f t="shared" si="12"/>
        <v>0.16885084042626144</v>
      </c>
      <c r="F89" s="126">
        <f t="shared" si="13"/>
        <v>0.16727306381691306</v>
      </c>
      <c r="G89" s="126">
        <f t="shared" si="14"/>
        <v>3.3266323903048442E-2</v>
      </c>
      <c r="H89" s="126">
        <f t="shared" si="15"/>
        <v>3.6061480431945389E-2</v>
      </c>
      <c r="I89" s="126">
        <f t="shared" si="16"/>
        <v>4.2981074429658109E-2</v>
      </c>
      <c r="J89" s="126">
        <f t="shared" si="17"/>
        <v>-2.1473030513246956E-2</v>
      </c>
      <c r="M89" s="5"/>
      <c r="Y89">
        <f>IF($Z$1, D89, -0.2)</f>
        <v>-0.2</v>
      </c>
    </row>
    <row r="90" spans="2:25" x14ac:dyDescent="0.3">
      <c r="B90" s="126">
        <v>3.8989363356615403E-2</v>
      </c>
      <c r="C90" s="126">
        <f t="shared" si="10"/>
        <v>2.9460323485942689E-2</v>
      </c>
      <c r="D90" s="126">
        <f t="shared" si="11"/>
        <v>7.4399669106621847E-3</v>
      </c>
      <c r="E90" s="126">
        <f t="shared" si="12"/>
        <v>0.16786662385442661</v>
      </c>
      <c r="F90" s="126">
        <f t="shared" si="13"/>
        <v>0.16631597565493353</v>
      </c>
      <c r="G90" s="126">
        <f t="shared" si="14"/>
        <v>3.4112198232578168E-2</v>
      </c>
      <c r="H90" s="126">
        <f t="shared" si="15"/>
        <v>3.6493777680495137E-2</v>
      </c>
      <c r="I90" s="126">
        <f t="shared" si="16"/>
        <v>4.3866528480652638E-2</v>
      </c>
      <c r="J90" s="126">
        <f t="shared" si="17"/>
        <v>-2.161384385917077E-2</v>
      </c>
      <c r="M90" s="5"/>
      <c r="Y90">
        <f>IF($Z$1, D90, -0.2)</f>
        <v>-0.2</v>
      </c>
    </row>
    <row r="91" spans="2:25" x14ac:dyDescent="0.3">
      <c r="B91" s="126">
        <v>3.9864550387123776E-2</v>
      </c>
      <c r="C91" s="126">
        <f t="shared" si="10"/>
        <v>2.9744276397562993E-2</v>
      </c>
      <c r="D91" s="126">
        <f t="shared" si="11"/>
        <v>7.5864470723876216E-3</v>
      </c>
      <c r="E91" s="126">
        <f t="shared" si="12"/>
        <v>0.16687403534440973</v>
      </c>
      <c r="F91" s="126">
        <f t="shared" si="13"/>
        <v>0.16535043474620928</v>
      </c>
      <c r="G91" s="126">
        <f t="shared" si="14"/>
        <v>3.4968702094738104E-2</v>
      </c>
      <c r="H91" s="126">
        <f t="shared" si="15"/>
        <v>3.6925033403575551E-2</v>
      </c>
      <c r="I91" s="126">
        <f t="shared" si="16"/>
        <v>4.4760398679509449E-2</v>
      </c>
      <c r="J91" s="126">
        <f t="shared" si="17"/>
        <v>-2.1752139258800311E-2</v>
      </c>
      <c r="M91" s="5"/>
      <c r="Y91">
        <f>IF($Z$1, D91, -0.2)</f>
        <v>-0.2</v>
      </c>
    </row>
    <row r="92" spans="2:25" x14ac:dyDescent="0.3">
      <c r="B92" s="126">
        <v>4.0749251585480817E-2</v>
      </c>
      <c r="C92" s="126">
        <f t="shared" si="10"/>
        <v>3.0026286233086695E-2</v>
      </c>
      <c r="D92" s="126">
        <f t="shared" si="11"/>
        <v>7.7336378099883965E-3</v>
      </c>
      <c r="E92" s="126">
        <f t="shared" si="12"/>
        <v>0.16587316527304261</v>
      </c>
      <c r="F92" s="126">
        <f t="shared" si="13"/>
        <v>0.16437652280036202</v>
      </c>
      <c r="G92" s="126">
        <f t="shared" si="14"/>
        <v>3.5835831484978702E-2</v>
      </c>
      <c r="H92" s="126">
        <f t="shared" si="15"/>
        <v>3.7355186855695534E-2</v>
      </c>
      <c r="I92" s="126">
        <f t="shared" si="16"/>
        <v>4.5662671685982932E-2</v>
      </c>
      <c r="J92" s="126">
        <f t="shared" si="17"/>
        <v>-2.1887911235718739E-2</v>
      </c>
      <c r="M92" s="5"/>
      <c r="Y92">
        <f>IF($Z$1, D92, -0.2)</f>
        <v>-0.2</v>
      </c>
    </row>
    <row r="93" spans="2:25" x14ac:dyDescent="0.3">
      <c r="B93" s="126">
        <v>4.1643458185011473E-2</v>
      </c>
      <c r="C93" s="126">
        <f t="shared" si="10"/>
        <v>3.0306321210553797E-2</v>
      </c>
      <c r="D93" s="126">
        <f t="shared" si="11"/>
        <v>7.8815113428120573E-3</v>
      </c>
      <c r="E93" s="126">
        <f t="shared" si="12"/>
        <v>0.16486410490020059</v>
      </c>
      <c r="F93" s="126">
        <f t="shared" si="13"/>
        <v>0.16339432252227998</v>
      </c>
      <c r="G93" s="126">
        <f t="shared" si="14"/>
        <v>3.6713581943793587E-2</v>
      </c>
      <c r="H93" s="126">
        <f t="shared" si="15"/>
        <v>3.7784177203292427E-2</v>
      </c>
      <c r="I93" s="126">
        <f t="shared" si="16"/>
        <v>4.6573334426229358E-2</v>
      </c>
      <c r="J93" s="126">
        <f t="shared" si="17"/>
        <v>-2.2021154517668316E-2</v>
      </c>
      <c r="M93" s="5"/>
      <c r="Y93">
        <f>IF($Z$1, D93, -0.2)</f>
        <v>-0.2</v>
      </c>
    </row>
    <row r="94" spans="2:25" x14ac:dyDescent="0.3">
      <c r="B94" s="126">
        <v>4.2547161324849481E-2</v>
      </c>
      <c r="C94" s="126">
        <f t="shared" si="10"/>
        <v>3.0584349692716346E-2</v>
      </c>
      <c r="D94" s="126">
        <f t="shared" si="11"/>
        <v>8.0300397491664451E-3</v>
      </c>
      <c r="E94" s="126">
        <f t="shared" si="12"/>
        <v>0.16384694636467487</v>
      </c>
      <c r="F94" s="126">
        <f t="shared" si="13"/>
        <v>0.16240391761230599</v>
      </c>
      <c r="G94" s="126">
        <f t="shared" si="14"/>
        <v>3.760194855237451E-2</v>
      </c>
      <c r="H94" s="126">
        <f t="shared" si="15"/>
        <v>3.8211943545337239E-2</v>
      </c>
      <c r="I94" s="126">
        <f t="shared" si="16"/>
        <v>4.7492374097324451E-2</v>
      </c>
      <c r="J94" s="126">
        <f t="shared" si="17"/>
        <v>-2.2151864047004345E-2</v>
      </c>
      <c r="M94" s="5"/>
      <c r="Y94">
        <f>IF($Z$1, D94, -0.2)</f>
        <v>-0.2</v>
      </c>
    </row>
    <row r="95" spans="2:25" x14ac:dyDescent="0.3">
      <c r="B95" s="126">
        <v>4.346035205002563E-2</v>
      </c>
      <c r="C95" s="126">
        <f t="shared" si="10"/>
        <v>3.0860340201893228E-2</v>
      </c>
      <c r="D95" s="126">
        <f t="shared" si="11"/>
        <v>8.1791949714329036E-3</v>
      </c>
      <c r="E95" s="126">
        <f t="shared" si="12"/>
        <v>0.16282178268000322</v>
      </c>
      <c r="F95" s="126">
        <f t="shared" si="13"/>
        <v>0.16140539276630211</v>
      </c>
      <c r="G95" s="126">
        <f t="shared" si="14"/>
        <v>3.8500925928437429E-2</v>
      </c>
      <c r="H95" s="126">
        <f t="shared" si="15"/>
        <v>3.8638424934140367E-2</v>
      </c>
      <c r="I95" s="126">
        <f t="shared" si="16"/>
        <v>4.8419778171613831E-2</v>
      </c>
      <c r="J95" s="126">
        <f t="shared" si="17"/>
        <v>-2.2280034991274556E-2</v>
      </c>
      <c r="M95" s="5"/>
      <c r="Y95">
        <f>IF($Z$1, D95, -0.2)</f>
        <v>-0.2</v>
      </c>
    </row>
    <row r="96" spans="2:25" x14ac:dyDescent="0.3">
      <c r="B96" s="126">
        <v>4.4383021311556581E-2</v>
      </c>
      <c r="C96" s="126">
        <f t="shared" si="10"/>
        <v>3.1134261434924461E-2</v>
      </c>
      <c r="D96" s="126">
        <f t="shared" si="11"/>
        <v>8.32894882121628E-3</v>
      </c>
      <c r="E96" s="126">
        <f t="shared" si="12"/>
        <v>0.16178870773026097</v>
      </c>
      <c r="F96" s="126">
        <f t="shared" si="13"/>
        <v>0.16039883367558871</v>
      </c>
      <c r="G96" s="126">
        <f t="shared" si="14"/>
        <v>3.941050822222341E-2</v>
      </c>
      <c r="H96" s="126">
        <f t="shared" si="15"/>
        <v>3.9063560396354738E-2</v>
      </c>
      <c r="I96" s="126">
        <f t="shared" si="16"/>
        <v>4.9355534400889751E-2</v>
      </c>
      <c r="J96" s="126">
        <f t="shared" si="17"/>
        <v>-2.2405662753922174E-2</v>
      </c>
      <c r="M96" s="5"/>
      <c r="Y96">
        <f>IF($Z$1, D96, -0.2)</f>
        <v>-0.2</v>
      </c>
    </row>
    <row r="97" spans="2:25" x14ac:dyDescent="0.3">
      <c r="B97" s="126">
        <v>4.5315159966534124E-2</v>
      </c>
      <c r="C97" s="126">
        <f t="shared" si="10"/>
        <v>3.140608227822294E-2</v>
      </c>
      <c r="D97" s="126">
        <f t="shared" si="11"/>
        <v>8.4792729845311211E-3</v>
      </c>
      <c r="E97" s="126">
        <f t="shared" si="12"/>
        <v>0.16074781626581258</v>
      </c>
      <c r="F97" s="126">
        <f t="shared" si="13"/>
        <v>0.15938432702675648</v>
      </c>
      <c r="G97" s="126">
        <f t="shared" si="14"/>
        <v>4.0330689112678723E-2</v>
      </c>
      <c r="H97" s="126">
        <f t="shared" si="15"/>
        <v>3.9487288954173153E-2</v>
      </c>
      <c r="I97" s="126">
        <f t="shared" si="16"/>
        <v>5.0299630820389525E-2</v>
      </c>
      <c r="J97" s="126">
        <f t="shared" si="17"/>
        <v>-2.2528742985110907E-2</v>
      </c>
      <c r="M97" s="5"/>
      <c r="Y97">
        <f>IF($Z$1, D97, -0.2)</f>
        <v>-0.2</v>
      </c>
    </row>
    <row r="98" spans="2:25" x14ac:dyDescent="0.3">
      <c r="B98" s="126">
        <v>4.625675877821589E-2</v>
      </c>
      <c r="C98" s="126">
        <f t="shared" si="10"/>
        <v>3.167577182292193E-2</v>
      </c>
      <c r="D98" s="126">
        <f t="shared" si="11"/>
        <v>8.6301390270236093E-3</v>
      </c>
      <c r="E98" s="126">
        <f t="shared" si="12"/>
        <v>0.15969920389902265</v>
      </c>
      <c r="F98" s="126">
        <f t="shared" si="13"/>
        <v>0.15836196050134635</v>
      </c>
      <c r="G98" s="126">
        <f t="shared" si="14"/>
        <v>4.1261461803820169E-2</v>
      </c>
      <c r="H98" s="126">
        <f t="shared" si="15"/>
        <v>3.9909549646717321E-2</v>
      </c>
      <c r="I98" s="126">
        <f t="shared" si="16"/>
        <v>5.125205575261161E-2</v>
      </c>
      <c r="J98" s="126">
        <f t="shared" si="17"/>
        <v>-2.2649271592670106E-2</v>
      </c>
      <c r="M98" s="5"/>
      <c r="Y98">
        <f>IF($Z$1, D98, -0.2)</f>
        <v>-0.2</v>
      </c>
    </row>
    <row r="99" spans="2:25" x14ac:dyDescent="0.3">
      <c r="B99" s="126">
        <v>4.7207808416117381E-2</v>
      </c>
      <c r="C99" s="126">
        <f t="shared" si="10"/>
        <v>3.1943299380116433E-2</v>
      </c>
      <c r="D99" s="126">
        <f t="shared" si="11"/>
        <v>8.7815183992286609E-3</v>
      </c>
      <c r="E99" s="126">
        <f t="shared" si="12"/>
        <v>0.15864296709992717</v>
      </c>
      <c r="F99" s="126">
        <f t="shared" si="13"/>
        <v>0.15733182277539626</v>
      </c>
      <c r="G99" s="126">
        <f t="shared" si="14"/>
        <v>4.2202819021289854E-2</v>
      </c>
      <c r="H99" s="126">
        <f t="shared" si="15"/>
        <v>4.0330281551615645E-2</v>
      </c>
      <c r="I99" s="126">
        <f t="shared" si="16"/>
        <v>5.2212797810944907E-2</v>
      </c>
      <c r="J99" s="126">
        <f t="shared" si="17"/>
        <v>-2.2767244753158326E-2</v>
      </c>
      <c r="M99" s="5"/>
      <c r="Y99">
        <f>IF($Z$1, D99, -0.2)</f>
        <v>-0.2</v>
      </c>
    </row>
    <row r="100" spans="2:25" x14ac:dyDescent="0.3">
      <c r="B100" s="126">
        <v>4.8168299456103791E-2</v>
      </c>
      <c r="C100" s="126">
        <f t="shared" si="10"/>
        <v>3.2208634496195952E-2</v>
      </c>
      <c r="D100" s="126">
        <f t="shared" si="11"/>
        <v>8.9333824418613289E-3</v>
      </c>
      <c r="E100" s="126">
        <f t="shared" si="12"/>
        <v>0.15757920319186625</v>
      </c>
      <c r="F100" s="126">
        <f t="shared" si="13"/>
        <v>0.15629400351885245</v>
      </c>
      <c r="G100" s="126">
        <f t="shared" si="14"/>
        <v>4.3154753009102702E-2</v>
      </c>
      <c r="H100" s="126">
        <f t="shared" si="15"/>
        <v>4.074942380676571E-2</v>
      </c>
      <c r="I100" s="126">
        <f t="shared" si="16"/>
        <v>5.3181845903104881E-2</v>
      </c>
      <c r="J100" s="126">
        <f t="shared" si="17"/>
        <v>-2.2882658923043052E-2</v>
      </c>
      <c r="M100" s="5"/>
      <c r="Y100">
        <f>IF($Z$1, D100, -0.2)</f>
        <v>-0.2</v>
      </c>
    </row>
    <row r="101" spans="2:25" x14ac:dyDescent="0.3">
      <c r="B101" s="126">
        <v>4.9138222380483598E-2</v>
      </c>
      <c r="C101" s="126">
        <f t="shared" si="10"/>
        <v>3.2471746968267275E-2</v>
      </c>
      <c r="D101" s="126">
        <f t="shared" si="11"/>
        <v>9.0857023911421961E-3</v>
      </c>
      <c r="E101" s="126">
        <f t="shared" si="12"/>
        <v>0.15650801034707681</v>
      </c>
      <c r="F101" s="126">
        <f t="shared" si="13"/>
        <v>0.15524859339484179</v>
      </c>
      <c r="G101" s="126">
        <f t="shared" si="14"/>
        <v>4.4117255526592944E-2</v>
      </c>
      <c r="H101" s="126">
        <f t="shared" si="15"/>
        <v>4.1166915632279234E-2</v>
      </c>
      <c r="I101" s="126">
        <f t="shared" si="16"/>
        <v>5.4159189234374253E-2</v>
      </c>
      <c r="J101" s="126">
        <f t="shared" si="17"/>
        <v>-2.2995510849994842E-2</v>
      </c>
      <c r="M101" s="5"/>
      <c r="Y101">
        <f>IF($Z$1, D101, -0.2)</f>
        <v>-0.2</v>
      </c>
    </row>
    <row r="102" spans="2:25" x14ac:dyDescent="0.3">
      <c r="B102" s="126">
        <v>5.0117567578102928E-2</v>
      </c>
      <c r="C102" s="126">
        <f t="shared" si="10"/>
        <v>3.2732606859664913E-2</v>
      </c>
      <c r="D102" s="126">
        <f t="shared" si="11"/>
        <v>9.2384493841560535E-3</v>
      </c>
      <c r="E102" s="126">
        <f t="shared" si="12"/>
        <v>0.15542948758224648</v>
      </c>
      <c r="F102" s="126">
        <f t="shared" si="13"/>
        <v>0.15419568405880305</v>
      </c>
      <c r="G102" s="126">
        <f t="shared" si="14"/>
        <v>4.509031784556318E-2</v>
      </c>
      <c r="H102" s="126">
        <f t="shared" si="15"/>
        <v>4.1582696352605655E-2</v>
      </c>
      <c r="I102" s="126">
        <f t="shared" si="16"/>
        <v>5.5144817310642677E-2</v>
      </c>
      <c r="J102" s="126">
        <f t="shared" si="17"/>
        <v>-2.3105797584293552E-2</v>
      </c>
      <c r="M102" s="5"/>
      <c r="Y102">
        <f>IF($Z$1, D102, -0.2)</f>
        <v>-0.2</v>
      </c>
    </row>
    <row r="103" spans="2:25" x14ac:dyDescent="0.3">
      <c r="B103" s="126">
        <v>5.1106325344440817E-2</v>
      </c>
      <c r="C103" s="126">
        <f t="shared" si="10"/>
        <v>3.2991184515547396E-2</v>
      </c>
      <c r="D103" s="126">
        <f t="shared" si="11"/>
        <v>9.3915944642432234E-3</v>
      </c>
      <c r="E103" s="126">
        <f t="shared" si="12"/>
        <v>0.15434373475402813</v>
      </c>
      <c r="F103" s="126">
        <f t="shared" si="13"/>
        <v>0.15313536815747467</v>
      </c>
      <c r="G103" s="126">
        <f t="shared" si="14"/>
        <v>4.6073930747640247E-2</v>
      </c>
      <c r="H103" s="126">
        <f t="shared" si="15"/>
        <v>4.1996705418831104E-2</v>
      </c>
      <c r="I103" s="126">
        <f t="shared" si="16"/>
        <v>5.6138719941241387E-2</v>
      </c>
      <c r="J103" s="126">
        <f t="shared" si="17"/>
        <v>-2.3213516490344657E-2</v>
      </c>
      <c r="M103" s="5"/>
      <c r="Y103">
        <f>IF($Z$1, D103, -0.2)</f>
        <v>-0.2</v>
      </c>
    </row>
    <row r="104" spans="2:25" x14ac:dyDescent="0.3">
      <c r="B104" s="126">
        <v>5.2104485881705465E-2</v>
      </c>
      <c r="C104" s="126">
        <f t="shared" si="10"/>
        <v>3.324745057857724E-2</v>
      </c>
      <c r="D104" s="126">
        <f t="shared" si="11"/>
        <v>9.5451085864229433E-3</v>
      </c>
      <c r="E104" s="126">
        <f t="shared" si="12"/>
        <v>0.15325085255451612</v>
      </c>
      <c r="F104" s="126">
        <f t="shared" si="13"/>
        <v>0.15206773932773684</v>
      </c>
      <c r="G104" s="126">
        <f t="shared" si="14"/>
        <v>4.7068084521842378E-2</v>
      </c>
      <c r="H104" s="126">
        <f t="shared" si="15"/>
        <v>4.240888243114907E-2</v>
      </c>
      <c r="I104" s="126">
        <f t="shared" si="16"/>
        <v>5.7140887241568551E-2</v>
      </c>
      <c r="J104" s="126">
        <f t="shared" si="17"/>
        <v>-2.3318665258303187E-2</v>
      </c>
      <c r="M104" s="5"/>
      <c r="Y104">
        <f>IF($Z$1, D104, -0.2)</f>
        <v>-0.2</v>
      </c>
    </row>
    <row r="105" spans="2:25" x14ac:dyDescent="0.3">
      <c r="B105" s="126">
        <v>5.3112039298931046E-2</v>
      </c>
      <c r="C105" s="126">
        <f t="shared" si="10"/>
        <v>3.3501376004682525E-2</v>
      </c>
      <c r="D105" s="126">
        <f t="shared" si="11"/>
        <v>9.6989626228481257E-3</v>
      </c>
      <c r="E105" s="126">
        <f t="shared" si="12"/>
        <v>0.15215094250668415</v>
      </c>
      <c r="F105" s="126">
        <f t="shared" si="13"/>
        <v>0.15099289219530615</v>
      </c>
      <c r="G105" s="126">
        <f t="shared" si="14"/>
        <v>4.8072768962361123E-2</v>
      </c>
      <c r="H105" s="126">
        <f t="shared" si="15"/>
        <v>4.2819167161499215E-2</v>
      </c>
      <c r="I105" s="126">
        <f t="shared" si="16"/>
        <v>5.815130963550097E-2</v>
      </c>
      <c r="J105" s="126">
        <f t="shared" si="17"/>
        <v>-2.3421241915802964E-2</v>
      </c>
      <c r="M105" s="5"/>
      <c r="Y105">
        <f>IF($Z$1, D105, -0.2)</f>
        <v>-0.2</v>
      </c>
    </row>
    <row r="106" spans="2:25" x14ac:dyDescent="0.3">
      <c r="B106" s="126">
        <v>5.4128975612075858E-2</v>
      </c>
      <c r="C106" s="126">
        <f t="shared" si="10"/>
        <v>3.3752932078898269E-2</v>
      </c>
      <c r="D106" s="126">
        <f t="shared" si="11"/>
        <v>9.8531273682909981E-3</v>
      </c>
      <c r="E106" s="126">
        <f t="shared" si="12"/>
        <v>0.15104410695978418</v>
      </c>
      <c r="F106" s="126">
        <f t="shared" si="13"/>
        <v>0.14991092237327913</v>
      </c>
      <c r="G106" s="126">
        <f t="shared" si="14"/>
        <v>4.9087973366562995E-2</v>
      </c>
      <c r="H106" s="126">
        <f t="shared" si="15"/>
        <v>4.322749957637087E-2</v>
      </c>
      <c r="I106" s="126">
        <f t="shared" si="16"/>
        <v>5.9169977857588721E-2</v>
      </c>
      <c r="J106" s="126">
        <f t="shared" si="17"/>
        <v>-2.3521244839788874E-2</v>
      </c>
      <c r="M106" s="5"/>
      <c r="Y106">
        <f>IF($Z$1, D106, -0.2)</f>
        <v>-0.2</v>
      </c>
    </row>
    <row r="107" spans="2:25" x14ac:dyDescent="0.3">
      <c r="B107" s="126">
        <v>5.5155284744121347E-2</v>
      </c>
      <c r="C107" s="126">
        <f t="shared" si="10"/>
        <v>3.4002090431285444E-2</v>
      </c>
      <c r="D107" s="126">
        <f t="shared" si="11"/>
        <v>1.0007573545658933E-2</v>
      </c>
      <c r="E107" s="126">
        <f t="shared" si="12"/>
        <v>0.14993044908470754</v>
      </c>
      <c r="F107" s="126">
        <f t="shared" si="13"/>
        <v>0.14882192646052397</v>
      </c>
      <c r="G107" s="126">
        <f t="shared" si="14"/>
        <v>5.0113686533214082E-2</v>
      </c>
      <c r="H107" s="126">
        <f t="shared" si="15"/>
        <v>4.3633819859767352E-2</v>
      </c>
      <c r="I107" s="126">
        <f t="shared" si="16"/>
        <v>6.0196882955028612E-2</v>
      </c>
      <c r="J107" s="126">
        <f t="shared" si="17"/>
        <v>-2.3618672768449485E-2</v>
      </c>
      <c r="M107" s="5"/>
      <c r="Y107">
        <f>IF($Z$1, D107, -0.2)</f>
        <v>-0.2</v>
      </c>
    </row>
    <row r="108" spans="2:25" x14ac:dyDescent="0.3">
      <c r="B108" s="126">
        <v>5.6190956525171698E-2</v>
      </c>
      <c r="C108" s="126">
        <f t="shared" si="10"/>
        <v>3.4248823052925238E-2</v>
      </c>
      <c r="D108" s="126">
        <f t="shared" si="11"/>
        <v>1.0162271811539739E-2</v>
      </c>
      <c r="E108" s="126">
        <f t="shared" si="12"/>
        <v>0.14881007286930814</v>
      </c>
      <c r="F108" s="126">
        <f t="shared" si="13"/>
        <v>0.14772600203991809</v>
      </c>
      <c r="G108" s="126">
        <f t="shared" si="14"/>
        <v>5.1149896760931263E-2</v>
      </c>
      <c r="H108" s="126">
        <f t="shared" si="15"/>
        <v>4.403806843632687E-2</v>
      </c>
      <c r="I108" s="126">
        <f t="shared" si="16"/>
        <v>6.1232016289412133E-2</v>
      </c>
      <c r="J108" s="126">
        <f t="shared" si="17"/>
        <v>-2.3713524813247393E-2</v>
      </c>
      <c r="M108" s="5"/>
      <c r="Y108">
        <f>IF($Z$1, D108, -0.2)</f>
        <v>-0.2</v>
      </c>
    </row>
    <row r="109" spans="2:25" x14ac:dyDescent="0.3">
      <c r="B109" s="126">
        <v>5.7235980692555199E-2</v>
      </c>
      <c r="C109" s="126">
        <f t="shared" si="10"/>
        <v>3.4493102311987212E-2</v>
      </c>
      <c r="D109" s="126">
        <f t="shared" si="11"/>
        <v>1.0317192761776051E-2</v>
      </c>
      <c r="E109" s="126">
        <f t="shared" si="12"/>
        <v>0.14768308311368708</v>
      </c>
      <c r="F109" s="126">
        <f t="shared" si="13"/>
        <v>0.14662324767642823</v>
      </c>
      <c r="G109" s="126">
        <f t="shared" si="14"/>
        <v>5.2196591846864718E-2</v>
      </c>
      <c r="H109" s="126">
        <f t="shared" si="15"/>
        <v>4.4440185994597051E-2</v>
      </c>
      <c r="I109" s="126">
        <f t="shared" si="16"/>
        <v>6.2275369538245681E-2</v>
      </c>
      <c r="J109" s="126">
        <f t="shared" si="17"/>
        <v>-2.3805800471044952E-2</v>
      </c>
      <c r="M109" s="5"/>
      <c r="Y109">
        <f>IF($Z$1, D109, -0.2)</f>
        <v>-0.2</v>
      </c>
    </row>
    <row r="110" spans="2:25" x14ac:dyDescent="0.3">
      <c r="B110" s="126">
        <v>5.8290346890925049E-2</v>
      </c>
      <c r="C110" s="126">
        <f t="shared" si="10"/>
        <v>3.4734900969868289E-2</v>
      </c>
      <c r="D110" s="126">
        <f t="shared" si="11"/>
        <v>1.0472306937067735E-2</v>
      </c>
      <c r="E110" s="126">
        <f t="shared" si="12"/>
        <v>0.14654958542544125</v>
      </c>
      <c r="F110" s="126">
        <f t="shared" si="13"/>
        <v>0.14551376291503421</v>
      </c>
      <c r="G110" s="126">
        <f t="shared" si="14"/>
        <v>5.3253759085613007E-2</v>
      </c>
      <c r="H110" s="126">
        <f t="shared" si="15"/>
        <v>4.4840113510457594E-2</v>
      </c>
      <c r="I110" s="126">
        <f t="shared" si="16"/>
        <v>6.3326934696237083E-2</v>
      </c>
      <c r="J110" s="126">
        <f t="shared" si="17"/>
        <v>-2.3895499636322121E-2</v>
      </c>
      <c r="M110" s="5"/>
      <c r="Y110">
        <f>IF($Z$1, D110, -0.2)</f>
        <v>-0.2</v>
      </c>
    </row>
    <row r="111" spans="2:25" x14ac:dyDescent="0.3">
      <c r="B111" s="126">
        <v>5.9354044672362938E-2</v>
      </c>
      <c r="C111" s="126">
        <f t="shared" si="10"/>
        <v>3.4974192197401478E-2</v>
      </c>
      <c r="D111" s="126">
        <f t="shared" si="11"/>
        <v>1.0627584828602257E-2</v>
      </c>
      <c r="E111" s="126">
        <f t="shared" si="12"/>
        <v>0.14540968621487263</v>
      </c>
      <c r="F111" s="126">
        <f t="shared" si="13"/>
        <v>0.1443976482784905</v>
      </c>
      <c r="G111" s="126">
        <f t="shared" si="14"/>
        <v>5.4321385268377501E-2</v>
      </c>
      <c r="H111" s="126">
        <f t="shared" si="15"/>
        <v>4.52377922706887E-2</v>
      </c>
      <c r="I111" s="126">
        <f t="shared" si="16"/>
        <v>6.4386704076348375E-2</v>
      </c>
      <c r="J111" s="126">
        <f t="shared" si="17"/>
        <v>-2.3982622613484182E-2</v>
      </c>
      <c r="M111" s="5"/>
      <c r="Y111">
        <f>IF($Z$1, D111, -0.2)</f>
        <v>-0.2</v>
      </c>
    </row>
    <row r="112" spans="2:25" x14ac:dyDescent="0.3">
      <c r="B112" s="126">
        <v>6.0427063496481526E-2</v>
      </c>
      <c r="C112" s="126">
        <f t="shared" si="10"/>
        <v>3.5210949591131281E-2</v>
      </c>
      <c r="D112" s="126">
        <f t="shared" si="11"/>
        <v>1.0782996883711711E-2</v>
      </c>
      <c r="E112" s="126">
        <f t="shared" si="12"/>
        <v>0.14426349269016214</v>
      </c>
      <c r="F112" s="126">
        <f t="shared" si="13"/>
        <v>0.14327500526492798</v>
      </c>
      <c r="G112" s="126">
        <f t="shared" si="14"/>
        <v>5.5399456682355332E-2</v>
      </c>
      <c r="H112" s="126">
        <f t="shared" si="15"/>
        <v>4.5633163896679381E-2</v>
      </c>
      <c r="I112" s="126">
        <f t="shared" si="16"/>
        <v>6.5454670310607713E-2</v>
      </c>
      <c r="J112" s="126">
        <f t="shared" si="17"/>
        <v>-2.4067170129255959E-2</v>
      </c>
      <c r="M112" s="5"/>
      <c r="Y112">
        <f>IF($Z$1, D112, -0.2)</f>
        <v>-0.2</v>
      </c>
    </row>
    <row r="113" spans="2:25" x14ac:dyDescent="0.3">
      <c r="B113" s="126">
        <v>6.1509392730530021E-2</v>
      </c>
      <c r="C113" s="126">
        <f t="shared" si="10"/>
        <v>3.5445147189654518E-2</v>
      </c>
      <c r="D113" s="126">
        <f t="shared" si="11"/>
        <v>1.0938513511556537E-2</v>
      </c>
      <c r="E113" s="126">
        <f t="shared" si="12"/>
        <v>0.14311111285250483</v>
      </c>
      <c r="F113" s="126">
        <f t="shared" si="13"/>
        <v>0.14214593634529046</v>
      </c>
      <c r="G113" s="126">
        <f t="shared" si="14"/>
        <v>5.6487959110378502E-2</v>
      </c>
      <c r="H113" s="126">
        <f t="shared" si="15"/>
        <v>4.6026170368273049E-2</v>
      </c>
      <c r="I113" s="126">
        <f t="shared" si="16"/>
        <v>6.6530826350681541E-2</v>
      </c>
      <c r="J113" s="126">
        <f t="shared" si="17"/>
        <v>-2.4149143345159975E-2</v>
      </c>
      <c r="M113" s="5"/>
      <c r="Y113">
        <f>IF($Z$1, D113, -0.2)</f>
        <v>-0.2</v>
      </c>
    </row>
    <row r="114" spans="2:25" x14ac:dyDescent="0.3">
      <c r="B114" s="126">
        <v>6.2601021649498656E-2</v>
      </c>
      <c r="C114" s="126">
        <f t="shared" si="10"/>
        <v>3.5676759490023642E-2</v>
      </c>
      <c r="D114" s="126">
        <f t="shared" si="11"/>
        <v>1.1094105088834648E-2</v>
      </c>
      <c r="E114" s="126">
        <f t="shared" si="12"/>
        <v>0.14195265549120961</v>
      </c>
      <c r="F114" s="126">
        <f t="shared" si="13"/>
        <v>0.14101054496060766</v>
      </c>
      <c r="G114" s="126">
        <f t="shared" si="14"/>
        <v>5.7586877830797592E-2</v>
      </c>
      <c r="H114" s="126">
        <f t="shared" si="15"/>
        <v>4.641675404774448E-2</v>
      </c>
      <c r="I114" s="126">
        <f t="shared" si="16"/>
        <v>6.761516546819972E-2</v>
      </c>
      <c r="J114" s="126">
        <f t="shared" si="17"/>
        <v>-2.4228543870075184E-2</v>
      </c>
      <c r="M114" s="5"/>
      <c r="Y114">
        <f>IF($Z$1, D114, -0.2)</f>
        <v>-0.2</v>
      </c>
    </row>
    <row r="115" spans="2:25" x14ac:dyDescent="0.3">
      <c r="B115" s="126">
        <v>6.3701939436225374E-2</v>
      </c>
      <c r="C115" s="126">
        <f t="shared" si="10"/>
        <v>3.5905761464210997E-2</v>
      </c>
      <c r="D115" s="126">
        <f t="shared" si="11"/>
        <v>1.1249741965515758E-2</v>
      </c>
      <c r="E115" s="126">
        <f t="shared" si="12"/>
        <v>0.14078823017876158</v>
      </c>
      <c r="F115" s="126">
        <f t="shared" si="13"/>
        <v>0.13986893551910082</v>
      </c>
      <c r="G115" s="126">
        <f t="shared" si="14"/>
        <v>5.8696197617616533E-2</v>
      </c>
      <c r="H115" s="126">
        <f t="shared" si="15"/>
        <v>4.680485770390494E-2</v>
      </c>
      <c r="I115" s="126">
        <f t="shared" si="16"/>
        <v>6.8707681254834216E-2</v>
      </c>
      <c r="J115" s="126">
        <f t="shared" si="17"/>
        <v>-2.4305373772873423E-2</v>
      </c>
      <c r="M115" s="5"/>
      <c r="Y115">
        <f>IF($Z$1, D115, -0.2)</f>
        <v>-0.2</v>
      </c>
    </row>
    <row r="116" spans="2:25" x14ac:dyDescent="0.3">
      <c r="B116" s="126">
        <v>6.4812135181502861E-2</v>
      </c>
      <c r="C116" s="126">
        <f t="shared" si="10"/>
        <v>3.6132128575631514E-2</v>
      </c>
      <c r="D116" s="126">
        <f t="shared" si="11"/>
        <v>1.1405394470600056E-2</v>
      </c>
      <c r="E116" s="126">
        <f t="shared" si="12"/>
        <v>0.13961794726584834</v>
      </c>
      <c r="F116" s="126">
        <f t="shared" si="13"/>
        <v>0.1387212133931211</v>
      </c>
      <c r="G116" s="126">
        <f t="shared" si="14"/>
        <v>5.9815902740878925E-2</v>
      </c>
      <c r="H116" s="126">
        <f t="shared" si="15"/>
        <v>4.7190424536330398E-2</v>
      </c>
      <c r="I116" s="126">
        <f t="shared" si="16"/>
        <v>6.9808367622126791E-2</v>
      </c>
      <c r="J116" s="126">
        <f t="shared" si="17"/>
        <v>-2.4379635595130282E-2</v>
      </c>
      <c r="M116" s="5"/>
      <c r="Y116">
        <f>IF($Z$1, D116, -0.2)</f>
        <v>-0.2</v>
      </c>
    </row>
    <row r="117" spans="2:25" x14ac:dyDescent="0.3">
      <c r="B117" s="126">
        <v>6.5931597884186899E-2</v>
      </c>
      <c r="C117" s="126">
        <f t="shared" si="10"/>
        <v>3.6355836795721838E-2</v>
      </c>
      <c r="D117" s="126">
        <f t="shared" si="11"/>
        <v>1.1561032917900614E-2</v>
      </c>
      <c r="E117" s="126">
        <f t="shared" si="12"/>
        <v>0.13844191787634949</v>
      </c>
      <c r="F117" s="126">
        <f t="shared" si="13"/>
        <v>0.13756748491591808</v>
      </c>
      <c r="G117" s="126">
        <f t="shared" si="14"/>
        <v>6.0945976967309759E-2</v>
      </c>
      <c r="H117" s="126">
        <f t="shared" si="15"/>
        <v>4.7573398199708461E-2</v>
      </c>
      <c r="I117" s="126">
        <f t="shared" si="16"/>
        <v>7.0917218801064039E-2</v>
      </c>
      <c r="J117" s="126">
        <f t="shared" si="17"/>
        <v>-2.445133236390723E-2</v>
      </c>
      <c r="M117" s="5"/>
      <c r="Y117">
        <f>IF($Z$1, D117, -0.2)</f>
        <v>-0.2</v>
      </c>
    </row>
    <row r="118" spans="2:25" x14ac:dyDescent="0.3">
      <c r="B118" s="126">
        <v>6.7060316451305058E-2</v>
      </c>
      <c r="C118" s="126">
        <f t="shared" si="10"/>
        <v>3.6576862620573566E-2</v>
      </c>
      <c r="D118" s="126">
        <f t="shared" si="11"/>
        <v>1.1716627611848805E-2</v>
      </c>
      <c r="E118" s="126">
        <f t="shared" si="12"/>
        <v>0.13726025390229118</v>
      </c>
      <c r="F118" s="126">
        <f t="shared" si="13"/>
        <v>0.13640785737823902</v>
      </c>
      <c r="G118" s="126">
        <f t="shared" si="14"/>
        <v>6.2086403561213574E-2</v>
      </c>
      <c r="H118" s="126">
        <f t="shared" si="15"/>
        <v>4.7953722828299211E-2</v>
      </c>
      <c r="I118" s="126">
        <f t="shared" si="16"/>
        <v>7.2034229341396541E-2</v>
      </c>
      <c r="J118" s="126">
        <f t="shared" si="17"/>
        <v>-2.4520467604601606E-2</v>
      </c>
      <c r="M118" s="5"/>
      <c r="Y118">
        <f>IF($Z$1, D118, -0.2)</f>
        <v>-0.2</v>
      </c>
    </row>
    <row r="119" spans="2:25" x14ac:dyDescent="0.3">
      <c r="B119" s="126">
        <v>6.8198279698166608E-2</v>
      </c>
      <c r="C119" s="126">
        <f t="shared" si="10"/>
        <v>3.6795183087618547E-2</v>
      </c>
      <c r="D119" s="126">
        <f t="shared" si="11"/>
        <v>1.1872148853322136E-2</v>
      </c>
      <c r="E119" s="126">
        <f t="shared" si="12"/>
        <v>0.1360730679987639</v>
      </c>
      <c r="F119" s="126">
        <f t="shared" si="13"/>
        <v>0.13524243902475583</v>
      </c>
      <c r="G119" s="126">
        <f t="shared" si="14"/>
        <v>6.3237165285632405E-2</v>
      </c>
      <c r="H119" s="126">
        <f t="shared" si="15"/>
        <v>4.833134306050553E-2</v>
      </c>
      <c r="I119" s="126">
        <f t="shared" si="16"/>
        <v>7.3159394110700812E-2</v>
      </c>
      <c r="J119" s="126">
        <f t="shared" si="17"/>
        <v>-2.4587045353861262E-2</v>
      </c>
      <c r="M119" s="5"/>
      <c r="Y119">
        <f>IF($Z$1, D119, -0.2)</f>
        <v>-0.2</v>
      </c>
    </row>
    <row r="120" spans="2:25" x14ac:dyDescent="0.3">
      <c r="B120" s="126">
        <v>6.9345476348473767E-2</v>
      </c>
      <c r="C120" s="126">
        <f t="shared" si="10"/>
        <v>3.7010775792364031E-2</v>
      </c>
      <c r="D120" s="126">
        <f t="shared" si="11"/>
        <v>1.2027566945493879E-2</v>
      </c>
      <c r="E120" s="126">
        <f t="shared" si="12"/>
        <v>0.13488047357880489</v>
      </c>
      <c r="F120" s="126">
        <f t="shared" si="13"/>
        <v>0.13407133905032007</v>
      </c>
      <c r="G120" s="126">
        <f t="shared" si="14"/>
        <v>6.4398244403765501E-2</v>
      </c>
      <c r="H120" s="126">
        <f t="shared" si="15"/>
        <v>4.8706204063548003E-2</v>
      </c>
      <c r="I120" s="126">
        <f t="shared" si="16"/>
        <v>7.4292708293182033E-2</v>
      </c>
      <c r="J120" s="126">
        <f t="shared" si="17"/>
        <v>-2.4651070172560241E-2</v>
      </c>
      <c r="M120" s="5"/>
      <c r="Y120">
        <f>IF($Z$1, D120, -0.2)</f>
        <v>-0.2</v>
      </c>
    </row>
    <row r="121" spans="2:25" x14ac:dyDescent="0.3">
      <c r="B121" s="126">
        <v>7.050189503443316E-2</v>
      </c>
      <c r="C121" s="126">
        <f t="shared" si="10"/>
        <v>3.7223618905175303E-2</v>
      </c>
      <c r="D121" s="126">
        <f t="shared" si="11"/>
        <v>1.2182852199703611E-2</v>
      </c>
      <c r="E121" s="126">
        <f t="shared" si="12"/>
        <v>0.13368258480824519</v>
      </c>
      <c r="F121" s="126">
        <f t="shared" si="13"/>
        <v>0.13289466759604421</v>
      </c>
      <c r="G121" s="126">
        <f t="shared" si="14"/>
        <v>6.5569622680651612E-2</v>
      </c>
      <c r="H121" s="126">
        <f t="shared" si="15"/>
        <v>4.9078251558239444E-2</v>
      </c>
      <c r="I121" s="126">
        <f t="shared" si="16"/>
        <v>7.5434167388214707E-2</v>
      </c>
      <c r="J121" s="126">
        <f t="shared" si="17"/>
        <v>-2.4712547158832227E-2</v>
      </c>
      <c r="M121" s="5"/>
      <c r="Y121">
        <f>IF($Z$1, D121, -0.2)</f>
        <v>-0.2</v>
      </c>
    </row>
    <row r="122" spans="2:25" x14ac:dyDescent="0.3">
      <c r="B122" s="126">
        <v>7.1667524296868401E-2</v>
      </c>
      <c r="C122" s="126">
        <f t="shared" si="10"/>
        <v>3.7433691188103635E-2</v>
      </c>
      <c r="D122" s="126">
        <f t="shared" si="11"/>
        <v>1.233797494134819E-2</v>
      </c>
      <c r="E122" s="126">
        <f t="shared" si="12"/>
        <v>0.13247951660052215</v>
      </c>
      <c r="F122" s="126">
        <f t="shared" si="13"/>
        <v>0.13171253574521005</v>
      </c>
      <c r="G122" s="126">
        <f t="shared" si="14"/>
        <v>6.675128138511649E-2</v>
      </c>
      <c r="H122" s="126">
        <f t="shared" si="15"/>
        <v>4.9447431843854278E-2</v>
      </c>
      <c r="I122" s="126">
        <f t="shared" si="16"/>
        <v>7.6583767208620313E-2</v>
      </c>
      <c r="J122" s="126">
        <f t="shared" si="17"/>
        <v>-2.4771481961157901E-2</v>
      </c>
      <c r="M122" s="5"/>
      <c r="Y122">
        <f>IF($Z$1, D122, -0.2)</f>
        <v>-0.2</v>
      </c>
    </row>
    <row r="123" spans="2:25" x14ac:dyDescent="0.3">
      <c r="B123" s="126">
        <v>7.2842352585333559E-2</v>
      </c>
      <c r="C123" s="126">
        <f t="shared" si="10"/>
        <v>3.764097201175761E-2</v>
      </c>
      <c r="D123" s="126">
        <f t="shared" si="11"/>
        <v>1.2492905515792411E-2</v>
      </c>
      <c r="E123" s="126">
        <f t="shared" si="12"/>
        <v>0.13127138461145607</v>
      </c>
      <c r="F123" s="126">
        <f t="shared" si="13"/>
        <v>0.13052505551900107</v>
      </c>
      <c r="G123" s="126">
        <f t="shared" si="14"/>
        <v>6.794320129198661E-2</v>
      </c>
      <c r="H123" s="126">
        <f t="shared" si="15"/>
        <v>4.9813691823087924E-2</v>
      </c>
      <c r="I123" s="126">
        <f t="shared" si="16"/>
        <v>7.7741503878680507E-2</v>
      </c>
      <c r="J123" s="126">
        <f t="shared" si="17"/>
        <v>-2.4827880791503106E-2</v>
      </c>
      <c r="M123" s="5"/>
      <c r="Y123">
        <f>IF($Z$1, D123, -0.2)</f>
        <v>-0.2</v>
      </c>
    </row>
    <row r="124" spans="2:25" x14ac:dyDescent="0.3">
      <c r="B124" s="126">
        <v>7.4026368258227948E-2</v>
      </c>
      <c r="C124" s="126">
        <f t="shared" si="10"/>
        <v>3.7845441372215113E-2</v>
      </c>
      <c r="D124" s="126">
        <f t="shared" si="11"/>
        <v>1.2647614294298681E-2</v>
      </c>
      <c r="E124" s="126">
        <f t="shared" si="12"/>
        <v>0.13005830523399245</v>
      </c>
      <c r="F124" s="126">
        <f t="shared" si="13"/>
        <v>0.12933233987206019</v>
      </c>
      <c r="G124" s="126">
        <f t="shared" si="14"/>
        <v>6.9145362684571318E-2</v>
      </c>
      <c r="H124" s="126">
        <f t="shared" si="15"/>
        <v>5.0176979027100971E-2</v>
      </c>
      <c r="I124" s="126">
        <f t="shared" si="16"/>
        <v>7.8907373831884578E-2</v>
      </c>
      <c r="J124" s="126">
        <f t="shared" si="17"/>
        <v>-2.4881750438503606E-2</v>
      </c>
      <c r="M124" s="5"/>
      <c r="Y124">
        <f>IF($Z$1, D124, -0.2)</f>
        <v>-0.2</v>
      </c>
    </row>
    <row r="125" spans="2:25" x14ac:dyDescent="0.3">
      <c r="B125" s="126">
        <v>7.5219559582911377E-2</v>
      </c>
      <c r="C125" s="126">
        <f t="shared" si="10"/>
        <v>3.8047079907974096E-2</v>
      </c>
      <c r="D125" s="126">
        <f t="shared" si="11"/>
        <v>1.2802071679975026E-2</v>
      </c>
      <c r="E125" s="126">
        <f t="shared" si="12"/>
        <v>0.12884039559290961</v>
      </c>
      <c r="F125" s="126">
        <f t="shared" si="13"/>
        <v>0.12813450268787138</v>
      </c>
      <c r="G125" s="126">
        <f t="shared" si="14"/>
        <v>7.0357745357413223E-2</v>
      </c>
      <c r="H125" s="126">
        <f t="shared" si="15"/>
        <v>5.0537241640643146E-2</v>
      </c>
      <c r="I125" s="126">
        <f t="shared" si="16"/>
        <v>8.0081373808409531E-2</v>
      </c>
      <c r="J125" s="126">
        <f t="shared" si="17"/>
        <v>-2.4933098280693095E-2</v>
      </c>
      <c r="M125" s="5"/>
      <c r="Y125">
        <f>IF($Z$1, D125, -0.2)</f>
        <v>-0.2</v>
      </c>
    </row>
    <row r="126" spans="2:25" x14ac:dyDescent="0.3">
      <c r="B126" s="126">
        <v>7.6421914735820273E-2</v>
      </c>
      <c r="C126" s="126">
        <f t="shared" si="10"/>
        <v>3.82458689169397E-2</v>
      </c>
      <c r="D126" s="126">
        <f t="shared" si="11"/>
        <v>1.2956248113740647E-2</v>
      </c>
      <c r="E126" s="126">
        <f t="shared" si="12"/>
        <v>0.12761777353949233</v>
      </c>
      <c r="F126" s="126">
        <f t="shared" si="13"/>
        <v>0.12693165877396578</v>
      </c>
      <c r="G126" s="126">
        <f t="shared" si="14"/>
        <v>7.1580328619308381E-2</v>
      </c>
      <c r="H126" s="126">
        <f t="shared" si="15"/>
        <v>5.0894428527251963E-2</v>
      </c>
      <c r="I126" s="126">
        <f t="shared" si="16"/>
        <v>8.1263500852332166E-2</v>
      </c>
      <c r="J126" s="126">
        <f t="shared" si="17"/>
        <v>-2.4981932299770672E-2</v>
      </c>
      <c r="M126" s="5"/>
      <c r="Y126">
        <f>IF($Z$1, D126, -0.2)</f>
        <v>-0.2</v>
      </c>
    </row>
    <row r="127" spans="2:25" x14ac:dyDescent="0.3">
      <c r="B127" s="126">
        <v>7.7633421802584812E-2</v>
      </c>
      <c r="C127" s="126">
        <f t="shared" si="10"/>
        <v>3.8441790373445486E-2</v>
      </c>
      <c r="D127" s="126">
        <f t="shared" si="11"/>
        <v>1.31101140803085E-2</v>
      </c>
      <c r="E127" s="126">
        <f t="shared" si="12"/>
        <v>0.12639055764617127</v>
      </c>
      <c r="F127" s="126">
        <f t="shared" si="13"/>
        <v>0.12572392385695105</v>
      </c>
      <c r="G127" s="126">
        <f t="shared" si="14"/>
        <v>7.2813091296597229E-2</v>
      </c>
      <c r="H127" s="126">
        <f t="shared" si="15"/>
        <v>5.1248489254520781E-2</v>
      </c>
      <c r="I127" s="126">
        <f t="shared" si="16"/>
        <v>8.2453752308572395E-2</v>
      </c>
      <c r="J127" s="126">
        <f t="shared" si="17"/>
        <v>-2.5028261093903777E-2</v>
      </c>
      <c r="M127" s="5"/>
      <c r="Y127">
        <f>IF($Z$1, D127, -0.2)</f>
        <v>-0.2</v>
      </c>
    </row>
    <row r="128" spans="2:25" x14ac:dyDescent="0.3">
      <c r="B128" s="126">
        <v>7.8854068778147268E-2</v>
      </c>
      <c r="C128" s="126">
        <f t="shared" si="10"/>
        <v>3.8634826945306698E-2</v>
      </c>
      <c r="D128" s="126">
        <f t="shared" si="11"/>
        <v>1.326364011418411E-2</v>
      </c>
      <c r="E128" s="126">
        <f t="shared" si="12"/>
        <v>0.1251588672011279</v>
      </c>
      <c r="F128" s="126">
        <f t="shared" si="13"/>
        <v>0.12451141457736394</v>
      </c>
      <c r="G128" s="126">
        <f t="shared" si="14"/>
        <v>7.4056011736726768E-2</v>
      </c>
      <c r="H128" s="126">
        <f t="shared" si="15"/>
        <v>5.1599374119431385E-2</v>
      </c>
      <c r="I128" s="126">
        <f t="shared" si="16"/>
        <v>8.3652125819567769E-2</v>
      </c>
      <c r="J128" s="126">
        <f t="shared" si="17"/>
        <v>-2.5072093891063161E-2</v>
      </c>
      <c r="M128" s="5"/>
      <c r="Y128">
        <f>IF($Z$1, D128, -0.2)</f>
        <v>-0.2</v>
      </c>
    </row>
    <row r="129" spans="2:25" x14ac:dyDescent="0.3">
      <c r="B129" s="126">
        <v>8.0083843566880586E-2</v>
      </c>
      <c r="C129" s="126">
        <f t="shared" si="10"/>
        <v>3.8824962010902853E-2</v>
      </c>
      <c r="D129" s="126">
        <f t="shared" si="11"/>
        <v>1.3416796805679894E-2</v>
      </c>
      <c r="E129" s="126">
        <f t="shared" si="12"/>
        <v>0.12392282220286686</v>
      </c>
      <c r="F129" s="126">
        <f t="shared" si="13"/>
        <v>0.12329424848434729</v>
      </c>
      <c r="G129" s="126">
        <f t="shared" si="14"/>
        <v>7.5309067812083574E-2</v>
      </c>
      <c r="H129" s="126">
        <f t="shared" si="15"/>
        <v>5.1947034173745146E-2</v>
      </c>
      <c r="I129" s="126">
        <f t="shared" si="16"/>
        <v>8.4858619321677597E-2</v>
      </c>
      <c r="J129" s="126">
        <f t="shared" si="17"/>
        <v>-2.5113440562385361E-2</v>
      </c>
      <c r="M129" s="5"/>
      <c r="Y129">
        <f>IF($Z$1, D129, -0.2)</f>
        <v>-0.2</v>
      </c>
    </row>
    <row r="130" spans="2:25" x14ac:dyDescent="0.3">
      <c r="B130" s="126">
        <v>8.1322733982708617E-2</v>
      </c>
      <c r="C130" s="126">
        <f t="shared" ref="C130:C193" si="18">IF(B130&lt;$N$1, ($A$7/0.2)*($O$1*SQRT(B130)+$P$1*B130+$Q$1*(B130^2)+$R$1*(B130^3)), ($A$7/0.2)*($S$1+$T$1*(1-B130)+$U$1*((1-B130)^2)+$V$1*((1-B130)^3)))</f>
        <v>3.9012179676287888E-2</v>
      </c>
      <c r="D130" s="126">
        <f t="shared" ref="D130:D193" si="19" xml:space="preserve"> IF(B130&lt;$A$8, ($A$10/6)*((B130^3)-3*$A$8*(B130^2)+($A$8^2)*(3-$A$8)*B130), (($A$10*($A$8^3))/6)*(1-B130))</f>
        <v>1.3569554806944394E-2</v>
      </c>
      <c r="E130" s="126">
        <f t="shared" ref="E130:E193" si="20">IF(B130&lt;$A$8, ($A$10/6)*(3*(B130^2)-6*$A$8*B130+($A$8^2)*(3-$A$8)), -($A$10*($A$8^3))/6)</f>
        <v>0.12268254335475386</v>
      </c>
      <c r="F130" s="126">
        <f t="shared" ref="F130:F193" si="21" xml:space="preserve"> ATAN(E130)</f>
        <v>0.12207254403014964</v>
      </c>
      <c r="G130" s="126">
        <f t="shared" ref="G130:G193" si="22">B130-C130*SIN(F130)</f>
        <v>7.6572236924099146E-2</v>
      </c>
      <c r="H130" s="126">
        <f t="shared" ref="H130:H193" si="23">D130+C130*COS(F130)</f>
        <v>5.2291421249448328E-2</v>
      </c>
      <c r="I130" s="126">
        <f t="shared" ref="I130:I193" si="24">B130+C130*SIN(F130)</f>
        <v>8.6073231041318088E-2</v>
      </c>
      <c r="J130" s="126">
        <f t="shared" ref="J130:J193" si="25">D130-C130*COS(F130)</f>
        <v>-2.5152311635559543E-2</v>
      </c>
      <c r="M130" s="5"/>
      <c r="Y130">
        <f>IF($Z$1, D130, -0.2)</f>
        <v>-0.2</v>
      </c>
    </row>
    <row r="131" spans="2:25" x14ac:dyDescent="0.3">
      <c r="B131" s="126">
        <v>8.2570727749226691E-2</v>
      </c>
      <c r="C131" s="126">
        <f t="shared" si="18"/>
        <v>3.9196464792325109E-2</v>
      </c>
      <c r="D131" s="126">
        <f t="shared" si="19"/>
        <v>1.3721884838005637E-2</v>
      </c>
      <c r="E131" s="126">
        <f t="shared" si="20"/>
        <v>0.12143815205952094</v>
      </c>
      <c r="F131" s="126">
        <f t="shared" si="21"/>
        <v>0.12084642056444926</v>
      </c>
      <c r="G131" s="126">
        <f t="shared" si="22"/>
        <v>7.7845496007625969E-2</v>
      </c>
      <c r="H131" s="126">
        <f t="shared" si="23"/>
        <v>5.2632487984245233E-2</v>
      </c>
      <c r="I131" s="126">
        <f t="shared" si="24"/>
        <v>8.7295959490827413E-2</v>
      </c>
      <c r="J131" s="126">
        <f t="shared" si="25"/>
        <v>-2.5188718308233961E-2</v>
      </c>
      <c r="M131" s="5"/>
      <c r="Y131">
        <f>IF($Z$1, D131, -0.2)</f>
        <v>-0.2</v>
      </c>
    </row>
    <row r="132" spans="2:25" x14ac:dyDescent="0.3">
      <c r="B132" s="126">
        <v>8.3827812499823295E-2</v>
      </c>
      <c r="C132" s="126">
        <f t="shared" si="18"/>
        <v>3.9377802971845052E-2</v>
      </c>
      <c r="D132" s="126">
        <f t="shared" si="19"/>
        <v>1.3873757692827926E-2</v>
      </c>
      <c r="E132" s="126">
        <f t="shared" si="20"/>
        <v>0.12018977041373864</v>
      </c>
      <c r="F132" s="126">
        <f t="shared" si="21"/>
        <v>0.11961599832850223</v>
      </c>
      <c r="G132" s="126">
        <f t="shared" si="22"/>
        <v>7.9128821535585203E-2</v>
      </c>
      <c r="H132" s="126">
        <f t="shared" si="23"/>
        <v>5.2970187847094674E-2</v>
      </c>
      <c r="I132" s="126">
        <f t="shared" si="24"/>
        <v>8.8526803464061388E-2</v>
      </c>
      <c r="J132" s="126">
        <f t="shared" si="25"/>
        <v>-2.5222672461438819E-2</v>
      </c>
      <c r="M132" s="5"/>
      <c r="Y132">
        <f>IF($Z$1, D132, -0.2)</f>
        <v>-0.2</v>
      </c>
    </row>
    <row r="133" spans="2:25" x14ac:dyDescent="0.3">
      <c r="B133" s="126">
        <v>8.5093975777802311E-2</v>
      </c>
      <c r="C133" s="126">
        <f t="shared" si="18"/>
        <v>3.9556180606823546E-2</v>
      </c>
      <c r="D133" s="126">
        <f t="shared" si="19"/>
        <v>1.4025144245381382E-2</v>
      </c>
      <c r="E133" s="126">
        <f t="shared" si="20"/>
        <v>0.11893752120225565</v>
      </c>
      <c r="F133" s="126">
        <f t="shared" si="21"/>
        <v>0.11838139844911534</v>
      </c>
      <c r="G133" s="126">
        <f t="shared" si="22"/>
        <v>8.0422189523884441E-2</v>
      </c>
      <c r="H133" s="126">
        <f t="shared" si="23"/>
        <v>5.3304475163783588E-2</v>
      </c>
      <c r="I133" s="126">
        <f t="shared" si="24"/>
        <v>8.9765762031720181E-2</v>
      </c>
      <c r="J133" s="126">
        <f t="shared" si="25"/>
        <v>-2.5254186673020821E-2</v>
      </c>
      <c r="M133" s="5"/>
      <c r="Y133">
        <f>IF($Z$1, D133, -0.2)</f>
        <v>-0.2</v>
      </c>
    </row>
    <row r="134" spans="2:25" x14ac:dyDescent="0.3">
      <c r="B134" s="126">
        <v>8.6369205036507135E-2</v>
      </c>
      <c r="C134" s="126">
        <f t="shared" si="18"/>
        <v>3.973158488557807E-2</v>
      </c>
      <c r="D134" s="126">
        <f t="shared" si="19"/>
        <v>1.4176015455723608E-2</v>
      </c>
      <c r="E134" s="126">
        <f t="shared" si="20"/>
        <v>0.11768152789260491</v>
      </c>
      <c r="F134" s="126">
        <f t="shared" si="21"/>
        <v>0.11714274293244331</v>
      </c>
      <c r="G134" s="126">
        <f t="shared" si="22"/>
        <v>8.172557553660649E-2</v>
      </c>
      <c r="H134" s="126">
        <f t="shared" si="23"/>
        <v>5.3635305142533077E-2</v>
      </c>
      <c r="I134" s="126">
        <f t="shared" si="24"/>
        <v>9.101283453640778E-2</v>
      </c>
      <c r="J134" s="126">
        <f t="shared" si="25"/>
        <v>-2.5283274231085864E-2</v>
      </c>
      <c r="M134" s="5"/>
      <c r="Y134">
        <f>IF($Z$1, D134, -0.2)</f>
        <v>-0.2</v>
      </c>
    </row>
    <row r="135" spans="2:25" x14ac:dyDescent="0.3">
      <c r="B135" s="126">
        <v>8.7653487639444361E-2</v>
      </c>
      <c r="C135" s="126">
        <f t="shared" si="18"/>
        <v>3.9904003809979723E-2</v>
      </c>
      <c r="D135" s="126">
        <f t="shared" si="19"/>
        <v>1.4326342376092552E-2</v>
      </c>
      <c r="E135" s="126">
        <f t="shared" si="20"/>
        <v>0.11642191462937901</v>
      </c>
      <c r="F135" s="126">
        <f t="shared" si="21"/>
        <v>0.11590015465761318</v>
      </c>
      <c r="G135" s="126">
        <f t="shared" si="22"/>
        <v>8.3038954691465827E-2</v>
      </c>
      <c r="H135" s="126">
        <f t="shared" si="23"/>
        <v>5.396263389963063E-2</v>
      </c>
      <c r="I135" s="126">
        <f t="shared" si="24"/>
        <v>9.2268020587422894E-2</v>
      </c>
      <c r="J135" s="126">
        <f t="shared" si="25"/>
        <v>-2.5309949147445526E-2</v>
      </c>
      <c r="M135" s="5"/>
      <c r="Y135">
        <f>IF($Z$1, D135, -0.2)</f>
        <v>-0.2</v>
      </c>
    </row>
    <row r="136" spans="2:25" x14ac:dyDescent="0.3">
      <c r="B136" s="126">
        <v>8.8946810860409342E-2</v>
      </c>
      <c r="C136" s="126">
        <f t="shared" si="18"/>
        <v>4.0073426212678773E-2</v>
      </c>
      <c r="D136" s="126">
        <f t="shared" si="19"/>
        <v>1.4476096157010081E-2</v>
      </c>
      <c r="E136" s="126">
        <f t="shared" si="20"/>
        <v>0.11515880622857198</v>
      </c>
      <c r="F136" s="126">
        <f t="shared" si="21"/>
        <v>0.11465375737017425</v>
      </c>
      <c r="G136" s="126">
        <f t="shared" si="22"/>
        <v>8.4362301665533726E-2</v>
      </c>
      <c r="H136" s="126">
        <f t="shared" si="23"/>
        <v>5.4286418485083622E-2</v>
      </c>
      <c r="I136" s="126">
        <f t="shared" si="24"/>
        <v>9.3531320055284958E-2</v>
      </c>
      <c r="J136" s="126">
        <f t="shared" si="25"/>
        <v>-2.5334226171063463E-2</v>
      </c>
      <c r="M136" s="5"/>
      <c r="Y136">
        <f>IF($Z$1, D136, -0.2)</f>
        <v>-0.2</v>
      </c>
    </row>
    <row r="137" spans="2:25" x14ac:dyDescent="0.3">
      <c r="B137" s="126">
        <v>9.0249161883612206E-2</v>
      </c>
      <c r="C137" s="126">
        <f t="shared" si="18"/>
        <v>4.0239841774341215E-2</v>
      </c>
      <c r="D137" s="126">
        <f t="shared" si="19"/>
        <v>1.4625248053395434E-2</v>
      </c>
      <c r="E137" s="126">
        <f t="shared" si="20"/>
        <v>0.11389232817189028</v>
      </c>
      <c r="F137" s="126">
        <f t="shared" si="21"/>
        <v>0.11340367567537624</v>
      </c>
      <c r="G137" s="126">
        <f t="shared" si="22"/>
        <v>8.5695590701229368E-2</v>
      </c>
      <c r="H137" s="126">
        <f t="shared" si="23"/>
        <v>5.4606616908288191E-2</v>
      </c>
      <c r="I137" s="126">
        <f t="shared" si="24"/>
        <v>9.4802733065995043E-2</v>
      </c>
      <c r="J137" s="126">
        <f t="shared" si="25"/>
        <v>-2.5356120801497323E-2</v>
      </c>
      <c r="M137" s="5"/>
      <c r="Y137">
        <f>IF($Z$1, D137, -0.2)</f>
        <v>-0.2</v>
      </c>
    </row>
    <row r="138" spans="2:25" x14ac:dyDescent="0.3">
      <c r="B138" s="126">
        <v>9.1560527803804637E-2</v>
      </c>
      <c r="C138" s="126">
        <f t="shared" si="18"/>
        <v>4.0403241040894239E-2</v>
      </c>
      <c r="D138" s="126">
        <f t="shared" si="19"/>
        <v>1.4773769430687851E-2</v>
      </c>
      <c r="E138" s="126">
        <f t="shared" si="20"/>
        <v>0.11262260660103188</v>
      </c>
      <c r="F138" s="126">
        <f t="shared" si="21"/>
        <v>0.11215003503127617</v>
      </c>
      <c r="G138" s="126">
        <f t="shared" si="22"/>
        <v>8.703879561257559E-2</v>
      </c>
      <c r="H138" s="126">
        <f t="shared" si="23"/>
        <v>5.4923188163708177E-2</v>
      </c>
      <c r="I138" s="126">
        <f t="shared" si="24"/>
        <v>9.6082259995033684E-2</v>
      </c>
      <c r="J138" s="126">
        <f t="shared" si="25"/>
        <v>-2.5375649302332472E-2</v>
      </c>
      <c r="M138" s="5"/>
      <c r="Y138">
        <f>IF($Z$1, D138, -0.2)</f>
        <v>-0.2</v>
      </c>
    </row>
    <row r="139" spans="2:25" x14ac:dyDescent="0.3">
      <c r="B139" s="126">
        <v>9.2880895626408333E-2</v>
      </c>
      <c r="C139" s="126">
        <f t="shared" si="18"/>
        <v>4.0563615440778016E-2</v>
      </c>
      <c r="D139" s="126">
        <f t="shared" si="19"/>
        <v>1.492163177097775E-2</v>
      </c>
      <c r="E139" s="126">
        <f t="shared" si="20"/>
        <v>0.1113497683119333</v>
      </c>
      <c r="F139" s="126">
        <f t="shared" si="21"/>
        <v>0.11089296174167416</v>
      </c>
      <c r="G139" s="126">
        <f t="shared" si="22"/>
        <v>8.8391889791718331E-2</v>
      </c>
      <c r="H139" s="126">
        <f t="shared" si="23"/>
        <v>5.5236092256558407E-2</v>
      </c>
      <c r="I139" s="126">
        <f t="shared" si="24"/>
        <v>9.7369901461098335E-2</v>
      </c>
      <c r="J139" s="126">
        <f t="shared" si="25"/>
        <v>-2.5392828714602904E-2</v>
      </c>
      <c r="M139" s="5"/>
      <c r="Y139">
        <f>IF($Z$1, D139, -0.2)</f>
        <v>-0.2</v>
      </c>
    </row>
    <row r="140" spans="2:25" x14ac:dyDescent="0.3">
      <c r="B140" s="126">
        <v>9.4210252267643013E-2</v>
      </c>
      <c r="C140" s="126">
        <f t="shared" si="18"/>
        <v>4.072095730220171E-2</v>
      </c>
      <c r="D140" s="126">
        <f t="shared" si="19"/>
        <v>1.5068806679145513E-2</v>
      </c>
      <c r="E140" s="126">
        <f t="shared" si="20"/>
        <v>0.11007394074898701</v>
      </c>
      <c r="F140" s="126">
        <f t="shared" si="21"/>
        <v>0.10963258294888195</v>
      </c>
      <c r="G140" s="126">
        <f t="shared" si="22"/>
        <v>8.975484621570548E-2</v>
      </c>
      <c r="H140" s="126">
        <f t="shared" si="23"/>
        <v>5.5545290228486768E-2</v>
      </c>
      <c r="I140" s="126">
        <f t="shared" si="24"/>
        <v>9.8665658319580546E-2</v>
      </c>
      <c r="J140" s="126">
        <f t="shared" si="25"/>
        <v>-2.5407676870195739E-2</v>
      </c>
      <c r="M140" s="5"/>
      <c r="Y140">
        <f>IF($Z$1, D140, -0.2)</f>
        <v>-0.2</v>
      </c>
    </row>
    <row r="141" spans="2:25" x14ac:dyDescent="0.3">
      <c r="B141" s="126">
        <v>9.5548584554656757E-2</v>
      </c>
      <c r="C141" s="126">
        <f t="shared" si="18"/>
        <v>4.0875259870401102E-2</v>
      </c>
      <c r="D141" s="126">
        <f t="shared" si="19"/>
        <v>1.5215265889007521E-2</v>
      </c>
      <c r="E141" s="126">
        <f t="shared" si="20"/>
        <v>0.10879525199922611</v>
      </c>
      <c r="F141" s="126">
        <f t="shared" si="21"/>
        <v>0.10836902662632207</v>
      </c>
      <c r="G141" s="126">
        <f t="shared" si="22"/>
        <v>9.1127637453525603E-2</v>
      </c>
      <c r="H141" s="126">
        <f t="shared" si="23"/>
        <v>5.5850744183249645E-2</v>
      </c>
      <c r="I141" s="126">
        <f t="shared" si="24"/>
        <v>9.996953165578791E-2</v>
      </c>
      <c r="J141" s="126">
        <f t="shared" si="25"/>
        <v>-2.5420212405234607E-2</v>
      </c>
      <c r="M141" s="5"/>
      <c r="Y141">
        <f>IF($Z$1, D141, -0.2)</f>
        <v>-0.2</v>
      </c>
    </row>
    <row r="142" spans="2:25" x14ac:dyDescent="0.3">
      <c r="B142" s="126">
        <v>9.6895879225656123E-2</v>
      </c>
      <c r="C142" s="126">
        <f t="shared" si="18"/>
        <v>4.1026517324895803E-2</v>
      </c>
      <c r="D142" s="126">
        <f t="shared" si="19"/>
        <v>1.536098126946831E-2</v>
      </c>
      <c r="E142" s="126">
        <f t="shared" si="20"/>
        <v>0.10751383078647986</v>
      </c>
      <c r="F142" s="126">
        <f t="shared" si="21"/>
        <v>0.10710242157096267</v>
      </c>
      <c r="G142" s="126">
        <f t="shared" si="22"/>
        <v>9.2510235673401539E-2</v>
      </c>
      <c r="H142" s="126">
        <f t="shared" si="23"/>
        <v>5.6152417312374955E-2</v>
      </c>
      <c r="I142" s="126">
        <f t="shared" si="24"/>
        <v>0.10128152277791071</v>
      </c>
      <c r="J142" s="126">
        <f t="shared" si="25"/>
        <v>-2.5430454773438332E-2</v>
      </c>
      <c r="M142" s="5"/>
      <c r="Y142">
        <f>IF($Z$1, D142, -0.2)</f>
        <v>-0.2</v>
      </c>
    </row>
    <row r="143" spans="2:25" x14ac:dyDescent="0.3">
      <c r="B143" s="126">
        <v>9.8252122930037711E-2</v>
      </c>
      <c r="C143" s="126">
        <f t="shared" si="18"/>
        <v>4.1174724796743258E-2</v>
      </c>
      <c r="D143" s="126">
        <f t="shared" si="19"/>
        <v>1.550592483067843E-2</v>
      </c>
      <c r="E143" s="126">
        <f t="shared" si="20"/>
        <v>0.10622980646549786</v>
      </c>
      <c r="F143" s="126">
        <f t="shared" si="21"/>
        <v>0.10583289739558702</v>
      </c>
      <c r="G143" s="126">
        <f t="shared" si="22"/>
        <v>9.3902612650337544E-2</v>
      </c>
      <c r="H143" s="126">
        <f t="shared" si="23"/>
        <v>5.6450273920807176E-2</v>
      </c>
      <c r="I143" s="126">
        <f t="shared" si="24"/>
        <v>0.10260163320973788</v>
      </c>
      <c r="J143" s="126">
        <f t="shared" si="25"/>
        <v>-2.5438424259450313E-2</v>
      </c>
      <c r="M143" s="5"/>
      <c r="Y143">
        <f>IF($Z$1, D143, -0.2)</f>
        <v>-0.2</v>
      </c>
    </row>
    <row r="144" spans="2:25" x14ac:dyDescent="0.3">
      <c r="B144" s="126">
        <v>9.9617302228520166E-2</v>
      </c>
      <c r="C144" s="126">
        <f t="shared" si="18"/>
        <v>4.1319878385787621E-2</v>
      </c>
      <c r="D144" s="126">
        <f t="shared" si="19"/>
        <v>1.5650068730197114E-2</v>
      </c>
      <c r="E144" s="126">
        <f t="shared" si="20"/>
        <v>0.10494330901604483</v>
      </c>
      <c r="F144" s="126">
        <f t="shared" si="21"/>
        <v>0.10456058452090136</v>
      </c>
      <c r="G144" s="126">
        <f t="shared" si="22"/>
        <v>9.5304739773916028E-2</v>
      </c>
      <c r="H144" s="126">
        <f t="shared" si="23"/>
        <v>5.6744279452529009E-2</v>
      </c>
      <c r="I144" s="126">
        <f t="shared" si="24"/>
        <v>0.1039298646831243</v>
      </c>
      <c r="J144" s="126">
        <f t="shared" si="25"/>
        <v>-2.5444141992134781E-2</v>
      </c>
      <c r="M144" s="5"/>
      <c r="Y144">
        <f>IF($Z$1, D144, -0.2)</f>
        <v>-0.2</v>
      </c>
    </row>
    <row r="145" spans="2:25" x14ac:dyDescent="0.3">
      <c r="B145" s="126">
        <v>0.10099140359327796</v>
      </c>
      <c r="C145" s="126">
        <f t="shared" si="18"/>
        <v>4.1461975177900894E-2</v>
      </c>
      <c r="D145" s="126">
        <f t="shared" si="19"/>
        <v>1.5793385279159206E-2</v>
      </c>
      <c r="E145" s="126">
        <f t="shared" si="20"/>
        <v>0.10365446903696415</v>
      </c>
      <c r="F145" s="126">
        <f t="shared" si="21"/>
        <v>0.10328561416748078</v>
      </c>
      <c r="G145" s="126">
        <f t="shared" si="22"/>
        <v>9.6716588056341909E-2</v>
      </c>
      <c r="H145" s="126">
        <f t="shared" si="23"/>
        <v>5.7034400516154035E-2</v>
      </c>
      <c r="I145" s="126">
        <f t="shared" si="24"/>
        <v>0.10526621913021401</v>
      </c>
      <c r="J145" s="126">
        <f t="shared" si="25"/>
        <v>-2.5447629957835626E-2</v>
      </c>
      <c r="M145" s="5"/>
      <c r="Y145">
        <f>IF($Z$1, D145, -0.2)</f>
        <v>-0.2</v>
      </c>
    </row>
    <row r="146" spans="2:25" x14ac:dyDescent="0.3">
      <c r="B146" s="126">
        <v>0.10237441340807496</v>
      </c>
      <c r="C146" s="126">
        <f t="shared" si="18"/>
        <v>4.1601013262213965E-2</v>
      </c>
      <c r="D146" s="126">
        <f t="shared" si="19"/>
        <v>1.5935846948445354E-2</v>
      </c>
      <c r="E146" s="126">
        <f t="shared" si="20"/>
        <v>0.10236341774021322</v>
      </c>
      <c r="F146" s="126">
        <f t="shared" si="21"/>
        <v>0.10200811834755802</v>
      </c>
      <c r="G146" s="126">
        <f t="shared" si="22"/>
        <v>9.8138128140729128E-2</v>
      </c>
      <c r="H146" s="126">
        <f t="shared" si="23"/>
        <v>5.7320604910484602E-2</v>
      </c>
      <c r="I146" s="126">
        <f t="shared" si="24"/>
        <v>0.10661069867542079</v>
      </c>
      <c r="J146" s="126">
        <f t="shared" si="25"/>
        <v>-2.5448911013593895E-2</v>
      </c>
      <c r="M146" s="5"/>
      <c r="Y146">
        <f>IF($Z$1, D146, -0.2)</f>
        <v>-0.2</v>
      </c>
    </row>
    <row r="147" spans="2:25" x14ac:dyDescent="0.3">
      <c r="B147" s="126">
        <v>0.1037663179683993</v>
      </c>
      <c r="C147" s="126">
        <f t="shared" si="18"/>
        <v>4.1736991748335173E-2</v>
      </c>
      <c r="D147" s="126">
        <f t="shared" si="19"/>
        <v>1.6077426374854986E-2</v>
      </c>
      <c r="E147" s="126">
        <f t="shared" si="20"/>
        <v>0.10107028694486848</v>
      </c>
      <c r="F147" s="126">
        <f t="shared" si="21"/>
        <v>0.10072822985665487</v>
      </c>
      <c r="G147" s="126">
        <f t="shared" si="22"/>
        <v>9.9569330309626849E-2</v>
      </c>
      <c r="H147" s="126">
        <f t="shared" si="23"/>
        <v>5.7602861650029528E-2</v>
      </c>
      <c r="I147" s="126">
        <f t="shared" si="24"/>
        <v>0.10796330562717175</v>
      </c>
      <c r="J147" s="126">
        <f t="shared" si="25"/>
        <v>-2.5448008900319556E-2</v>
      </c>
      <c r="M147" s="5"/>
      <c r="Y147">
        <f>IF($Z$1, D147, -0.2)</f>
        <v>-0.2</v>
      </c>
    </row>
    <row r="148" spans="2:25" x14ac:dyDescent="0.3">
      <c r="B148" s="126">
        <v>0.10516710348159974</v>
      </c>
      <c r="C148" s="126">
        <f t="shared" si="18"/>
        <v>4.1869910783554218E-2</v>
      </c>
      <c r="D148" s="126">
        <f t="shared" si="19"/>
        <v>1.6218096367281269E-2</v>
      </c>
      <c r="E148" s="126">
        <f t="shared" si="20"/>
        <v>9.9775209071101115E-2</v>
      </c>
      <c r="F148" s="126">
        <f t="shared" si="21"/>
        <v>9.9446082265059244E-2</v>
      </c>
      <c r="G148" s="126">
        <f t="shared" si="22"/>
        <v>0.10101016449378183</v>
      </c>
      <c r="H148" s="126">
        <f t="shared" si="23"/>
        <v>5.7881140990476407E-2</v>
      </c>
      <c r="I148" s="126">
        <f t="shared" si="24"/>
        <v>0.10932404246941765</v>
      </c>
      <c r="J148" s="126">
        <f t="shared" si="25"/>
        <v>-2.5444948255913868E-2</v>
      </c>
      <c r="M148" s="5"/>
      <c r="Y148">
        <f>IF($Z$1, D148, -0.2)</f>
        <v>-0.2</v>
      </c>
    </row>
    <row r="149" spans="2:25" x14ac:dyDescent="0.3">
      <c r="B149" s="126">
        <v>0.10657675606702155</v>
      </c>
      <c r="C149" s="126">
        <f t="shared" si="18"/>
        <v>4.1999771570028682E-2</v>
      </c>
      <c r="D149" s="126">
        <f t="shared" si="19"/>
        <v>1.6357829912887173E-2</v>
      </c>
      <c r="E149" s="126">
        <f t="shared" si="20"/>
        <v>9.8478317134124679E-2</v>
      </c>
      <c r="F149" s="126">
        <f t="shared" si="21"/>
        <v>9.8161809909151271E-2</v>
      </c>
      <c r="G149" s="126">
        <f t="shared" si="22"/>
        <v>0.1024606002811304</v>
      </c>
      <c r="H149" s="126">
        <f t="shared" si="23"/>
        <v>5.8155414454112327E-2</v>
      </c>
      <c r="I149" s="126">
        <f t="shared" si="24"/>
        <v>0.1106929118529127</v>
      </c>
      <c r="J149" s="126">
        <f t="shared" si="25"/>
        <v>-2.5439754628337981E-2</v>
      </c>
      <c r="M149" s="5"/>
      <c r="Y149">
        <f>IF($Z$1, D149, -0.2)</f>
        <v>-0.2</v>
      </c>
    </row>
    <row r="150" spans="2:25" x14ac:dyDescent="0.3">
      <c r="B150" s="126">
        <v>0.10799526175614471</v>
      </c>
      <c r="C150" s="126">
        <f t="shared" si="18"/>
        <v>4.2126576381951109E-2</v>
      </c>
      <c r="D150" s="126">
        <f t="shared" si="19"/>
        <v>1.6496600183282223E-2</v>
      </c>
      <c r="E150" s="126">
        <f t="shared" si="20"/>
        <v>9.7179744738112722E-2</v>
      </c>
      <c r="F150" s="126">
        <f t="shared" si="21"/>
        <v>9.6875547882578614E-2</v>
      </c>
      <c r="G150" s="126">
        <f t="shared" si="22"/>
        <v>0.10392060692601851</v>
      </c>
      <c r="H150" s="126">
        <f t="shared" si="23"/>
        <v>5.8425654855188316E-2</v>
      </c>
      <c r="I150" s="126">
        <f t="shared" si="24"/>
        <v>0.11206991658627091</v>
      </c>
      <c r="J150" s="126">
        <f t="shared" si="25"/>
        <v>-2.5432454488623871E-2</v>
      </c>
      <c r="M150" s="5"/>
      <c r="Y150">
        <f>IF($Z$1, D150, -0.2)</f>
        <v>-0.2</v>
      </c>
    </row>
    <row r="151" spans="2:25" x14ac:dyDescent="0.3">
      <c r="B151" s="126">
        <v>0.10942260649272206</v>
      </c>
      <c r="C151" s="126">
        <f t="shared" si="18"/>
        <v>4.2250328582694112E-2</v>
      </c>
      <c r="D151" s="126">
        <f t="shared" si="19"/>
        <v>1.6634380540698861E-2</v>
      </c>
      <c r="E151" s="126">
        <f t="shared" si="20"/>
        <v>9.5879626070089166E-2</v>
      </c>
      <c r="F151" s="126">
        <f t="shared" si="21"/>
        <v>9.5587432027286354E-2</v>
      </c>
      <c r="G151" s="126">
        <f t="shared" si="22"/>
        <v>0.10539015335864273</v>
      </c>
      <c r="H151" s="126">
        <f t="shared" si="23"/>
        <v>5.8691836325221458E-2</v>
      </c>
      <c r="I151" s="126">
        <f t="shared" si="24"/>
        <v>0.1134550596268014</v>
      </c>
      <c r="J151" s="126">
        <f t="shared" si="25"/>
        <v>-2.5423075243823732E-2</v>
      </c>
      <c r="M151" s="5"/>
      <c r="Y151">
        <f>IF($Z$1, D151, -0.2)</f>
        <v>-0.2</v>
      </c>
    </row>
    <row r="152" spans="2:25" x14ac:dyDescent="0.3">
      <c r="B152" s="126">
        <v>0.11085877613291861</v>
      </c>
      <c r="C152" s="126">
        <f t="shared" si="18"/>
        <v>4.2371032641931053E-2</v>
      </c>
      <c r="D152" s="126">
        <f t="shared" si="19"/>
        <v>1.6771144544167928E-2</v>
      </c>
      <c r="E152" s="126">
        <f t="shared" si="20"/>
        <v>9.4578095893789516E-2</v>
      </c>
      <c r="F152" s="126">
        <f t="shared" si="21"/>
        <v>9.4297598924401607E-2</v>
      </c>
      <c r="G152" s="126">
        <f t="shared" si="22"/>
        <v>0.10686920819470828</v>
      </c>
      <c r="H152" s="126">
        <f t="shared" si="23"/>
        <v>5.8953934338229569E-2</v>
      </c>
      <c r="I152" s="126">
        <f t="shared" si="24"/>
        <v>0.11484834407112894</v>
      </c>
      <c r="J152" s="126">
        <f t="shared" si="25"/>
        <v>-2.5411645249893713E-2</v>
      </c>
      <c r="M152" s="5"/>
      <c r="Y152">
        <f>IF($Z$1, D152, -0.2)</f>
        <v>-0.2</v>
      </c>
    </row>
    <row r="153" spans="2:25" x14ac:dyDescent="0.3">
      <c r="B153" s="126">
        <v>0.11230375644545154</v>
      </c>
      <c r="C153" s="126">
        <f t="shared" si="18"/>
        <v>4.2488694152730128E-2</v>
      </c>
      <c r="D153" s="126">
        <f t="shared" si="19"/>
        <v>1.6906865955692397E-2</v>
      </c>
      <c r="E153" s="126">
        <f t="shared" si="20"/>
        <v>9.3275289543495052E-2</v>
      </c>
      <c r="F153" s="126">
        <f t="shared" si="21"/>
        <v>9.3006185884977999E-2</v>
      </c>
      <c r="G153" s="126">
        <f t="shared" si="22"/>
        <v>0.10835773974529846</v>
      </c>
      <c r="H153" s="126">
        <f t="shared" si="23"/>
        <v>5.9211925735893109E-2</v>
      </c>
      <c r="I153" s="126">
        <f t="shared" si="24"/>
        <v>0.11624977314560463</v>
      </c>
      <c r="J153" s="126">
        <f t="shared" si="25"/>
        <v>-2.5398193824508319E-2</v>
      </c>
      <c r="M153" s="5"/>
      <c r="Y153">
        <f>IF($Z$1, D153, -0.2)</f>
        <v>-0.2</v>
      </c>
    </row>
    <row r="154" spans="2:25" x14ac:dyDescent="0.3">
      <c r="B154" s="126">
        <v>0.11375753311173153</v>
      </c>
      <c r="C154" s="126">
        <f t="shared" si="18"/>
        <v>4.2603319848619238E-2</v>
      </c>
      <c r="D154" s="126">
        <f t="shared" si="19"/>
        <v>1.7041518746418727E-2</v>
      </c>
      <c r="E154" s="126">
        <f t="shared" si="20"/>
        <v>9.1971342917838136E-2</v>
      </c>
      <c r="F154" s="126">
        <f t="shared" si="21"/>
        <v>9.1713330940600468E-2</v>
      </c>
      <c r="G154" s="126">
        <f t="shared" si="22"/>
        <v>0.10985571602695052</v>
      </c>
      <c r="H154" s="126">
        <f t="shared" si="23"/>
        <v>5.9465788752638818E-2</v>
      </c>
      <c r="I154" s="126">
        <f t="shared" si="24"/>
        <v>0.11765935019651255</v>
      </c>
      <c r="J154" s="126">
        <f t="shared" si="25"/>
        <v>-2.538275125980136E-2</v>
      </c>
      <c r="M154" s="5"/>
      <c r="Y154">
        <f>IF($Z$1, D154, -0.2)</f>
        <v>-0.2</v>
      </c>
    </row>
    <row r="155" spans="2:25" x14ac:dyDescent="0.3">
      <c r="B155" s="126">
        <v>0.11522009172600445</v>
      </c>
      <c r="C155" s="126">
        <f t="shared" si="18"/>
        <v>4.2714917620619339E-2</v>
      </c>
      <c r="D155" s="126">
        <f t="shared" si="19"/>
        <v>1.717507710280505E-2</v>
      </c>
      <c r="E155" s="126">
        <f t="shared" si="20"/>
        <v>9.0666392473581173E-2</v>
      </c>
      <c r="F155" s="126">
        <f t="shared" si="21"/>
        <v>9.0419172833855921E-2</v>
      </c>
      <c r="G155" s="126">
        <f t="shared" si="22"/>
        <v>0.11136310477193141</v>
      </c>
      <c r="H155" s="126">
        <f t="shared" si="23"/>
        <v>5.9715503040639842E-2</v>
      </c>
      <c r="I155" s="126">
        <f t="shared" si="24"/>
        <v>0.11907707868007748</v>
      </c>
      <c r="J155" s="126">
        <f t="shared" si="25"/>
        <v>-2.5365348835029739E-2</v>
      </c>
      <c r="M155" s="5"/>
      <c r="Y155">
        <f>IF($Z$1, D155, -0.2)</f>
        <v>-0.2</v>
      </c>
    </row>
    <row r="156" spans="2:25" x14ac:dyDescent="0.3">
      <c r="B156" s="126">
        <v>0.11669141779549419</v>
      </c>
      <c r="C156" s="126">
        <f t="shared" si="18"/>
        <v>4.2823496534243909E-2</v>
      </c>
      <c r="D156" s="126">
        <f t="shared" si="19"/>
        <v>1.7307515432785383E-2</v>
      </c>
      <c r="E156" s="126">
        <f t="shared" si="20"/>
        <v>8.9360575219367605E-2</v>
      </c>
      <c r="F156" s="126">
        <f t="shared" si="21"/>
        <v>8.9123851008670915E-2</v>
      </c>
      <c r="G156" s="126">
        <f t="shared" si="22"/>
        <v>0.11287987343870806</v>
      </c>
      <c r="H156" s="126">
        <f t="shared" si="23"/>
        <v>5.9961049694727292E-2</v>
      </c>
      <c r="I156" s="126">
        <f t="shared" si="24"/>
        <v>0.12050296215228032</v>
      </c>
      <c r="J156" s="126">
        <f t="shared" si="25"/>
        <v>-2.5346018829156523E-2</v>
      </c>
      <c r="M156" s="5"/>
      <c r="Y156">
        <f>IF($Z$1, D156, -0.2)</f>
        <v>-0.2</v>
      </c>
    </row>
    <row r="157" spans="2:25" x14ac:dyDescent="0.3">
      <c r="B157" s="126">
        <v>0.11817149674054617</v>
      </c>
      <c r="C157" s="126">
        <f t="shared" si="18"/>
        <v>4.2929066846462229E-2</v>
      </c>
      <c r="D157" s="126">
        <f t="shared" si="19"/>
        <v>1.743880837192929E-2</v>
      </c>
      <c r="E157" s="126">
        <f t="shared" si="20"/>
        <v>8.8054028709446425E-2</v>
      </c>
      <c r="F157" s="126">
        <f t="shared" si="21"/>
        <v>8.7827505600520869E-2</v>
      </c>
      <c r="G157" s="126">
        <f t="shared" si="22"/>
        <v>0.11440598922260539</v>
      </c>
      <c r="H157" s="126">
        <f t="shared" si="23"/>
        <v>6.0202411277207907E-2</v>
      </c>
      <c r="I157" s="126">
        <f t="shared" si="24"/>
        <v>0.12193700425848694</v>
      </c>
      <c r="J157" s="126">
        <f t="shared" si="25"/>
        <v>-2.5324794533349331E-2</v>
      </c>
      <c r="M157" s="5"/>
      <c r="Y157">
        <f>IF($Z$1, D157, -0.2)</f>
        <v>-0.2</v>
      </c>
    </row>
    <row r="158" spans="2:25" x14ac:dyDescent="0.3">
      <c r="B158" s="126">
        <v>0.11966031389477194</v>
      </c>
      <c r="C158" s="126">
        <f t="shared" si="18"/>
        <v>4.3031640022623795E-2</v>
      </c>
      <c r="D158" s="126">
        <f t="shared" si="19"/>
        <v>1.7568930789596131E-2</v>
      </c>
      <c r="E158" s="126">
        <f t="shared" si="20"/>
        <v>8.6746891037369753E-2</v>
      </c>
      <c r="F158" s="126">
        <f t="shared" si="21"/>
        <v>8.6530277426513452E-2</v>
      </c>
      <c r="G158" s="126">
        <f t="shared" si="22"/>
        <v>0.11594141906664632</v>
      </c>
      <c r="H158" s="126">
        <f t="shared" si="23"/>
        <v>6.0439571842582709E-2</v>
      </c>
      <c r="I158" s="126">
        <f t="shared" si="24"/>
        <v>0.12337920872289757</v>
      </c>
      <c r="J158" s="126">
        <f t="shared" si="25"/>
        <v>-2.530171026339045E-2</v>
      </c>
      <c r="M158" s="5"/>
      <c r="Y158">
        <f>IF($Z$1, D158, -0.2)</f>
        <v>-0.2</v>
      </c>
    </row>
    <row r="159" spans="2:25" x14ac:dyDescent="0.3">
      <c r="B159" s="126">
        <v>0.12115785450519423</v>
      </c>
      <c r="C159" s="126">
        <f t="shared" si="18"/>
        <v>4.3131228753341785E-2</v>
      </c>
      <c r="D159" s="126">
        <f t="shared" si="19"/>
        <v>1.7697857795083198E-2</v>
      </c>
      <c r="E159" s="126">
        <f t="shared" si="20"/>
        <v>8.5439300829664125E-2</v>
      </c>
      <c r="F159" s="126">
        <f t="shared" si="21"/>
        <v>8.5232307975349933E-2</v>
      </c>
      <c r="G159" s="126">
        <f t="shared" si="22"/>
        <v>0.11748612967256593</v>
      </c>
      <c r="H159" s="126">
        <f t="shared" si="23"/>
        <v>6.0672516962161624E-2</v>
      </c>
      <c r="I159" s="126">
        <f t="shared" si="24"/>
        <v>0.12482957933782253</v>
      </c>
      <c r="J159" s="126">
        <f t="shared" si="25"/>
        <v>-2.5276801371995228E-2</v>
      </c>
      <c r="M159" s="5"/>
      <c r="Y159">
        <f>IF($Z$1, D159, -0.2)</f>
        <v>-0.2</v>
      </c>
    </row>
    <row r="160" spans="2:25" x14ac:dyDescent="0.3">
      <c r="B160" s="126">
        <v>0.12266410373239378</v>
      </c>
      <c r="C160" s="126">
        <f t="shared" si="18"/>
        <v>4.3227846971332945E-2</v>
      </c>
      <c r="D160" s="126">
        <f t="shared" si="19"/>
        <v>1.7825564743767036E-2</v>
      </c>
      <c r="E160" s="126">
        <f t="shared" si="20"/>
        <v>8.4131397239475131E-2</v>
      </c>
      <c r="F160" s="126">
        <f t="shared" si="21"/>
        <v>8.3933739397167514E-2</v>
      </c>
      <c r="G160" s="126">
        <f t="shared" si="22"/>
        <v>0.11904008751199463</v>
      </c>
      <c r="H160" s="126">
        <f t="shared" si="23"/>
        <v>6.0901233748569074E-2</v>
      </c>
      <c r="I160" s="126">
        <f t="shared" si="24"/>
        <v>0.12628811995279293</v>
      </c>
      <c r="J160" s="126">
        <f t="shared" si="25"/>
        <v>-2.5250104261035002E-2</v>
      </c>
      <c r="M160" s="5"/>
      <c r="Y160">
        <f>IF($Z$1, D160, -0.2)</f>
        <v>-0.2</v>
      </c>
    </row>
    <row r="161" spans="2:25" x14ac:dyDescent="0.3">
      <c r="B161" s="126">
        <v>0.12417904665065549</v>
      </c>
      <c r="C161" s="126">
        <f t="shared" si="18"/>
        <v>4.3321509868211788E-2</v>
      </c>
      <c r="D161" s="126">
        <f t="shared" si="19"/>
        <v>1.7952027243237134E-2</v>
      </c>
      <c r="E161" s="126">
        <f t="shared" si="20"/>
        <v>8.2823319940187254E-2</v>
      </c>
      <c r="F161" s="126">
        <f t="shared" si="21"/>
        <v>8.2634714493267786E-2</v>
      </c>
      <c r="G161" s="126">
        <f t="shared" si="22"/>
        <v>0.12060325883780021</v>
      </c>
      <c r="H161" s="126">
        <f t="shared" si="23"/>
        <v>6.1125710880135749E-2</v>
      </c>
      <c r="I161" s="126">
        <f t="shared" si="24"/>
        <v>0.12775483446351077</v>
      </c>
      <c r="J161" s="126">
        <f t="shared" si="25"/>
        <v>-2.522165639366148E-2</v>
      </c>
      <c r="M161" s="5"/>
      <c r="Y161">
        <f>IF($Z$1, D161, -0.2)</f>
        <v>-0.2</v>
      </c>
    </row>
    <row r="162" spans="2:25" x14ac:dyDescent="0.3">
      <c r="B162" s="126">
        <v>0.12570266824811704</v>
      </c>
      <c r="C162" s="126">
        <f t="shared" si="18"/>
        <v>4.3412233911236282E-2</v>
      </c>
      <c r="D162" s="126">
        <f t="shared" si="19"/>
        <v>1.8077221159421338E-2</v>
      </c>
      <c r="E162" s="126">
        <f t="shared" si="20"/>
        <v>8.151520911901658E-2</v>
      </c>
      <c r="F162" s="126">
        <f t="shared" si="21"/>
        <v>8.1335376705732473E-2</v>
      </c>
      <c r="G162" s="126">
        <f t="shared" si="22"/>
        <v>0.12217560969558479</v>
      </c>
      <c r="H162" s="126">
        <f t="shared" si="23"/>
        <v>6.1345938625171376E-2</v>
      </c>
      <c r="I162" s="126">
        <f t="shared" si="24"/>
        <v>0.12922972680064931</v>
      </c>
      <c r="J162" s="126">
        <f t="shared" si="25"/>
        <v>-2.5191496306328703E-2</v>
      </c>
      <c r="M162" s="5"/>
      <c r="Y162">
        <f>IF($Z$1, D162, -0.2)</f>
        <v>-0.2</v>
      </c>
    </row>
    <row r="163" spans="2:25" x14ac:dyDescent="0.3">
      <c r="B163" s="126">
        <v>0.1272349534269176</v>
      </c>
      <c r="C163" s="126">
        <f t="shared" si="18"/>
        <v>4.3500036860003116E-2</v>
      </c>
      <c r="D163" s="126">
        <f t="shared" si="19"/>
        <v>1.8201122622702237E-2</v>
      </c>
      <c r="E163" s="126">
        <f t="shared" si="20"/>
        <v>8.0207205470579232E-2</v>
      </c>
      <c r="F163" s="126">
        <f t="shared" si="21"/>
        <v>8.0035870106932958E-2</v>
      </c>
      <c r="G163" s="126">
        <f t="shared" si="22"/>
        <v>0.12375710593532639</v>
      </c>
      <c r="H163" s="126">
        <f t="shared" si="23"/>
        <v>6.1561908866114179E-2</v>
      </c>
      <c r="I163" s="126">
        <f t="shared" si="24"/>
        <v>0.13071280091850881</v>
      </c>
      <c r="J163" s="126">
        <f t="shared" si="25"/>
        <v>-2.5159663620709705E-2</v>
      </c>
      <c r="M163" s="5"/>
      <c r="Y163">
        <f>IF($Z$1, D163, -0.2)</f>
        <v>-0.2</v>
      </c>
    </row>
    <row r="164" spans="2:25" x14ac:dyDescent="0.3">
      <c r="B164" s="126">
        <v>0.12877588700334663</v>
      </c>
      <c r="C164" s="126">
        <f t="shared" si="18"/>
        <v>4.3584937783089812E-2</v>
      </c>
      <c r="D164" s="126">
        <f t="shared" si="19"/>
        <v>1.8323708034023591E-2</v>
      </c>
      <c r="E164" s="126">
        <f t="shared" si="20"/>
        <v>7.8899450190434608E-2</v>
      </c>
      <c r="F164" s="126">
        <f t="shared" si="21"/>
        <v>7.8736339388936233E-2</v>
      </c>
      <c r="G164" s="126">
        <f t="shared" si="22"/>
        <v>0.12534771322315738</v>
      </c>
      <c r="H164" s="126">
        <f t="shared" si="23"/>
        <v>6.1773615123551791E-2</v>
      </c>
      <c r="I164" s="126">
        <f t="shared" si="24"/>
        <v>0.13220406078353589</v>
      </c>
      <c r="J164" s="126">
        <f t="shared" si="25"/>
        <v>-2.512619905550461E-2</v>
      </c>
      <c r="M164" s="5"/>
      <c r="Y164">
        <f>IF($Z$1, D164, -0.2)</f>
        <v>-0.2</v>
      </c>
    </row>
    <row r="165" spans="2:25" x14ac:dyDescent="0.3">
      <c r="B165" s="126">
        <v>0.13032545370799575</v>
      </c>
      <c r="C165" s="126">
        <f t="shared" si="18"/>
        <v>4.366695707464148E-2</v>
      </c>
      <c r="D165" s="126">
        <f t="shared" si="19"/>
        <v>1.8444954070986515E-2</v>
      </c>
      <c r="E165" s="126">
        <f t="shared" si="20"/>
        <v>7.7592084968602509E-2</v>
      </c>
      <c r="F165" s="126">
        <f t="shared" si="21"/>
        <v>7.7436929852810046E-2</v>
      </c>
      <c r="G165" s="126">
        <f t="shared" si="22"/>
        <v>0.12694739705327443</v>
      </c>
      <c r="H165" s="126">
        <f t="shared" si="23"/>
        <v>6.1981052580109657E-2</v>
      </c>
      <c r="I165" s="126">
        <f t="shared" si="24"/>
        <v>0.13370351036271708</v>
      </c>
      <c r="J165" s="126">
        <f t="shared" si="25"/>
        <v>-2.5091144438136627E-2</v>
      </c>
      <c r="M165" s="5"/>
      <c r="Y165">
        <f>IF($Z$1, D165, -0.2)</f>
        <v>-0.2</v>
      </c>
    </row>
    <row r="166" spans="2:25" x14ac:dyDescent="0.3">
      <c r="B166" s="126">
        <v>0.13188363818590843</v>
      </c>
      <c r="C166" s="126">
        <f t="shared" si="18"/>
        <v>4.3746116470899557E-2</v>
      </c>
      <c r="D166" s="126">
        <f t="shared" si="19"/>
        <v>1.8564837693934074E-2</v>
      </c>
      <c r="E166" s="126">
        <f t="shared" si="20"/>
        <v>7.6285251983058092E-2</v>
      </c>
      <c r="F166" s="126">
        <f t="shared" si="21"/>
        <v>7.6137787397835222E-2</v>
      </c>
      <c r="G166" s="126">
        <f t="shared" si="22"/>
        <v>0.12855612275996631</v>
      </c>
      <c r="H166" s="126">
        <f t="shared" si="23"/>
        <v>6.2184218104201563E-2</v>
      </c>
      <c r="I166" s="126">
        <f t="shared" si="24"/>
        <v>0.13521115361185054</v>
      </c>
      <c r="J166" s="126">
        <f t="shared" si="25"/>
        <v>-2.5054542716333412E-2</v>
      </c>
      <c r="M166" s="5"/>
      <c r="Y166">
        <f>IF($Z$1, D166, -0.2)</f>
        <v>-0.2</v>
      </c>
    </row>
    <row r="167" spans="2:25" x14ac:dyDescent="0.3">
      <c r="B167" s="126">
        <v>0.13345042499673354</v>
      </c>
      <c r="C167" s="126">
        <f t="shared" si="18"/>
        <v>4.3822439066670701E-2</v>
      </c>
      <c r="D167" s="126">
        <f t="shared" si="19"/>
        <v>1.8683336152024159E-2</v>
      </c>
      <c r="E167" s="126">
        <f t="shared" si="20"/>
        <v>7.4979093893199483E-2</v>
      </c>
      <c r="F167" s="126">
        <f t="shared" si="21"/>
        <v>7.4839058510623571E-2</v>
      </c>
      <c r="G167" s="126">
        <f t="shared" si="22"/>
        <v>0.13017385552975738</v>
      </c>
      <c r="H167" s="126">
        <f t="shared" si="23"/>
        <v>6.238311027363886E-2</v>
      </c>
      <c r="I167" s="126">
        <f t="shared" si="24"/>
        <v>0.1367269944637097</v>
      </c>
      <c r="J167" s="126">
        <f t="shared" si="25"/>
        <v>-2.5016437969590542E-2</v>
      </c>
      <c r="M167" s="5"/>
      <c r="Y167">
        <f>IF($Z$1, D167, -0.2)</f>
        <v>-0.2</v>
      </c>
    </row>
    <row r="168" spans="2:25" x14ac:dyDescent="0.3">
      <c r="B168" s="126">
        <v>0.13502579861487751</v>
      </c>
      <c r="C168" s="126">
        <f t="shared" si="18"/>
        <v>4.3895949331732721E-2</v>
      </c>
      <c r="D168" s="126">
        <f t="shared" si="19"/>
        <v>1.8800426989289437E-2</v>
      </c>
      <c r="E168" s="126">
        <f t="shared" si="20"/>
        <v>7.3673753833294026E-2</v>
      </c>
      <c r="F168" s="126">
        <f t="shared" si="21"/>
        <v>7.3540890254151628E-2</v>
      </c>
      <c r="G168" s="126">
        <f t="shared" si="22"/>
        <v>0.13180056041365196</v>
      </c>
      <c r="H168" s="126">
        <f t="shared" si="23"/>
        <v>6.2577729399093104E-2</v>
      </c>
      <c r="I168" s="126">
        <f t="shared" si="24"/>
        <v>0.13825103681610307</v>
      </c>
      <c r="J168" s="126">
        <f t="shared" si="25"/>
        <v>-2.497687542051423E-2</v>
      </c>
      <c r="M168" s="5"/>
      <c r="Y168">
        <f>IF($Z$1, D168, -0.2)</f>
        <v>-0.2</v>
      </c>
    </row>
    <row r="169" spans="2:25" x14ac:dyDescent="0.3">
      <c r="B169" s="126">
        <v>0.13660974342965859</v>
      </c>
      <c r="C169" s="126">
        <f t="shared" si="18"/>
        <v>4.3966673127175865E-2</v>
      </c>
      <c r="D169" s="126">
        <f t="shared" si="19"/>
        <v>1.8916088050683913E-2</v>
      </c>
      <c r="E169" s="126">
        <f t="shared" si="20"/>
        <v>7.2369375405898828E-2</v>
      </c>
      <c r="F169" s="126">
        <f t="shared" si="21"/>
        <v>7.2243430256709679E-2</v>
      </c>
      <c r="G169" s="126">
        <f t="shared" si="22"/>
        <v>0.13343620233947459</v>
      </c>
      <c r="H169" s="126">
        <f t="shared" si="23"/>
        <v>6.2768077547408485E-2</v>
      </c>
      <c r="I169" s="126">
        <f t="shared" si="24"/>
        <v>0.13978328451984259</v>
      </c>
      <c r="J169" s="126">
        <f t="shared" si="25"/>
        <v>-2.4935901446040659E-2</v>
      </c>
      <c r="M169" s="5"/>
      <c r="Y169">
        <f>IF($Z$1, D169, -0.2)</f>
        <v>-0.2</v>
      </c>
    </row>
    <row r="170" spans="2:25" x14ac:dyDescent="0.3">
      <c r="B170" s="126">
        <v>0.13820224374546131</v>
      </c>
      <c r="C170" s="126">
        <f t="shared" si="18"/>
        <v>4.4034637721676435E-2</v>
      </c>
      <c r="D170" s="126">
        <f t="shared" si="19"/>
        <v>1.9030297488115244E-2</v>
      </c>
      <c r="E170" s="126">
        <f t="shared" si="20"/>
        <v>7.1066102675259119E-2</v>
      </c>
      <c r="F170" s="126">
        <f t="shared" si="21"/>
        <v>7.094682670077386E-2</v>
      </c>
      <c r="G170" s="126">
        <f t="shared" si="22"/>
        <v>0.13508074612429469</v>
      </c>
      <c r="H170" s="126">
        <f t="shared" si="23"/>
        <v>6.2954158564759458E-2</v>
      </c>
      <c r="I170" s="126">
        <f t="shared" si="24"/>
        <v>0.14132374136662793</v>
      </c>
      <c r="J170" s="126">
        <f t="shared" si="25"/>
        <v>-2.4893563588528969E-2</v>
      </c>
      <c r="M170" s="5"/>
      <c r="Y170">
        <f>IF($Z$1, D170, -0.2)</f>
        <v>-0.2</v>
      </c>
    </row>
    <row r="171" spans="2:25" x14ac:dyDescent="0.3">
      <c r="B171" s="126">
        <v>0.13980328378189188</v>
      </c>
      <c r="C171" s="126">
        <f t="shared" si="18"/>
        <v>4.4099871807700954E-2</v>
      </c>
      <c r="D171" s="126">
        <f t="shared" si="19"/>
        <v>1.9143033766462151E-2</v>
      </c>
      <c r="E171" s="126">
        <f t="shared" si="20"/>
        <v>6.9764080160682487E-2</v>
      </c>
      <c r="F171" s="126">
        <f t="shared" si="21"/>
        <v>6.9651228311803495E-2</v>
      </c>
      <c r="G171" s="126">
        <f t="shared" si="22"/>
        <v>0.13673415648692694</v>
      </c>
      <c r="H171" s="126">
        <f t="shared" si="23"/>
        <v>6.3135978099649923E-2</v>
      </c>
      <c r="I171" s="126">
        <f t="shared" si="24"/>
        <v>0.14287241107685683</v>
      </c>
      <c r="J171" s="126">
        <f t="shared" si="25"/>
        <v>-2.4849910566725624E-2</v>
      </c>
      <c r="M171" s="5"/>
      <c r="Y171">
        <f>IF($Z$1, D171, -0.2)</f>
        <v>-0.2</v>
      </c>
    </row>
    <row r="172" spans="2:25" x14ac:dyDescent="0.3">
      <c r="B172" s="126">
        <v>0.14141284767393503</v>
      </c>
      <c r="C172" s="126">
        <f t="shared" si="18"/>
        <v>4.4162405517638108E-2</v>
      </c>
      <c r="D172" s="126">
        <f t="shared" si="19"/>
        <v>1.9254275669576101E-2</v>
      </c>
      <c r="E172" s="126">
        <f t="shared" si="20"/>
        <v>6.8463452829890428E-2</v>
      </c>
      <c r="F172" s="126">
        <f t="shared" si="21"/>
        <v>6.8356784346969346E-2</v>
      </c>
      <c r="G172" s="126">
        <f t="shared" si="22"/>
        <v>0.13839639806049803</v>
      </c>
      <c r="H172" s="126">
        <f t="shared" si="23"/>
        <v>6.331354362574973E-2</v>
      </c>
      <c r="I172" s="126">
        <f t="shared" si="24"/>
        <v>0.14442929728737203</v>
      </c>
      <c r="J172" s="126">
        <f t="shared" si="25"/>
        <v>-2.4804992286597532E-2</v>
      </c>
      <c r="M172" s="5"/>
      <c r="Y172">
        <f>IF($Z$1, D172, -0.2)</f>
        <v>-0.2</v>
      </c>
    </row>
    <row r="173" spans="2:25" x14ac:dyDescent="0.3">
      <c r="B173" s="126">
        <v>0.143030919472111</v>
      </c>
      <c r="C173" s="126">
        <f t="shared" si="18"/>
        <v>4.422227043985625E-2</v>
      </c>
      <c r="D173" s="126">
        <f t="shared" si="19"/>
        <v>1.9364002306266663E-2</v>
      </c>
      <c r="E173" s="126">
        <f t="shared" si="20"/>
        <v>6.7164366092347133E-2</v>
      </c>
      <c r="F173" s="126">
        <f t="shared" si="21"/>
        <v>6.7063644583817014E-2</v>
      </c>
      <c r="G173" s="126">
        <f t="shared" si="22"/>
        <v>0.14006743540506889</v>
      </c>
      <c r="H173" s="126">
        <f t="shared" si="23"/>
        <v>6.3486864464564724E-2</v>
      </c>
      <c r="I173" s="126">
        <f t="shared" si="24"/>
        <v>0.14599440353915311</v>
      </c>
      <c r="J173" s="126">
        <f t="shared" si="25"/>
        <v>-2.4758859852031405E-2</v>
      </c>
      <c r="M173" s="5"/>
      <c r="Y173">
        <f>IF($Z$1, D173, -0.2)</f>
        <v>-0.2</v>
      </c>
    </row>
    <row r="174" spans="2:25" x14ac:dyDescent="0.3">
      <c r="B174" s="126">
        <v>0.14465748314263338</v>
      </c>
      <c r="C174" s="126">
        <f t="shared" si="18"/>
        <v>4.4279499634684021E-2</v>
      </c>
      <c r="D174" s="126">
        <f t="shared" si="19"/>
        <v>1.9472193116269607E-2</v>
      </c>
      <c r="E174" s="126">
        <f t="shared" si="20"/>
        <v>6.5866965792566082E-2</v>
      </c>
      <c r="F174" s="126">
        <f t="shared" si="21"/>
        <v>6.5771959308870351E-2</v>
      </c>
      <c r="G174" s="126">
        <f t="shared" si="22"/>
        <v>0.14174723302030237</v>
      </c>
      <c r="H174" s="126">
        <f t="shared" si="23"/>
        <v>6.3655951807936553E-2</v>
      </c>
      <c r="I174" s="126">
        <f t="shared" si="24"/>
        <v>0.14756773326496439</v>
      </c>
      <c r="J174" s="126">
        <f t="shared" si="25"/>
        <v>-2.4711565575397342E-2</v>
      </c>
      <c r="M174" s="5"/>
      <c r="Y174">
        <f>IF($Z$1, D174, -0.2)</f>
        <v>-0.2</v>
      </c>
    </row>
    <row r="175" spans="2:25" x14ac:dyDescent="0.3">
      <c r="B175" s="126">
        <v>0.14629252256756808</v>
      </c>
      <c r="C175" s="126">
        <f t="shared" si="18"/>
        <v>4.433412765031184E-2</v>
      </c>
      <c r="D175" s="126">
        <f t="shared" si="19"/>
        <v>1.9578827876197226E-2</v>
      </c>
      <c r="E175" s="126">
        <f t="shared" si="20"/>
        <v>6.457139820339429E-2</v>
      </c>
      <c r="F175" s="126">
        <f t="shared" si="21"/>
        <v>6.4481879306179199E-2</v>
      </c>
      <c r="G175" s="126">
        <f t="shared" si="22"/>
        <v>0.14343575535816674</v>
      </c>
      <c r="H175" s="126">
        <f t="shared" si="23"/>
        <v>6.3820818740368712E-2</v>
      </c>
      <c r="I175" s="126">
        <f t="shared" si="24"/>
        <v>0.14914928977696942</v>
      </c>
      <c r="J175" s="126">
        <f t="shared" si="25"/>
        <v>-2.4663162987974267E-2</v>
      </c>
      <c r="M175" s="5"/>
      <c r="Y175">
        <f>IF($Z$1, D175, -0.2)</f>
        <v>-0.2</v>
      </c>
    </row>
    <row r="176" spans="2:25" x14ac:dyDescent="0.3">
      <c r="B176" s="126">
        <v>0.14793602154499341</v>
      </c>
      <c r="C176" s="126">
        <f t="shared" si="18"/>
        <v>4.4386190538611751E-2</v>
      </c>
      <c r="D176" s="126">
        <f t="shared" si="19"/>
        <v>1.9683886705470027E-2</v>
      </c>
      <c r="E176" s="126">
        <f t="shared" si="20"/>
        <v>6.3277810019274405E-2</v>
      </c>
      <c r="F176" s="126">
        <f t="shared" si="21"/>
        <v>6.3193555845816027E-2</v>
      </c>
      <c r="G176" s="126">
        <f t="shared" si="22"/>
        <v>0.14513296683566446</v>
      </c>
      <c r="H176" s="126">
        <f t="shared" si="23"/>
        <v>6.3981480261175241E-2</v>
      </c>
      <c r="I176" s="126">
        <f t="shared" si="24"/>
        <v>0.15073907625432237</v>
      </c>
      <c r="J176" s="126">
        <f t="shared" si="25"/>
        <v>-2.4613706850235187E-2</v>
      </c>
      <c r="M176" s="5"/>
      <c r="Y176">
        <f>IF($Z$1, D176, -0.2)</f>
        <v>-0.2</v>
      </c>
    </row>
    <row r="177" spans="2:25" x14ac:dyDescent="0.3">
      <c r="B177" s="126">
        <v>0.14958796378916006</v>
      </c>
      <c r="C177" s="126">
        <f t="shared" si="18"/>
        <v>4.4435725870873508E-2</v>
      </c>
      <c r="D177" s="126">
        <f t="shared" si="19"/>
        <v>1.9787350072229062E-2</v>
      </c>
      <c r="E177" s="126">
        <f t="shared" si="20"/>
        <v>6.1986348349485694E-2</v>
      </c>
      <c r="F177" s="126">
        <f t="shared" si="21"/>
        <v>6.1907140672327048E-2</v>
      </c>
      <c r="G177" s="126">
        <f t="shared" si="22"/>
        <v>0.1468388318475739</v>
      </c>
      <c r="H177" s="126">
        <f t="shared" si="23"/>
        <v>6.4137953306448642E-2</v>
      </c>
      <c r="I177" s="126">
        <f t="shared" si="24"/>
        <v>0.15233709573074622</v>
      </c>
      <c r="J177" s="126">
        <f t="shared" si="25"/>
        <v>-2.4563253161990515E-2</v>
      </c>
      <c r="M177" s="5"/>
      <c r="Y177">
        <f>IF($Z$1, D177, -0.2)</f>
        <v>-0.2</v>
      </c>
    </row>
    <row r="178" spans="2:25" x14ac:dyDescent="0.3">
      <c r="B178" s="126">
        <v>0.15124833293065298</v>
      </c>
      <c r="C178" s="126">
        <f t="shared" si="18"/>
        <v>4.4482772753454192E-2</v>
      </c>
      <c r="D178" s="126">
        <f t="shared" si="19"/>
        <v>1.9889198799228229E-2</v>
      </c>
      <c r="E178" s="126">
        <f t="shared" si="20"/>
        <v>6.0697160711363315E-2</v>
      </c>
      <c r="F178" s="126">
        <f t="shared" si="21"/>
        <v>6.0622785993141588E-2</v>
      </c>
      <c r="G178" s="126">
        <f t="shared" si="22"/>
        <v>0.14855331477919528</v>
      </c>
      <c r="H178" s="126">
        <f t="shared" si="23"/>
        <v>6.4290256770843726E-2</v>
      </c>
      <c r="I178" s="126">
        <f t="shared" si="24"/>
        <v>0.15394335108211069</v>
      </c>
      <c r="J178" s="126">
        <f t="shared" si="25"/>
        <v>-2.4511859172387268E-2</v>
      </c>
      <c r="M178" s="5"/>
      <c r="Y178">
        <f>IF($Z$1, D178, -0.2)</f>
        <v>-0.2</v>
      </c>
    </row>
    <row r="179" spans="2:25" x14ac:dyDescent="0.3">
      <c r="B179" s="126">
        <v>0.15291711251655316</v>
      </c>
      <c r="C179" s="126">
        <f t="shared" si="18"/>
        <v>4.4527371843339388E-2</v>
      </c>
      <c r="D179" s="126">
        <f t="shared" si="19"/>
        <v>1.9989414069705783E-2</v>
      </c>
      <c r="E179" s="126">
        <f t="shared" si="20"/>
        <v>5.9410395023496987E-2</v>
      </c>
      <c r="F179" s="126">
        <f t="shared" si="21"/>
        <v>5.9340644466945626E-2</v>
      </c>
      <c r="G179" s="126">
        <f t="shared" si="22"/>
        <v>0.15027638001908772</v>
      </c>
      <c r="H179" s="126">
        <f t="shared" si="23"/>
        <v>6.4438411529174358E-2</v>
      </c>
      <c r="I179" s="126">
        <f t="shared" si="24"/>
        <v>0.15555784501401859</v>
      </c>
      <c r="J179" s="126">
        <f t="shared" si="25"/>
        <v>-2.4459583389762788E-2</v>
      </c>
      <c r="M179" s="5"/>
      <c r="Y179">
        <f>IF($Z$1, D179, -0.2)</f>
        <v>-0.2</v>
      </c>
    </row>
    <row r="180" spans="2:25" x14ac:dyDescent="0.3">
      <c r="B180" s="126">
        <v>0.15459428601060099</v>
      </c>
      <c r="C180" s="126">
        <f t="shared" si="18"/>
        <v>4.4569565363613353E-2</v>
      </c>
      <c r="D180" s="126">
        <f t="shared" si="19"/>
        <v>2.0087977433234296E-2</v>
      </c>
      <c r="E180" s="126">
        <f t="shared" si="20"/>
        <v>5.8126199598908121E-2</v>
      </c>
      <c r="F180" s="126">
        <f t="shared" si="21"/>
        <v>5.8060869192022919E-2</v>
      </c>
      <c r="G180" s="126">
        <f t="shared" si="22"/>
        <v>0.15200799197178769</v>
      </c>
      <c r="H180" s="126">
        <f t="shared" si="23"/>
        <v>6.4582440457819745E-2</v>
      </c>
      <c r="I180" s="126">
        <f t="shared" si="24"/>
        <v>0.15718058004941429</v>
      </c>
      <c r="J180" s="126">
        <f t="shared" si="25"/>
        <v>-2.4406485591351161E-2</v>
      </c>
      <c r="M180" s="5"/>
      <c r="Y180">
        <f>IF($Z$1, D180, -0.2)</f>
        <v>-0.2</v>
      </c>
    </row>
    <row r="181" spans="2:25" x14ac:dyDescent="0.3">
      <c r="B181" s="126">
        <v>0.15627983679335988</v>
      </c>
      <c r="C181" s="126">
        <f t="shared" si="18"/>
        <v>4.4609397118835874E-2</v>
      </c>
      <c r="D181" s="126">
        <f t="shared" si="19"/>
        <v>2.0184870811548437E-2</v>
      </c>
      <c r="E181" s="126">
        <f t="shared" si="20"/>
        <v>5.6844723138207515E-2</v>
      </c>
      <c r="F181" s="126">
        <f t="shared" si="21"/>
        <v>5.6783613694570495E-2</v>
      </c>
      <c r="G181" s="126">
        <f t="shared" si="22"/>
        <v>0.15374811507049602</v>
      </c>
      <c r="H181" s="126">
        <f t="shared" si="23"/>
        <v>6.472236845593772E-2</v>
      </c>
      <c r="I181" s="126">
        <f t="shared" si="24"/>
        <v>0.15881155851622375</v>
      </c>
      <c r="J181" s="126">
        <f t="shared" si="25"/>
        <v>-2.4352626832840851E-2</v>
      </c>
      <c r="M181" s="5"/>
      <c r="Y181">
        <f>IF($Z$1, D181, -0.2)</f>
        <v>-0.2</v>
      </c>
    </row>
    <row r="182" spans="2:25" x14ac:dyDescent="0.3">
      <c r="B182" s="126">
        <v>0.15797374816238119</v>
      </c>
      <c r="C182" s="126">
        <f t="shared" si="18"/>
        <v>4.4646912510323516E-2</v>
      </c>
      <c r="D182" s="126">
        <f t="shared" si="19"/>
        <v>2.0280076504349744E-2</v>
      </c>
      <c r="E182" s="126">
        <f t="shared" si="20"/>
        <v>5.5566114722731486E-2</v>
      </c>
      <c r="F182" s="126">
        <f t="shared" si="21"/>
        <v>5.550903191699106E-2</v>
      </c>
      <c r="G182" s="126">
        <f t="shared" si="22"/>
        <v>0.15549671378972268</v>
      </c>
      <c r="H182" s="126">
        <f t="shared" si="23"/>
        <v>6.4858222466481805E-2</v>
      </c>
      <c r="I182" s="126">
        <f t="shared" si="24"/>
        <v>0.16045078253503969</v>
      </c>
      <c r="J182" s="126">
        <f t="shared" si="25"/>
        <v>-2.4298069457782318E-2</v>
      </c>
      <c r="M182" s="5"/>
      <c r="Y182">
        <f>IF($Z$1, D182, -0.2)</f>
        <v>-0.2</v>
      </c>
    </row>
    <row r="183" spans="2:25" x14ac:dyDescent="0.3">
      <c r="B183" s="126">
        <v>0.15967600333236964</v>
      </c>
      <c r="C183" s="126">
        <f t="shared" si="18"/>
        <v>4.4682158551333E-2</v>
      </c>
      <c r="D183" s="126">
        <f t="shared" si="19"/>
        <v>2.0373577195087755E-2</v>
      </c>
      <c r="E183" s="126">
        <f t="shared" si="20"/>
        <v>5.4290523807659509E-2</v>
      </c>
      <c r="F183" s="126">
        <f t="shared" si="21"/>
        <v>5.4237278206170032E-2</v>
      </c>
      <c r="G183" s="126">
        <f t="shared" si="22"/>
        <v>0.15725375265787725</v>
      </c>
      <c r="H183" s="126">
        <f t="shared" si="23"/>
        <v>6.4990031497019707E-2</v>
      </c>
      <c r="I183" s="126">
        <f t="shared" si="24"/>
        <v>0.16209825400686204</v>
      </c>
      <c r="J183" s="126">
        <f t="shared" si="25"/>
        <v>-2.4242877106844196E-2</v>
      </c>
      <c r="M183" s="5"/>
      <c r="Y183">
        <f>IF($Z$1, D183, -0.2)</f>
        <v>-0.2</v>
      </c>
    </row>
    <row r="184" spans="2:25" x14ac:dyDescent="0.3">
      <c r="B184" s="126">
        <v>0.16138658543534967</v>
      </c>
      <c r="C184" s="126">
        <f t="shared" si="18"/>
        <v>4.471518388214421E-2</v>
      </c>
      <c r="D184" s="126">
        <f t="shared" si="19"/>
        <v>2.0465355956716665E-2</v>
      </c>
      <c r="E184" s="126">
        <f t="shared" si="20"/>
        <v>5.3018100215111046E-2</v>
      </c>
      <c r="F184" s="126">
        <f t="shared" si="21"/>
        <v>5.2968507301739458E-2</v>
      </c>
      <c r="G184" s="126">
        <f t="shared" si="22"/>
        <v>0.15901919626979247</v>
      </c>
      <c r="H184" s="126">
        <f t="shared" si="23"/>
        <v>6.5117826640350415E-2</v>
      </c>
      <c r="I184" s="126">
        <f t="shared" si="24"/>
        <v>0.16375397460090688</v>
      </c>
      <c r="J184" s="126">
        <f t="shared" si="25"/>
        <v>-2.4187114726917088E-2</v>
      </c>
      <c r="M184" s="5"/>
      <c r="Y184">
        <f>IF($Z$1, D184, -0.2)</f>
        <v>-0.2</v>
      </c>
    </row>
    <row r="185" spans="2:25" x14ac:dyDescent="0.3">
      <c r="B185" s="126">
        <v>0.16310547752083215</v>
      </c>
      <c r="C185" s="126">
        <f t="shared" si="18"/>
        <v>4.4746038785040812E-2</v>
      </c>
      <c r="D185" s="126">
        <f t="shared" si="19"/>
        <v>2.0555396257426913E-2</v>
      </c>
      <c r="E185" s="126">
        <f t="shared" si="20"/>
        <v>5.1748994127224043E-2</v>
      </c>
      <c r="F185" s="126">
        <f t="shared" si="21"/>
        <v>5.1702874324336026E-2</v>
      </c>
      <c r="G185" s="126">
        <f t="shared" si="22"/>
        <v>0.16079300929916915</v>
      </c>
      <c r="H185" s="126">
        <f t="shared" si="23"/>
        <v>6.5241641094917729E-2</v>
      </c>
      <c r="I185" s="126">
        <f t="shared" si="24"/>
        <v>0.16541794574249516</v>
      </c>
      <c r="J185" s="126">
        <f t="shared" si="25"/>
        <v>-2.4130848580063907E-2</v>
      </c>
      <c r="M185" s="5"/>
      <c r="Y185">
        <f>IF($Z$1, D185, -0.2)</f>
        <v>-0.2</v>
      </c>
    </row>
    <row r="186" spans="2:25" x14ac:dyDescent="0.3">
      <c r="B186" s="126">
        <v>0.16483266255598328</v>
      </c>
      <c r="C186" s="126">
        <f t="shared" si="18"/>
        <v>4.4774775199185678E-2</v>
      </c>
      <c r="D186" s="126">
        <f t="shared" si="19"/>
        <v>2.0643681966350941E-2</v>
      </c>
      <c r="E186" s="126">
        <f t="shared" si="20"/>
        <v>5.0483356079213088E-2</v>
      </c>
      <c r="F186" s="126">
        <f t="shared" si="21"/>
        <v>5.0440534763855883E-2</v>
      </c>
      <c r="G186" s="126">
        <f t="shared" si="22"/>
        <v>0.16257515651093124</v>
      </c>
      <c r="H186" s="126">
        <f t="shared" si="23"/>
        <v>6.5361510185017457E-2</v>
      </c>
      <c r="I186" s="126">
        <f t="shared" si="24"/>
        <v>0.16709016860103532</v>
      </c>
      <c r="J186" s="126">
        <f t="shared" si="25"/>
        <v>-2.4074146252315569E-2</v>
      </c>
      <c r="M186" s="5"/>
      <c r="Y186">
        <f>IF($Z$1, D186, -0.2)</f>
        <v>-0.2</v>
      </c>
    </row>
    <row r="187" spans="2:25" x14ac:dyDescent="0.3">
      <c r="B187" s="126">
        <v>0.1665681234257923</v>
      </c>
      <c r="C187" s="126">
        <f t="shared" si="18"/>
        <v>4.480144673538955E-2</v>
      </c>
      <c r="D187" s="126">
        <f t="shared" si="19"/>
        <v>2.0730197359242378E-2</v>
      </c>
      <c r="E187" s="126">
        <f t="shared" si="20"/>
        <v>4.9221336952410107E-2</v>
      </c>
      <c r="F187" s="126">
        <f t="shared" si="21"/>
        <v>4.9181644467713677E-2</v>
      </c>
      <c r="G187" s="126">
        <f t="shared" si="22"/>
        <v>0.16436560277347556</v>
      </c>
      <c r="H187" s="126">
        <f t="shared" si="23"/>
        <v>6.5477471380796654E-2</v>
      </c>
      <c r="I187" s="126">
        <f t="shared" si="24"/>
        <v>0.16877064407810904</v>
      </c>
      <c r="J187" s="126">
        <f t="shared" si="25"/>
        <v>-2.4017076662311891E-2</v>
      </c>
      <c r="M187" s="5"/>
      <c r="Y187">
        <f>IF($Z$1, D187, -0.2)</f>
        <v>-0.2</v>
      </c>
    </row>
    <row r="188" spans="2:25" x14ac:dyDescent="0.3">
      <c r="B188" s="126">
        <v>0.16831184293324197</v>
      </c>
      <c r="C188" s="126">
        <f t="shared" si="18"/>
        <v>4.4826108690769903E-2</v>
      </c>
      <c r="D188" s="126">
        <f t="shared" si="19"/>
        <v>2.0814927124127941E-2</v>
      </c>
      <c r="E188" s="126">
        <f t="shared" si="20"/>
        <v>4.7963087967285448E-2</v>
      </c>
      <c r="F188" s="126">
        <f t="shared" si="21"/>
        <v>4.7926359629108461E-2</v>
      </c>
      <c r="G188" s="126">
        <f t="shared" si="22"/>
        <v>0.16616431307080695</v>
      </c>
      <c r="H188" s="126">
        <f t="shared" si="23"/>
        <v>6.5589564318042387E-2</v>
      </c>
      <c r="I188" s="126">
        <f t="shared" si="24"/>
        <v>0.17045937279567699</v>
      </c>
      <c r="J188" s="126">
        <f t="shared" si="25"/>
        <v>-2.3959710069786505E-2</v>
      </c>
      <c r="M188" s="5"/>
      <c r="Y188">
        <f>IF($Z$1, D188, -0.2)</f>
        <v>-0.2</v>
      </c>
    </row>
    <row r="189" spans="2:25" x14ac:dyDescent="0.3">
      <c r="B189" s="126">
        <v>0.17006380379947839</v>
      </c>
      <c r="C189" s="126">
        <f t="shared" si="18"/>
        <v>4.4848818063298192E-2</v>
      </c>
      <c r="D189" s="126">
        <f t="shared" si="19"/>
        <v>2.0897856366931339E-2</v>
      </c>
      <c r="E189" s="126">
        <f t="shared" si="20"/>
        <v>4.6708760676451674E-2</v>
      </c>
      <c r="F189" s="126">
        <f t="shared" si="21"/>
        <v>4.667483677530334E-2</v>
      </c>
      <c r="G189" s="126">
        <f t="shared" si="22"/>
        <v>0.16797125251454356</v>
      </c>
      <c r="H189" s="126">
        <f t="shared" si="23"/>
        <v>6.5697830817758207E-2</v>
      </c>
      <c r="I189" s="126">
        <f t="shared" si="24"/>
        <v>0.17215635508441321</v>
      </c>
      <c r="J189" s="126">
        <f t="shared" si="25"/>
        <v>-2.3902118083895522E-2</v>
      </c>
      <c r="M189" s="5"/>
      <c r="Y189">
        <f>IF($Z$1, D189, -0.2)</f>
        <v>-0.2</v>
      </c>
    </row>
    <row r="190" spans="2:25" x14ac:dyDescent="0.3">
      <c r="B190" s="126">
        <v>0.17182398866398252</v>
      </c>
      <c r="C190" s="126">
        <f t="shared" si="18"/>
        <v>4.4869633566233094E-2</v>
      </c>
      <c r="D190" s="126">
        <f t="shared" si="19"/>
        <v>2.0978970617068601E-2</v>
      </c>
      <c r="E190" s="126">
        <f t="shared" si="20"/>
        <v>4.5458506957648401E-2</v>
      </c>
      <c r="F190" s="126">
        <f t="shared" si="21"/>
        <v>4.5427232755921906E-2</v>
      </c>
      <c r="G190" s="126">
        <f t="shared" si="22"/>
        <v>0.16978638635578058</v>
      </c>
      <c r="H190" s="126">
        <f t="shared" si="23"/>
        <v>6.5802314905526613E-2</v>
      </c>
      <c r="I190" s="126">
        <f t="shared" si="24"/>
        <v>0.17386159097218445</v>
      </c>
      <c r="J190" s="126">
        <f t="shared" si="25"/>
        <v>-2.3844373671389415E-2</v>
      </c>
      <c r="M190" s="5"/>
      <c r="Y190">
        <f>IF($Z$1, D190, -0.2)</f>
        <v>-0.2</v>
      </c>
    </row>
    <row r="191" spans="2:25" x14ac:dyDescent="0.3">
      <c r="B191" s="126">
        <v>0.1735923800847422</v>
      </c>
      <c r="C191" s="126">
        <f t="shared" si="18"/>
        <v>4.4888615642437409E-2</v>
      </c>
      <c r="D191" s="126">
        <f t="shared" si="19"/>
        <v>2.105825583301384E-2</v>
      </c>
      <c r="E191" s="126">
        <f t="shared" si="20"/>
        <v>4.4212479006710576E-2</v>
      </c>
      <c r="F191" s="126">
        <f t="shared" si="21"/>
        <v>4.4183704731268425E-2</v>
      </c>
      <c r="G191" s="126">
        <f t="shared" si="22"/>
        <v>0.17160967999679896</v>
      </c>
      <c r="H191" s="126">
        <f t="shared" si="23"/>
        <v>6.5903062830655681E-2</v>
      </c>
      <c r="I191" s="126">
        <f t="shared" si="24"/>
        <v>0.17557508017268544</v>
      </c>
      <c r="J191" s="126">
        <f t="shared" si="25"/>
        <v>-2.3786551164627998E-2</v>
      </c>
      <c r="M191" s="5"/>
      <c r="Y191">
        <f>IF($Z$1, D191, -0.2)</f>
        <v>-0.2</v>
      </c>
    </row>
    <row r="192" spans="2:25" x14ac:dyDescent="0.3">
      <c r="B192" s="126">
        <v>0.17536896053842488</v>
      </c>
      <c r="C192" s="126">
        <f t="shared" si="18"/>
        <v>4.4905826478576459E-2</v>
      </c>
      <c r="D192" s="126">
        <f t="shared" si="19"/>
        <v>2.1135698407835052E-2</v>
      </c>
      <c r="E192" s="126">
        <f t="shared" si="20"/>
        <v>4.2970829330518441E-2</v>
      </c>
      <c r="F192" s="126">
        <f t="shared" si="21"/>
        <v>4.294441016067467E-2</v>
      </c>
      <c r="G192" s="126">
        <f t="shared" si="22"/>
        <v>0.17344109900260588</v>
      </c>
      <c r="H192" s="126">
        <f t="shared" si="23"/>
        <v>6.6000123085108331E-2</v>
      </c>
      <c r="I192" s="126">
        <f t="shared" si="24"/>
        <v>0.17729682207424388</v>
      </c>
      <c r="J192" s="126">
        <f t="shared" si="25"/>
        <v>-2.3728726269438234E-2</v>
      </c>
      <c r="M192" s="5"/>
      <c r="Y192">
        <f>IF($Z$1, D192, -0.2)</f>
        <v>-0.2</v>
      </c>
    </row>
    <row r="193" spans="2:25" x14ac:dyDescent="0.3">
      <c r="B193" s="126">
        <v>0.17715371242055111</v>
      </c>
      <c r="C193" s="126">
        <f t="shared" si="18"/>
        <v>4.4921330019195481E-2</v>
      </c>
      <c r="D193" s="126">
        <f t="shared" si="19"/>
        <v>2.1211285174699057E-2</v>
      </c>
      <c r="E193" s="126">
        <f t="shared" si="20"/>
        <v>4.1733710739931214E-2</v>
      </c>
      <c r="F193" s="126">
        <f t="shared" si="21"/>
        <v>4.1709506790879924E-2</v>
      </c>
      <c r="G193" s="126">
        <f t="shared" si="22"/>
        <v>0.17528060911229335</v>
      </c>
      <c r="H193" s="126">
        <f t="shared" si="23"/>
        <v>6.6093546422212712E-2</v>
      </c>
      <c r="I193" s="126">
        <f t="shared" si="24"/>
        <v>0.17902681572880888</v>
      </c>
      <c r="J193" s="126">
        <f t="shared" si="25"/>
        <v>-2.3670976072814605E-2</v>
      </c>
      <c r="M193" s="5"/>
      <c r="Y193">
        <f>IF($Z$1, D193, -0.2)</f>
        <v>-0.2</v>
      </c>
    </row>
    <row r="194" spans="2:25" x14ac:dyDescent="0.3">
      <c r="B194" s="126">
        <v>0.17894661804566958</v>
      </c>
      <c r="C194" s="126">
        <f t="shared" ref="C194:C257" si="26">IF(B194&lt;$N$1, ($A$7/0.2)*($O$1*SQRT(B194)+$P$1*B194+$Q$1*(B194^2)+$R$1*(B194^3)), ($A$7/0.2)*($S$1+$T$1*(1-B194)+$U$1*((1-B194)^2)+$V$1*((1-B194)^3)))</f>
        <v>4.4935191980674347E-2</v>
      </c>
      <c r="D194" s="126">
        <f t="shared" ref="D194:D257" si="27" xml:space="preserve"> IF(B194&lt;$A$8, ($A$10/6)*((B194^3)-3*$A$8*(B194^2)+($A$8^2)*(3-$A$8)*B194), (($A$10*($A$8^3))/6)*(1-B194))</f>
        <v>2.1285003412344877E-2</v>
      </c>
      <c r="E194" s="126">
        <f t="shared" ref="E194:E257" si="28">IF(B194&lt;$A$8, ($A$10/6)*(3*(B194^2)-6*$A$8*B194+($A$8^2)*(3-$A$8)), -($A$10*($A$8^3))/6)</f>
        <v>4.0501276342703257E-2</v>
      </c>
      <c r="F194" s="126">
        <f t="shared" ref="F194:F257" si="29" xml:space="preserve"> ATAN(E194)</f>
        <v>4.0479152644447555E-2</v>
      </c>
      <c r="G194" s="126">
        <f t="shared" ref="G194:G257" si="30">B194-C194*SIN(F194)</f>
        <v>0.17712817625020302</v>
      </c>
      <c r="H194" s="126">
        <f t="shared" ref="H194:H257" si="31">D194+C194*COS(F194)</f>
        <v>6.6183385875152601E-2</v>
      </c>
      <c r="I194" s="126">
        <f t="shared" ref="I194:I257" si="32">B194+C194*SIN(F194)</f>
        <v>0.18076505984113614</v>
      </c>
      <c r="J194" s="126">
        <f t="shared" ref="J194:J257" si="33">D194-C194*COS(F194)</f>
        <v>-2.3613379050462853E-2</v>
      </c>
      <c r="M194" s="5"/>
      <c r="Y194">
        <f>IF($Z$1, D194, -0.2)</f>
        <v>-0.2</v>
      </c>
    </row>
    <row r="195" spans="2:25" x14ac:dyDescent="0.3">
      <c r="B195" s="126">
        <v>0.18074765964753159</v>
      </c>
      <c r="C195" s="126">
        <f t="shared" si="26"/>
        <v>4.4947479865056539E-2</v>
      </c>
      <c r="D195" s="126">
        <f t="shared" si="27"/>
        <v>2.1356840850525045E-2</v>
      </c>
      <c r="E195" s="126">
        <f t="shared" si="28"/>
        <v>3.9273679536384436E-2</v>
      </c>
      <c r="F195" s="126">
        <f t="shared" si="29"/>
        <v>3.9253506008224227E-2</v>
      </c>
      <c r="G195" s="126">
        <f t="shared" si="30"/>
        <v>0.17898376653688067</v>
      </c>
      <c r="H195" s="126">
        <f t="shared" si="31"/>
        <v>6.6269696775236198E-2</v>
      </c>
      <c r="I195" s="126">
        <f t="shared" si="32"/>
        <v>0.18251155275818251</v>
      </c>
      <c r="J195" s="126">
        <f t="shared" si="33"/>
        <v>-2.3556015074186105E-2</v>
      </c>
      <c r="M195" s="5"/>
      <c r="Y195">
        <f>IF($Z$1, D195, -0.2)</f>
        <v>-0.2</v>
      </c>
    </row>
    <row r="196" spans="2:25" x14ac:dyDescent="0.3">
      <c r="B196" s="126">
        <v>0.1825568193792676</v>
      </c>
      <c r="C196" s="126">
        <f t="shared" si="26"/>
        <v>4.4958262973750961E-2</v>
      </c>
      <c r="D196" s="126">
        <f t="shared" si="27"/>
        <v>2.1426785675413878E-2</v>
      </c>
      <c r="E196" s="126">
        <f t="shared" si="28"/>
        <v>3.8051074001203791E-2</v>
      </c>
      <c r="F196" s="126">
        <f t="shared" si="29"/>
        <v>3.8032725421845513E-2</v>
      </c>
      <c r="G196" s="126">
        <f t="shared" si="30"/>
        <v>0.18084734629981003</v>
      </c>
      <c r="H196" s="126">
        <f t="shared" si="31"/>
        <v>6.6352536769942683E-2</v>
      </c>
      <c r="I196" s="126">
        <f t="shared" si="32"/>
        <v>0.18426629245872517</v>
      </c>
      <c r="J196" s="126">
        <f t="shared" si="33"/>
        <v>-2.349896541911493E-2</v>
      </c>
      <c r="M196" s="5"/>
      <c r="Y196">
        <f>IF($Z$1, D196, -0.2)</f>
        <v>-0.2</v>
      </c>
    </row>
    <row r="197" spans="2:25" x14ac:dyDescent="0.3">
      <c r="B197" s="126">
        <v>0.18437407931356398</v>
      </c>
      <c r="C197" s="126">
        <f t="shared" si="26"/>
        <v>4.4967612421103823E-2</v>
      </c>
      <c r="D197" s="126">
        <f t="shared" si="27"/>
        <v>2.1494826534982234E-2</v>
      </c>
      <c r="E197" s="126">
        <f t="shared" si="28"/>
        <v>3.6833613692937452E-2</v>
      </c>
      <c r="F197" s="126">
        <f t="shared" si="29"/>
        <v>3.6816969666293026E-2</v>
      </c>
      <c r="G197" s="126">
        <f t="shared" si="30"/>
        <v>0.18271888208390979</v>
      </c>
      <c r="H197" s="126">
        <f t="shared" si="31"/>
        <v>6.6431965840745302E-2</v>
      </c>
      <c r="I197" s="126">
        <f t="shared" si="32"/>
        <v>0.18602927654321816</v>
      </c>
      <c r="J197" s="126">
        <f t="shared" si="33"/>
        <v>-2.3442312770780835E-2</v>
      </c>
      <c r="M197" s="5"/>
      <c r="Y197">
        <f>IF($Z$1, D197, -0.2)</f>
        <v>-0.2</v>
      </c>
    </row>
    <row r="198" spans="2:25" x14ac:dyDescent="0.3">
      <c r="B198" s="126">
        <v>0.18619942144284063</v>
      </c>
      <c r="C198" s="126">
        <f t="shared" si="26"/>
        <v>4.4975601147838641E-2</v>
      </c>
      <c r="D198" s="126">
        <f t="shared" si="27"/>
        <v>2.1560952544337968E-2</v>
      </c>
      <c r="E198" s="126">
        <f t="shared" si="28"/>
        <v>3.5621452835761139E-2</v>
      </c>
      <c r="F198" s="126">
        <f t="shared" si="29"/>
        <v>3.5606397752507991E-2</v>
      </c>
      <c r="G198" s="126">
        <f t="shared" si="30"/>
        <v>0.18459834066178105</v>
      </c>
      <c r="H198" s="126">
        <f t="shared" si="31"/>
        <v>6.6508046320710057E-2</v>
      </c>
      <c r="I198" s="126">
        <f t="shared" si="32"/>
        <v>0.18780050222390021</v>
      </c>
      <c r="J198" s="126">
        <f t="shared" si="33"/>
        <v>-2.3386141232034117E-2</v>
      </c>
      <c r="M198" s="5"/>
      <c r="Y198">
        <f>IF($Z$1, D198, -0.2)</f>
        <v>-0.2</v>
      </c>
    </row>
    <row r="199" spans="2:25" x14ac:dyDescent="0.3">
      <c r="B199" s="126">
        <v>0.18803282767942942</v>
      </c>
      <c r="C199" s="126">
        <f t="shared" si="26"/>
        <v>4.4982303934362117E-2</v>
      </c>
      <c r="D199" s="126">
        <f t="shared" si="27"/>
        <v>2.1625153291031367E-2</v>
      </c>
      <c r="E199" s="126">
        <f t="shared" si="28"/>
        <v>3.4414745915086892E-2</v>
      </c>
      <c r="F199" s="126">
        <f t="shared" si="29"/>
        <v>3.4401168910064964E-2</v>
      </c>
      <c r="G199" s="126">
        <f t="shared" si="30"/>
        <v>0.18648568904369076</v>
      </c>
      <c r="H199" s="126">
        <f t="shared" si="31"/>
        <v>6.6580842911869512E-2</v>
      </c>
      <c r="I199" s="126">
        <f t="shared" si="32"/>
        <v>0.18957996631516807</v>
      </c>
      <c r="J199" s="126">
        <f t="shared" si="33"/>
        <v>-2.3330536329806778E-2</v>
      </c>
      <c r="M199" s="5"/>
      <c r="Y199">
        <f>IF($Z$1, D199, -0.2)</f>
        <v>-0.2</v>
      </c>
    </row>
    <row r="200" spans="2:25" x14ac:dyDescent="0.3">
      <c r="B200" s="126">
        <v>0.18987427985575323</v>
      </c>
      <c r="C200" s="126">
        <f t="shared" si="26"/>
        <v>4.4987797413933571E-2</v>
      </c>
      <c r="D200" s="126">
        <f t="shared" si="27"/>
        <v>2.1687418840324983E-2</v>
      </c>
      <c r="E200" s="126">
        <f t="shared" si="28"/>
        <v>3.3213647670385579E-2</v>
      </c>
      <c r="F200" s="126">
        <f t="shared" si="29"/>
        <v>3.3201442575911719E-2</v>
      </c>
      <c r="G200" s="126">
        <f t="shared" si="30"/>
        <v>0.18838089448727705</v>
      </c>
      <c r="H200" s="126">
        <f t="shared" si="31"/>
        <v>6.6650422702370829E-2</v>
      </c>
      <c r="I200" s="126">
        <f t="shared" si="32"/>
        <v>0.19136766522422941</v>
      </c>
      <c r="J200" s="126">
        <f t="shared" si="33"/>
        <v>-2.3275585021720863E-2</v>
      </c>
      <c r="M200" s="5"/>
      <c r="Y200">
        <f>IF($Z$1, D200, -0.2)</f>
        <v>-0.2</v>
      </c>
    </row>
    <row r="201" spans="2:25" x14ac:dyDescent="0.3">
      <c r="B201" s="126">
        <v>0.19172375972450661</v>
      </c>
      <c r="C201" s="126">
        <f t="shared" si="26"/>
        <v>4.4992160085696016E-2</v>
      </c>
      <c r="D201" s="126">
        <f t="shared" si="27"/>
        <v>2.1747739740427117E-2</v>
      </c>
      <c r="E201" s="126">
        <f t="shared" si="28"/>
        <v>3.2018313087993265E-2</v>
      </c>
      <c r="F201" s="126">
        <f t="shared" si="29"/>
        <v>3.2007378383177382E-2</v>
      </c>
      <c r="G201" s="126">
        <f t="shared" si="30"/>
        <v>0.19028392450696346</v>
      </c>
      <c r="H201" s="126">
        <f t="shared" si="31"/>
        <v>6.6716855183397761E-2</v>
      </c>
      <c r="I201" s="126">
        <f t="shared" si="32"/>
        <v>0.19316359494204977</v>
      </c>
      <c r="J201" s="126">
        <f t="shared" si="33"/>
        <v>-2.3221375702543519E-2</v>
      </c>
      <c r="M201" s="5"/>
      <c r="Y201">
        <f>IF($Z$1, D201, -0.2)</f>
        <v>-0.2</v>
      </c>
    </row>
    <row r="202" spans="2:25" x14ac:dyDescent="0.3">
      <c r="B202" s="126">
        <v>0.19358124895883555</v>
      </c>
      <c r="C202" s="126">
        <f t="shared" si="26"/>
        <v>4.4995472327566413E-2</v>
      </c>
      <c r="D202" s="126">
        <f t="shared" si="27"/>
        <v>2.1806107027688211E-2</v>
      </c>
      <c r="E202" s="126">
        <f t="shared" si="28"/>
        <v>3.0828897393905069E-2</v>
      </c>
      <c r="F202" s="126">
        <f t="shared" si="29"/>
        <v>3.0819136150056634E-2</v>
      </c>
      <c r="G202" s="126">
        <f t="shared" si="30"/>
        <v>0.19219474688306509</v>
      </c>
      <c r="H202" s="126">
        <f t="shared" si="31"/>
        <v>6.6780212265865863E-2</v>
      </c>
      <c r="I202" s="126">
        <f t="shared" si="32"/>
        <v>0.19496775103460601</v>
      </c>
      <c r="J202" s="126">
        <f t="shared" si="33"/>
        <v>-2.3167998210489447E-2</v>
      </c>
      <c r="M202" s="5"/>
      <c r="Y202">
        <f>IF($Z$1, D202, -0.2)</f>
        <v>-0.2</v>
      </c>
    </row>
    <row r="203" spans="2:25" x14ac:dyDescent="0.3">
      <c r="B203" s="126">
        <v>0.19544672915252015</v>
      </c>
      <c r="C203" s="126">
        <f t="shared" si="26"/>
        <v>4.4997816408983191E-2</v>
      </c>
      <c r="D203" s="126">
        <f t="shared" si="27"/>
        <v>2.1862512231759647E-2</v>
      </c>
      <c r="E203" s="126">
        <f t="shared" si="28"/>
        <v>2.9645556046553053E-2</v>
      </c>
      <c r="F203" s="126">
        <f t="shared" si="29"/>
        <v>2.9636875868770517E-2</v>
      </c>
      <c r="G203" s="126">
        <f t="shared" si="30"/>
        <v>0.19411332967057629</v>
      </c>
      <c r="H203" s="126">
        <f t="shared" si="31"/>
        <v>6.6840568296891112E-2</v>
      </c>
      <c r="I203" s="126">
        <f t="shared" si="32"/>
        <v>0.19678012863446401</v>
      </c>
      <c r="J203" s="126">
        <f t="shared" si="33"/>
        <v>-2.3115543833371811E-2</v>
      </c>
      <c r="M203" s="5"/>
      <c r="Y203">
        <f>IF($Z$1, D203, -0.2)</f>
        <v>-0.2</v>
      </c>
    </row>
    <row r="204" spans="2:25" x14ac:dyDescent="0.3">
      <c r="B204" s="126">
        <v>0.19732018182015654</v>
      </c>
      <c r="C204" s="126">
        <f t="shared" si="26"/>
        <v>4.4999276503508719E-2</v>
      </c>
      <c r="D204" s="126">
        <f t="shared" si="27"/>
        <v>2.1916947380714064E-2</v>
      </c>
      <c r="E204" s="126">
        <f t="shared" si="28"/>
        <v>2.8468444729571343E-2</v>
      </c>
      <c r="F204" s="126">
        <f t="shared" si="29"/>
        <v>2.8460757694611E-2</v>
      </c>
      <c r="G204" s="126">
        <f t="shared" si="30"/>
        <v>0.19603964120762196</v>
      </c>
      <c r="H204" s="126">
        <f t="shared" si="31"/>
        <v>6.6898000076031028E-2</v>
      </c>
      <c r="I204" s="126">
        <f t="shared" si="32"/>
        <v>0.19860072243269111</v>
      </c>
      <c r="J204" s="126">
        <f t="shared" si="33"/>
        <v>-2.3064105314602901E-2</v>
      </c>
      <c r="M204" s="5"/>
      <c r="Y204">
        <f>IF($Z$1, D204, -0.2)</f>
        <v>-0.2</v>
      </c>
    </row>
    <row r="205" spans="2:25" x14ac:dyDescent="0.3">
      <c r="B205" s="126">
        <v>0.1992015883973397</v>
      </c>
      <c r="C205" s="126">
        <f t="shared" si="26"/>
        <v>4.4999938701284631E-2</v>
      </c>
      <c r="D205" s="126">
        <f t="shared" si="27"/>
        <v>2.1969405006126673E-2</v>
      </c>
      <c r="E205" s="126">
        <f t="shared" si="28"/>
        <v>2.7297719344547597E-2</v>
      </c>
      <c r="F205" s="126">
        <f t="shared" si="29"/>
        <v>2.7290941935072303E-2</v>
      </c>
      <c r="G205" s="126">
        <f t="shared" si="30"/>
        <v>0.1979736501235595</v>
      </c>
      <c r="H205" s="126">
        <f t="shared" si="31"/>
        <v>6.6952586871298903E-2</v>
      </c>
      <c r="I205" s="126">
        <f t="shared" si="32"/>
        <v>0.20042952667111991</v>
      </c>
      <c r="J205" s="126">
        <f t="shared" si="33"/>
        <v>-2.3013776859045557E-2</v>
      </c>
      <c r="M205" s="5"/>
      <c r="Y205">
        <f>IF($Z$1, D205, -0.2)</f>
        <v>-0.2</v>
      </c>
    </row>
    <row r="206" spans="2:25" x14ac:dyDescent="0.3">
      <c r="B206" s="126">
        <v>0.20109093024084834</v>
      </c>
      <c r="C206" s="126">
        <f t="shared" si="26"/>
        <v>4.4999887908633532E-2</v>
      </c>
      <c r="D206" s="126">
        <f t="shared" si="27"/>
        <v>2.2019878148116869E-2</v>
      </c>
      <c r="E206" s="126">
        <f t="shared" si="28"/>
        <v>2.6133536003760595E-2</v>
      </c>
      <c r="F206" s="126">
        <f t="shared" si="29"/>
        <v>2.6127589039072523E-2</v>
      </c>
      <c r="G206" s="126">
        <f t="shared" si="30"/>
        <v>0.19991532542803625</v>
      </c>
      <c r="H206" s="126">
        <f t="shared" si="31"/>
        <v>6.700440732330859E-2</v>
      </c>
      <c r="I206" s="126">
        <f t="shared" si="32"/>
        <v>0.20226653505366043</v>
      </c>
      <c r="J206" s="126">
        <f t="shared" si="33"/>
        <v>-2.2964651027074855E-2</v>
      </c>
      <c r="M206" s="5"/>
      <c r="Y206">
        <f>IF($Z$1, D206, -0.2)</f>
        <v>-0.2</v>
      </c>
    </row>
    <row r="207" spans="2:25" x14ac:dyDescent="0.3">
      <c r="B207" s="126">
        <v>0.20298818862882839</v>
      </c>
      <c r="C207" s="126">
        <f t="shared" si="26"/>
        <v>4.4999159539467551E-2</v>
      </c>
      <c r="D207" s="126">
        <f t="shared" si="27"/>
        <v>2.2068360360349433E-2</v>
      </c>
      <c r="E207" s="126">
        <f t="shared" si="28"/>
        <v>2.4976051022906065E-2</v>
      </c>
      <c r="F207" s="126">
        <f t="shared" si="29"/>
        <v>2.4970859586271314E-2</v>
      </c>
      <c r="G207" s="126">
        <f t="shared" si="30"/>
        <v>0.20186463770683677</v>
      </c>
      <c r="H207" s="126">
        <f t="shared" si="31"/>
        <v>6.7053491154692418E-2</v>
      </c>
      <c r="I207" s="126">
        <f t="shared" si="32"/>
        <v>0.20411173955082001</v>
      </c>
      <c r="J207" s="126">
        <f t="shared" si="33"/>
        <v>-2.2916770433993545E-2</v>
      </c>
      <c r="M207" s="5"/>
      <c r="Y207">
        <f>IF($Z$1, D207, -0.2)</f>
        <v>-0.2</v>
      </c>
    </row>
    <row r="208" spans="2:25" x14ac:dyDescent="0.3">
      <c r="B208" s="126">
        <v>0.20489334476097976</v>
      </c>
      <c r="C208" s="126">
        <f t="shared" si="26"/>
        <v>4.4997747656053383E-2</v>
      </c>
      <c r="D208" s="126">
        <f t="shared" si="27"/>
        <v>2.21148457149947E-2</v>
      </c>
      <c r="E208" s="126">
        <f t="shared" si="28"/>
        <v>2.3825420913808411E-2</v>
      </c>
      <c r="F208" s="126">
        <f t="shared" si="29"/>
        <v>2.3820914276484983E-2</v>
      </c>
      <c r="G208" s="126">
        <f t="shared" si="30"/>
        <v>0.20382155863980453</v>
      </c>
      <c r="H208" s="126">
        <f t="shared" si="31"/>
        <v>6.709982730472433E-2</v>
      </c>
      <c r="I208" s="126">
        <f t="shared" si="32"/>
        <v>0.20596513088215498</v>
      </c>
      <c r="J208" s="126">
        <f t="shared" si="33"/>
        <v>-2.2870135874734927E-2</v>
      </c>
      <c r="M208" s="5"/>
      <c r="Y208">
        <f>IF($Z$1, D208, -0.2)</f>
        <v>-0.2</v>
      </c>
    </row>
    <row r="209" spans="2:25" x14ac:dyDescent="0.3">
      <c r="B209" s="126">
        <v>0.20680637975874194</v>
      </c>
      <c r="C209" s="126">
        <f t="shared" si="26"/>
        <v>4.4995645123155049E-2</v>
      </c>
      <c r="D209" s="126">
        <f t="shared" si="27"/>
        <v>2.2159328807647014E-2</v>
      </c>
      <c r="E209" s="126">
        <f t="shared" si="28"/>
        <v>2.2681802377121064E-2</v>
      </c>
      <c r="F209" s="126">
        <f t="shared" si="29"/>
        <v>2.2677913919205102E-2</v>
      </c>
      <c r="G209" s="126">
        <f t="shared" si="30"/>
        <v>0.20578605985349074</v>
      </c>
      <c r="H209" s="126">
        <f t="shared" si="31"/>
        <v>6.7143404071454041E-2</v>
      </c>
      <c r="I209" s="126">
        <f t="shared" si="32"/>
        <v>0.20782669966399314</v>
      </c>
      <c r="J209" s="126">
        <f t="shared" si="33"/>
        <v>-2.2824746456160009E-2</v>
      </c>
      <c r="M209" s="5"/>
      <c r="Y209">
        <f>IF($Z$1, D209, -0.2)</f>
        <v>-0.2</v>
      </c>
    </row>
    <row r="210" spans="2:25" x14ac:dyDescent="0.3">
      <c r="B210" s="126">
        <v>0.20872727466548102</v>
      </c>
      <c r="C210" s="126">
        <f t="shared" si="26"/>
        <v>4.4992844830485441E-2</v>
      </c>
      <c r="D210" s="126">
        <f t="shared" si="27"/>
        <v>2.2201804762200853E-2</v>
      </c>
      <c r="E210" s="126">
        <f t="shared" si="28"/>
        <v>2.1545352295014909E-2</v>
      </c>
      <c r="F210" s="126">
        <f t="shared" si="29"/>
        <v>2.1542019423223546E-2</v>
      </c>
      <c r="G210" s="126">
        <f t="shared" si="30"/>
        <v>0.2077581128902713</v>
      </c>
      <c r="H210" s="126">
        <f t="shared" si="31"/>
        <v>6.7184210338088107E-2</v>
      </c>
      <c r="I210" s="126">
        <f t="shared" si="32"/>
        <v>0.20969643644069075</v>
      </c>
      <c r="J210" s="126">
        <f t="shared" si="33"/>
        <v>-2.2780600813686405E-2</v>
      </c>
      <c r="M210" s="5"/>
      <c r="Y210">
        <f>IF($Z$1, D210, -0.2)</f>
        <v>-0.2</v>
      </c>
    </row>
    <row r="211" spans="2:25" x14ac:dyDescent="0.3">
      <c r="B211" s="126">
        <v>0.21065601044667814</v>
      </c>
      <c r="C211" s="126">
        <f t="shared" si="26"/>
        <v>4.4989339693330917E-2</v>
      </c>
      <c r="D211" s="126">
        <f t="shared" si="27"/>
        <v>2.2242269235683888E-2</v>
      </c>
      <c r="E211" s="126">
        <f t="shared" si="28"/>
        <v>2.0416227723853944E-2</v>
      </c>
      <c r="F211" s="126">
        <f t="shared" si="29"/>
        <v>2.041339178636635E-2</v>
      </c>
      <c r="G211" s="126">
        <f t="shared" si="30"/>
        <v>0.20973768921082353</v>
      </c>
      <c r="H211" s="126">
        <f t="shared" si="31"/>
        <v>6.722223557793118E-2</v>
      </c>
      <c r="I211" s="126">
        <f t="shared" si="32"/>
        <v>0.21157433168253276</v>
      </c>
      <c r="J211" s="126">
        <f t="shared" si="33"/>
        <v>-2.2737697106563402E-2</v>
      </c>
      <c r="M211" s="5"/>
      <c r="Y211">
        <f>IF($Z$1, D211, -0.2)</f>
        <v>-0.2</v>
      </c>
    </row>
    <row r="212" spans="2:25" x14ac:dyDescent="0.3">
      <c r="B212" s="126">
        <v>0.21259256799011716</v>
      </c>
      <c r="C212" s="126">
        <f t="shared" si="26"/>
        <v>4.4985122653173844E-2</v>
      </c>
      <c r="D212" s="126">
        <f t="shared" si="27"/>
        <v>2.2280718423046443E-2</v>
      </c>
      <c r="E212" s="126">
        <f t="shared" si="28"/>
        <v>1.929458588686081E-2</v>
      </c>
      <c r="F212" s="126">
        <f t="shared" si="29"/>
        <v>1.9292192085342212E-2</v>
      </c>
      <c r="G212" s="126">
        <f t="shared" si="30"/>
        <v>0.2117247601966192</v>
      </c>
      <c r="H212" s="126">
        <f t="shared" si="31"/>
        <v>6.725746985925668E-2</v>
      </c>
      <c r="I212" s="126">
        <f t="shared" si="32"/>
        <v>0.21346037578361512</v>
      </c>
      <c r="J212" s="126">
        <f t="shared" si="33"/>
        <v>-2.2696033013163787E-2</v>
      </c>
      <c r="M212" s="5"/>
      <c r="Y212">
        <f>IF($Z$1, D212, -0.2)</f>
        <v>-0.2</v>
      </c>
    </row>
    <row r="213" spans="2:25" x14ac:dyDescent="0.3">
      <c r="B213" s="126">
        <v>0.21453692810607505</v>
      </c>
      <c r="C213" s="126">
        <f t="shared" si="26"/>
        <v>4.498018667831305E-2</v>
      </c>
      <c r="D213" s="126">
        <f t="shared" si="27"/>
        <v>2.2317149061906613E-2</v>
      </c>
      <c r="E213" s="126">
        <f t="shared" si="28"/>
        <v>1.8180584166769927E-2</v>
      </c>
      <c r="F213" s="126">
        <f t="shared" si="29"/>
        <v>1.8178581465706407E-2</v>
      </c>
      <c r="G213" s="126">
        <f t="shared" si="30"/>
        <v>0.21371929715243668</v>
      </c>
      <c r="H213" s="126">
        <f t="shared" si="31"/>
        <v>6.7289903850106358E-2</v>
      </c>
      <c r="I213" s="126">
        <f t="shared" si="32"/>
        <v>0.21535455905971343</v>
      </c>
      <c r="J213" s="126">
        <f t="shared" si="33"/>
        <v>-2.2655605726293132E-2</v>
      </c>
      <c r="M213" s="5"/>
      <c r="Y213">
        <f>IF($Z$1, D213, -0.2)</f>
        <v>-0.2</v>
      </c>
    </row>
    <row r="214" spans="2:25" x14ac:dyDescent="0.3">
      <c r="B214" s="126">
        <v>0.2164890715275114</v>
      </c>
      <c r="C214" s="126">
        <f t="shared" si="26"/>
        <v>4.4974524764482125E-2</v>
      </c>
      <c r="D214" s="126">
        <f t="shared" si="27"/>
        <v>2.2351558437250438E-2</v>
      </c>
      <c r="E214" s="126">
        <f t="shared" si="28"/>
        <v>1.7074380098470832E-2</v>
      </c>
      <c r="F214" s="126">
        <f t="shared" si="29"/>
        <v>1.7072721131945631E-2</v>
      </c>
      <c r="G214" s="126">
        <f t="shared" si="30"/>
        <v>0.21572127130888802</v>
      </c>
      <c r="H214" s="126">
        <f t="shared" si="31"/>
        <v>6.7319528823018338E-2</v>
      </c>
      <c r="I214" s="126">
        <f t="shared" si="32"/>
        <v>0.21725687174613478</v>
      </c>
      <c r="J214" s="126">
        <f t="shared" si="33"/>
        <v>-2.2616411948517455E-2</v>
      </c>
      <c r="M214" s="5"/>
      <c r="Y214">
        <f>IF($Z$1, D214, -0.2)</f>
        <v>-0.2</v>
      </c>
    </row>
    <row r="215" spans="2:25" x14ac:dyDescent="0.3">
      <c r="B215" s="126">
        <v>0.21844897891025949</v>
      </c>
      <c r="C215" s="126">
        <f t="shared" si="26"/>
        <v>4.4968129935465451E-2</v>
      </c>
      <c r="D215" s="126">
        <f t="shared" si="27"/>
        <v>2.2383944386086506E-2</v>
      </c>
      <c r="E215" s="126">
        <f t="shared" si="28"/>
        <v>1.597613136164016E-2</v>
      </c>
      <c r="F215" s="126">
        <f t="shared" si="29"/>
        <v>1.5974772337685052E-2</v>
      </c>
      <c r="G215" s="126">
        <f t="shared" si="30"/>
        <v>0.21773065382496293</v>
      </c>
      <c r="H215" s="126">
        <f t="shared" si="31"/>
        <v>6.7346336659682648E-2</v>
      </c>
      <c r="I215" s="126">
        <f t="shared" si="32"/>
        <v>0.21916730399555606</v>
      </c>
      <c r="J215" s="126">
        <f t="shared" si="33"/>
        <v>-2.257844788750963E-2</v>
      </c>
      <c r="M215" s="5"/>
      <c r="Y215">
        <f>IF($Z$1, D215, -0.2)</f>
        <v>-0.2</v>
      </c>
    </row>
    <row r="216" spans="2:25" x14ac:dyDescent="0.3">
      <c r="B216" s="126">
        <v>0.22041663083321805</v>
      </c>
      <c r="C216" s="126">
        <f t="shared" si="26"/>
        <v>4.4960995243712117E-2</v>
      </c>
      <c r="D216" s="126">
        <f t="shared" si="27"/>
        <v>2.2414305302054321E-2</v>
      </c>
      <c r="E216" s="126">
        <f t="shared" si="28"/>
        <v>1.4885995773363992E-2</v>
      </c>
      <c r="F216" s="126">
        <f t="shared" si="29"/>
        <v>1.4884896376021899E-2</v>
      </c>
      <c r="G216" s="126">
        <f t="shared" si="30"/>
        <v>0.21974741579058782</v>
      </c>
      <c r="H216" s="126">
        <f t="shared" si="31"/>
        <v>6.7370319855524483E-2</v>
      </c>
      <c r="I216" s="126">
        <f t="shared" si="32"/>
        <v>0.22108584587584829</v>
      </c>
      <c r="J216" s="126">
        <f t="shared" si="33"/>
        <v>-2.254170925141584E-2</v>
      </c>
      <c r="M216" s="5"/>
      <c r="Y216">
        <f>IF($Z$1, D216, -0.2)</f>
        <v>-0.2</v>
      </c>
    </row>
    <row r="217" spans="2:25" x14ac:dyDescent="0.3">
      <c r="B217" s="126">
        <v>0.22239200779854373</v>
      </c>
      <c r="C217" s="126">
        <f t="shared" si="26"/>
        <v>4.4953113770947302E-2</v>
      </c>
      <c r="D217" s="126">
        <f t="shared" si="27"/>
        <v>2.2442640139985866E-2</v>
      </c>
      <c r="E217" s="126">
        <f t="shared" si="28"/>
        <v>1.3804131280750089E-2</v>
      </c>
      <c r="F217" s="126">
        <f t="shared" si="29"/>
        <v>1.3803254569987712E-2</v>
      </c>
      <c r="G217" s="126">
        <f t="shared" si="30"/>
        <v>0.22177152822919954</v>
      </c>
      <c r="H217" s="126">
        <f t="shared" si="31"/>
        <v>6.7391471524213847E-2</v>
      </c>
      <c r="I217" s="126">
        <f t="shared" si="32"/>
        <v>0.22301248736788792</v>
      </c>
      <c r="J217" s="126">
        <f t="shared" si="33"/>
        <v>-2.2506191244242118E-2</v>
      </c>
      <c r="M217" s="5"/>
      <c r="Y217">
        <f>IF($Z$1, D217, -0.2)</f>
        <v>-0.2</v>
      </c>
    </row>
    <row r="218" spans="2:25" x14ac:dyDescent="0.3">
      <c r="B218" s="126">
        <v>0.22437509023184399</v>
      </c>
      <c r="C218" s="126">
        <f t="shared" si="26"/>
        <v>4.4944478628781537E-2</v>
      </c>
      <c r="D218" s="126">
        <f t="shared" si="27"/>
        <v>2.2468948420419601E-2</v>
      </c>
      <c r="E218" s="126">
        <f t="shared" si="28"/>
        <v>1.2730695953530222E-2</v>
      </c>
      <c r="F218" s="126">
        <f t="shared" si="29"/>
        <v>1.2730008263141841E-2</v>
      </c>
      <c r="G218" s="126">
        <f t="shared" si="30"/>
        <v>0.22380296210033301</v>
      </c>
      <c r="H218" s="126">
        <f t="shared" si="31"/>
        <v>6.7409785402101796E-2</v>
      </c>
      <c r="I218" s="126">
        <f t="shared" si="32"/>
        <v>0.22494721836335496</v>
      </c>
      <c r="J218" s="126">
        <f t="shared" si="33"/>
        <v>-2.2471888561262591E-2</v>
      </c>
      <c r="M218" s="5"/>
      <c r="Y218">
        <f>IF($Z$1, D218, -0.2)</f>
        <v>-0.2</v>
      </c>
    </row>
    <row r="219" spans="2:25" x14ac:dyDescent="0.3">
      <c r="B219" s="126">
        <v>0.22636585848237156</v>
      </c>
      <c r="C219" s="126">
        <f t="shared" si="26"/>
        <v>4.4935082959317273E-2</v>
      </c>
      <c r="D219" s="126">
        <f t="shared" si="27"/>
        <v>2.2493230234066481E-2</v>
      </c>
      <c r="E219" s="126">
        <f t="shared" si="28"/>
        <v>1.1665847976653296E-2</v>
      </c>
      <c r="F219" s="126">
        <f t="shared" si="29"/>
        <v>1.1665318810299145E-2</v>
      </c>
      <c r="G219" s="126">
        <f t="shared" si="30"/>
        <v>0.22584168830222287</v>
      </c>
      <c r="H219" s="126">
        <f t="shared" si="31"/>
        <v>6.7425255852582369E-2</v>
      </c>
      <c r="I219" s="126">
        <f t="shared" si="32"/>
        <v>0.22689002866252025</v>
      </c>
      <c r="J219" s="126">
        <f t="shared" si="33"/>
        <v>-2.2438795384449411E-2</v>
      </c>
      <c r="M219" s="5"/>
      <c r="Y219">
        <f>IF($Z$1, D219, -0.2)</f>
        <v>-0.2</v>
      </c>
    </row>
    <row r="220" spans="2:25" x14ac:dyDescent="0.3">
      <c r="B220" s="126">
        <v>0.22836429282321902</v>
      </c>
      <c r="C220" s="126">
        <f t="shared" si="26"/>
        <v>4.4924919935753323E-2</v>
      </c>
      <c r="D220" s="126">
        <f t="shared" si="27"/>
        <v>2.2515486246227165E-2</v>
      </c>
      <c r="E220" s="126">
        <f t="shared" si="28"/>
        <v>1.0609745642869813E-2</v>
      </c>
      <c r="F220" s="126">
        <f t="shared" si="29"/>
        <v>1.060934756839459E-2</v>
      </c>
      <c r="G220" s="126">
        <f t="shared" si="30"/>
        <v>0.22788767767441737</v>
      </c>
      <c r="H220" s="126">
        <f t="shared" si="31"/>
        <v>6.7437877870380247E-2</v>
      </c>
      <c r="I220" s="126">
        <f t="shared" si="32"/>
        <v>0.22884090797202067</v>
      </c>
      <c r="J220" s="126">
        <f t="shared" si="33"/>
        <v>-2.2406905377925918E-2</v>
      </c>
      <c r="M220" s="5"/>
      <c r="Y220">
        <f>IF($Z$1, D220, -0.2)</f>
        <v>-0.2</v>
      </c>
    </row>
    <row r="221" spans="2:25" x14ac:dyDescent="0.3">
      <c r="B221" s="126">
        <v>0.2303703734515139</v>
      </c>
      <c r="C221" s="126">
        <f t="shared" si="26"/>
        <v>4.4913982762986415E-2</v>
      </c>
      <c r="D221" s="126">
        <f t="shared" si="27"/>
        <v>2.2535717701159919E-2</v>
      </c>
      <c r="E221" s="126">
        <f t="shared" si="28"/>
        <v>9.5625473453074261E-3</v>
      </c>
      <c r="F221" s="126">
        <f t="shared" si="29"/>
        <v>9.5622558874864406E-3</v>
      </c>
      <c r="G221" s="126">
        <f t="shared" si="30"/>
        <v>0.22994090100040454</v>
      </c>
      <c r="H221" s="126">
        <f t="shared" si="31"/>
        <v>6.7447647085763063E-2</v>
      </c>
      <c r="I221" s="126">
        <f t="shared" si="32"/>
        <v>0.23079984590262326</v>
      </c>
      <c r="J221" s="126">
        <f t="shared" si="33"/>
        <v>-2.2376211683443219E-2</v>
      </c>
      <c r="M221" s="5"/>
      <c r="Y221">
        <f>IF($Z$1, D221, -0.2)</f>
        <v>-0.2</v>
      </c>
    </row>
    <row r="222" spans="2:25" x14ac:dyDescent="0.3">
      <c r="B222" s="126">
        <v>0.23238408048861525</v>
      </c>
      <c r="C222" s="126">
        <f t="shared" si="26"/>
        <v>4.4902264678210457E-2</v>
      </c>
      <c r="D222" s="126">
        <f t="shared" si="27"/>
        <v>2.2553926426398641E-2</v>
      </c>
      <c r="E222" s="126">
        <f t="shared" si="28"/>
        <v>8.5244115700377158E-3</v>
      </c>
      <c r="F222" s="126">
        <f t="shared" si="29"/>
        <v>8.5242051019000405E-3</v>
      </c>
      <c r="G222" s="126">
        <f t="shared" si="30"/>
        <v>0.23200132901025031</v>
      </c>
      <c r="H222" s="126">
        <f t="shared" si="31"/>
        <v>6.7454559768678743E-2</v>
      </c>
      <c r="I222" s="126">
        <f t="shared" si="32"/>
        <v>0.2327668319669802</v>
      </c>
      <c r="J222" s="126">
        <f t="shared" si="33"/>
        <v>-2.2346706915881462E-2</v>
      </c>
      <c r="M222" s="5"/>
      <c r="Y222">
        <f>IF($Z$1, D222, -0.2)</f>
        <v>-0.2</v>
      </c>
    </row>
    <row r="223" spans="2:25" x14ac:dyDescent="0.3">
      <c r="B223" s="126">
        <v>0.23440539398031057</v>
      </c>
      <c r="C223" s="126">
        <f t="shared" si="26"/>
        <v>4.4889758951513106E-2</v>
      </c>
      <c r="D223" s="126">
        <f t="shared" si="27"/>
        <v>2.2570114837020257E-2</v>
      </c>
      <c r="E223" s="126">
        <f t="shared" si="28"/>
        <v>7.495496888635384E-3</v>
      </c>
      <c r="F223" s="126">
        <f t="shared" si="29"/>
        <v>7.4953565215150168E-3</v>
      </c>
      <c r="G223" s="126">
        <f t="shared" si="30"/>
        <v>0.23406893238324755</v>
      </c>
      <c r="H223" s="126">
        <f t="shared" si="31"/>
        <v>6.7458612832817053E-2</v>
      </c>
      <c r="I223" s="126">
        <f t="shared" si="32"/>
        <v>0.23474185557737359</v>
      </c>
      <c r="J223" s="126">
        <f t="shared" si="33"/>
        <v>-2.2318383158776534E-2</v>
      </c>
      <c r="M223" s="5"/>
      <c r="Y223">
        <f>IF($Z$1, D223, -0.2)</f>
        <v>-0.2</v>
      </c>
    </row>
    <row r="224" spans="2:25" x14ac:dyDescent="0.3">
      <c r="B224" s="126">
        <v>0.23643429389701376</v>
      </c>
      <c r="C224" s="126">
        <f t="shared" si="26"/>
        <v>4.4876458886469558E-2</v>
      </c>
      <c r="D224" s="126">
        <f t="shared" si="27"/>
        <v>2.2584285939861008E-2</v>
      </c>
      <c r="E224" s="126">
        <f t="shared" si="28"/>
        <v>6.4759619507291939E-3</v>
      </c>
      <c r="F224" s="126">
        <f t="shared" si="29"/>
        <v>6.4758714231967782E-3</v>
      </c>
      <c r="G224" s="126">
        <f t="shared" si="30"/>
        <v>0.23614368175057582</v>
      </c>
      <c r="H224" s="126">
        <f t="shared" si="31"/>
        <v>6.7459803839594878E-2</v>
      </c>
      <c r="I224" s="126">
        <f t="shared" si="32"/>
        <v>0.2367249060434517</v>
      </c>
      <c r="J224" s="126">
        <f t="shared" si="33"/>
        <v>-2.2291231959872867E-2</v>
      </c>
      <c r="M224" s="5"/>
      <c r="Y224">
        <f>IF($Z$1, D224, -0.2)</f>
        <v>-0.2</v>
      </c>
    </row>
    <row r="225" spans="2:25" x14ac:dyDescent="0.3">
      <c r="B225" s="126">
        <v>0.23847076013396296</v>
      </c>
      <c r="C225" s="126">
        <f t="shared" si="26"/>
        <v>4.4862357820733827E-2</v>
      </c>
      <c r="D225" s="126">
        <f t="shared" si="27"/>
        <v>2.2596443337680988E-2</v>
      </c>
      <c r="E225" s="126">
        <f t="shared" si="28"/>
        <v>5.465965476546015E-3</v>
      </c>
      <c r="F225" s="126">
        <f t="shared" si="29"/>
        <v>5.4659110423750266E-3</v>
      </c>
      <c r="G225" s="126">
        <f t="shared" si="30"/>
        <v>0.23822554769796983</v>
      </c>
      <c r="H225" s="126">
        <f t="shared" si="31"/>
        <v>6.7458131002065519E-2</v>
      </c>
      <c r="I225" s="126">
        <f t="shared" si="32"/>
        <v>0.23871597256995608</v>
      </c>
      <c r="J225" s="126">
        <f t="shared" si="33"/>
        <v>-2.226524432670355E-2</v>
      </c>
      <c r="M225" s="5"/>
      <c r="Y225">
        <f>IF($Z$1, D225, -0.2)</f>
        <v>-0.2</v>
      </c>
    </row>
    <row r="226" spans="2:25" x14ac:dyDescent="0.3">
      <c r="B226" s="126">
        <v>0.24051477251142062</v>
      </c>
      <c r="C226" s="126">
        <f t="shared" si="26"/>
        <v>4.4847449126626991E-2</v>
      </c>
      <c r="D226" s="126">
        <f t="shared" si="27"/>
        <v>2.2606591233276352E-2</v>
      </c>
      <c r="E226" s="126">
        <f t="shared" si="28"/>
        <v>4.4656662494470386E-3</v>
      </c>
      <c r="F226" s="126">
        <f t="shared" si="29"/>
        <v>4.4656365647695343E-3</v>
      </c>
      <c r="G226" s="126">
        <f t="shared" si="30"/>
        <v>0.24031450076839916</v>
      </c>
      <c r="H226" s="126">
        <f t="shared" si="31"/>
        <v>6.7453593188750965E-2</v>
      </c>
      <c r="I226" s="126">
        <f t="shared" si="32"/>
        <v>0.24071504425444207</v>
      </c>
      <c r="J226" s="126">
        <f t="shared" si="33"/>
        <v>-2.2240410722198255E-2</v>
      </c>
      <c r="M226" s="5"/>
      <c r="Y226">
        <f>IF($Z$1, D226, -0.2)</f>
        <v>-0.2</v>
      </c>
    </row>
    <row r="227" spans="2:25" x14ac:dyDescent="0.3">
      <c r="B227" s="126">
        <v>0.24256631077487267</v>
      </c>
      <c r="C227" s="126">
        <f t="shared" si="26"/>
        <v>4.4831726211722947E-2</v>
      </c>
      <c r="D227" s="126">
        <f t="shared" si="27"/>
        <v>2.2614734433538623E-2</v>
      </c>
      <c r="E227" s="126">
        <f t="shared" si="28"/>
        <v>3.4752231084575059E-3</v>
      </c>
      <c r="F227" s="126">
        <f t="shared" si="29"/>
        <v>3.4752091182655778E-3</v>
      </c>
      <c r="G227" s="126">
        <f t="shared" si="30"/>
        <v>0.24241051146475462</v>
      </c>
      <c r="H227" s="126">
        <f t="shared" si="31"/>
        <v>6.7446189927397537E-2</v>
      </c>
      <c r="I227" s="126">
        <f t="shared" si="32"/>
        <v>0.24272211008499073</v>
      </c>
      <c r="J227" s="126">
        <f t="shared" si="33"/>
        <v>-2.2216721060320296E-2</v>
      </c>
      <c r="M227" s="5"/>
      <c r="Y227">
        <f>IF($Z$1, D227, -0.2)</f>
        <v>-0.2</v>
      </c>
    </row>
    <row r="228" spans="2:25" x14ac:dyDescent="0.3">
      <c r="B228" s="126">
        <v>0.24462535459522983</v>
      </c>
      <c r="C228" s="126">
        <f t="shared" si="26"/>
        <v>4.4815182519431007E-2</v>
      </c>
      <c r="D228" s="126">
        <f t="shared" si="27"/>
        <v>2.2620878353460432E-2</v>
      </c>
      <c r="E228" s="126">
        <f t="shared" si="28"/>
        <v>2.4947949407897463E-3</v>
      </c>
      <c r="F228" s="126">
        <f t="shared" si="29"/>
        <v>2.494789764939677E-3</v>
      </c>
      <c r="G228" s="126">
        <f t="shared" si="30"/>
        <v>0.24451355025254445</v>
      </c>
      <c r="H228" s="126">
        <f t="shared" si="31"/>
        <v>6.7435921408654204E-2</v>
      </c>
      <c r="I228" s="126">
        <f t="shared" si="32"/>
        <v>0.2447371589379152</v>
      </c>
      <c r="J228" s="126">
        <f t="shared" si="33"/>
        <v>-2.2194164701733334E-2</v>
      </c>
      <c r="M228" s="5"/>
      <c r="Y228">
        <f>IF($Z$1, D228, -0.2)</f>
        <v>-0.2</v>
      </c>
    </row>
    <row r="229" spans="2:25" x14ac:dyDescent="0.3">
      <c r="B229" s="126">
        <v>0.24669188356902849</v>
      </c>
      <c r="C229" s="126">
        <f t="shared" si="26"/>
        <v>4.4797811529575723E-2</v>
      </c>
      <c r="D229" s="126">
        <f t="shared" si="27"/>
        <v>2.2625029020087187E-2</v>
      </c>
      <c r="E229" s="126">
        <f t="shared" si="28"/>
        <v>1.5245406743602957E-3</v>
      </c>
      <c r="F229" s="126">
        <f t="shared" si="29"/>
        <v>1.524539493237132E-3</v>
      </c>
      <c r="G229" s="126">
        <f t="shared" si="30"/>
        <v>0.24662358756259689</v>
      </c>
      <c r="H229" s="126">
        <f t="shared" si="31"/>
        <v>6.7422788489673313E-2</v>
      </c>
      <c r="I229" s="126">
        <f t="shared" si="32"/>
        <v>0.24676017957546009</v>
      </c>
      <c r="J229" s="126">
        <f t="shared" si="33"/>
        <v>-2.2172730449498933E-2</v>
      </c>
      <c r="M229" s="5"/>
      <c r="Y229">
        <f>IF($Z$1, D229, -0.2)</f>
        <v>-0.2</v>
      </c>
    </row>
    <row r="230" spans="2:25" x14ac:dyDescent="0.3">
      <c r="B230" s="126">
        <v>0.24876587721863352</v>
      </c>
      <c r="C230" s="126">
        <f t="shared" si="26"/>
        <v>4.4779606758973779E-2</v>
      </c>
      <c r="D230" s="126">
        <f t="shared" si="27"/>
        <v>2.2627193076414146E-2</v>
      </c>
      <c r="E230" s="126">
        <f t="shared" si="28"/>
        <v>5.6461927030010894E-4</v>
      </c>
      <c r="F230" s="126">
        <f t="shared" si="29"/>
        <v>5.6461921030086866E-4</v>
      </c>
      <c r="G230" s="126">
        <f t="shared" si="30"/>
        <v>0.24874059379377106</v>
      </c>
      <c r="H230" s="126">
        <f t="shared" si="31"/>
        <v>6.7406792697634055E-2</v>
      </c>
      <c r="I230" s="126">
        <f t="shared" si="32"/>
        <v>0.24879116064349599</v>
      </c>
      <c r="J230" s="126">
        <f t="shared" si="33"/>
        <v>-2.2152406544805759E-2</v>
      </c>
      <c r="M230" s="5"/>
      <c r="Y230">
        <f>IF($Z$1, D230, -0.2)</f>
        <v>-0.2</v>
      </c>
    </row>
    <row r="231" spans="2:25" x14ac:dyDescent="0.3">
      <c r="B231" s="126">
        <v>0.25084731499244084</v>
      </c>
      <c r="C231" s="126">
        <f t="shared" si="26"/>
        <v>4.4760561762007739E-2</v>
      </c>
      <c r="D231" s="126">
        <f t="shared" si="27"/>
        <v>2.2627377785228168E-2</v>
      </c>
      <c r="E231" s="126">
        <f t="shared" si="28"/>
        <v>-3.8481028453967711E-4</v>
      </c>
      <c r="F231" s="126">
        <f t="shared" si="29"/>
        <v>-3.848102655455772E-4</v>
      </c>
      <c r="G231" s="126">
        <f t="shared" si="30"/>
        <v>0.25086453931567337</v>
      </c>
      <c r="H231" s="126">
        <f t="shared" si="31"/>
        <v>6.7387936233187673E-2</v>
      </c>
      <c r="I231" s="126">
        <f t="shared" si="32"/>
        <v>0.25083009066920831</v>
      </c>
      <c r="J231" s="126">
        <f t="shared" si="33"/>
        <v>-2.2133180662731334E-2</v>
      </c>
      <c r="M231" s="5"/>
      <c r="Y231">
        <f>IF($Z$1, D231, -0.2)</f>
        <v>-0.2</v>
      </c>
    </row>
    <row r="232" spans="2:25" x14ac:dyDescent="0.3">
      <c r="B232" s="126">
        <v>0.25293617626508091</v>
      </c>
      <c r="C232" s="126">
        <f t="shared" si="26"/>
        <v>4.4740670131196883E-2</v>
      </c>
      <c r="D232" s="126">
        <f t="shared" si="27"/>
        <v>2.2625591032893737E-2</v>
      </c>
      <c r="E232" s="126">
        <f t="shared" si="28"/>
        <v>-1.3235889850879412E-3</v>
      </c>
      <c r="F232" s="126">
        <f t="shared" si="29"/>
        <v>-1.3235882121622881E-3</v>
      </c>
      <c r="G232" s="126">
        <f t="shared" si="30"/>
        <v>0.2529953944713802</v>
      </c>
      <c r="H232" s="126">
        <f t="shared" si="31"/>
        <v>6.7366221973824997E-2</v>
      </c>
      <c r="I232" s="126">
        <f t="shared" si="32"/>
        <v>0.25287695805878163</v>
      </c>
      <c r="J232" s="126">
        <f t="shared" si="33"/>
        <v>-2.2115039908037523E-2</v>
      </c>
      <c r="M232" s="5"/>
      <c r="Y232">
        <f>IF($Z$1, D232, -0.2)</f>
        <v>-0.2</v>
      </c>
    </row>
    <row r="233" spans="2:25" x14ac:dyDescent="0.3">
      <c r="B233" s="126">
        <v>0.25503244033762351</v>
      </c>
      <c r="C233" s="126">
        <f t="shared" si="26"/>
        <v>4.4719925497764892E-2</v>
      </c>
      <c r="D233" s="126">
        <f t="shared" si="27"/>
        <v>2.2621841333082541E-2</v>
      </c>
      <c r="E233" s="126">
        <f t="shared" si="28"/>
        <v>-2.251557815559023E-3</v>
      </c>
      <c r="F233" s="126">
        <f t="shared" si="29"/>
        <v>-2.2515540108036932E-3</v>
      </c>
      <c r="G233" s="126">
        <f t="shared" si="30"/>
        <v>0.25513312958016687</v>
      </c>
      <c r="H233" s="126">
        <f t="shared" si="31"/>
        <v>6.73416534771656E-2</v>
      </c>
      <c r="I233" s="126">
        <f t="shared" si="32"/>
        <v>0.25493175109508015</v>
      </c>
      <c r="J233" s="126">
        <f t="shared" si="33"/>
        <v>-2.2097970811000515E-2</v>
      </c>
      <c r="M233" s="5"/>
      <c r="Y233">
        <f>IF($Z$1, D233, -0.2)</f>
        <v>-0.2</v>
      </c>
    </row>
    <row r="234" spans="2:25" x14ac:dyDescent="0.3">
      <c r="B234" s="126">
        <v>0.25713608643778241</v>
      </c>
      <c r="C234" s="126">
        <f t="shared" si="26"/>
        <v>4.4698321532204259E-2</v>
      </c>
      <c r="D234" s="126">
        <f t="shared" si="27"/>
        <v>2.2616137830446265E-2</v>
      </c>
      <c r="E234" s="126">
        <f t="shared" si="28"/>
        <v>-3.1685577569621048E-3</v>
      </c>
      <c r="F234" s="126">
        <f t="shared" si="29"/>
        <v>-3.1685471531746768E-3</v>
      </c>
      <c r="G234" s="126">
        <f t="shared" si="30"/>
        <v>0.25727771494024027</v>
      </c>
      <c r="H234" s="126">
        <f t="shared" si="31"/>
        <v>6.7314234984168664E-2</v>
      </c>
      <c r="I234" s="126">
        <f t="shared" si="32"/>
        <v>0.25699445793532455</v>
      </c>
      <c r="J234" s="126">
        <f t="shared" si="33"/>
        <v>-2.208195932327613E-2</v>
      </c>
      <c r="M234" s="5"/>
      <c r="Y234">
        <f>IF($Z$1, D234, -0.2)</f>
        <v>-0.2</v>
      </c>
    </row>
    <row r="235" spans="2:25" x14ac:dyDescent="0.3">
      <c r="B235" s="126">
        <v>0.25924709372012167</v>
      </c>
      <c r="C235" s="126">
        <f t="shared" si="26"/>
        <v>4.4675851944837718E-2</v>
      </c>
      <c r="D235" s="126">
        <f t="shared" si="27"/>
        <v>2.2608490304231808E-2</v>
      </c>
      <c r="E235" s="126">
        <f t="shared" si="28"/>
        <v>-4.0744297946159009E-3</v>
      </c>
      <c r="F235" s="126">
        <f t="shared" si="29"/>
        <v>-4.0744072483338079E-3</v>
      </c>
      <c r="G235" s="126">
        <f t="shared" si="30"/>
        <v>0.25942912083147779</v>
      </c>
      <c r="H235" s="126">
        <f t="shared" si="31"/>
        <v>6.7283971422265582E-2</v>
      </c>
      <c r="I235" s="126">
        <f t="shared" si="32"/>
        <v>0.25906506660876555</v>
      </c>
      <c r="J235" s="126">
        <f t="shared" si="33"/>
        <v>-2.2066990813801958E-2</v>
      </c>
      <c r="M235" s="5"/>
      <c r="Y235">
        <f>IF($Z$1, D235, -0.2)</f>
        <v>-0.2</v>
      </c>
    </row>
    <row r="236" spans="2:25" x14ac:dyDescent="0.3">
      <c r="B236" s="126">
        <v>0.26136544126626193</v>
      </c>
      <c r="C236" s="126">
        <f t="shared" si="26"/>
        <v>4.4652510486376321E-2</v>
      </c>
      <c r="D236" s="126">
        <f t="shared" si="27"/>
        <v>2.259890917183854E-2</v>
      </c>
      <c r="E236" s="126">
        <f t="shared" si="28"/>
        <v>-4.9690149256669536E-3</v>
      </c>
      <c r="F236" s="126">
        <f t="shared" si="29"/>
        <v>-4.9689740294425492E-3</v>
      </c>
      <c r="G236" s="126">
        <f t="shared" si="30"/>
        <v>0.26158731751816877</v>
      </c>
      <c r="H236" s="126">
        <f t="shared" si="31"/>
        <v>6.7250868408413891E-2</v>
      </c>
      <c r="I236" s="126">
        <f t="shared" si="32"/>
        <v>0.26114356501435509</v>
      </c>
      <c r="J236" s="126">
        <f t="shared" si="33"/>
        <v>-2.2053050064736814E-2</v>
      </c>
      <c r="M236" s="5"/>
      <c r="Y236">
        <f>IF($Z$1, D236, -0.2)</f>
        <v>-0.2</v>
      </c>
    </row>
    <row r="237" spans="2:25" x14ac:dyDescent="0.3">
      <c r="B237" s="126">
        <v>0.26349110808508769</v>
      </c>
      <c r="C237" s="126">
        <f t="shared" si="26"/>
        <v>4.4628290948474036E-2</v>
      </c>
      <c r="D237" s="126">
        <f t="shared" si="27"/>
        <v>2.2587405492317005E-2</v>
      </c>
      <c r="E237" s="126">
        <f t="shared" si="28"/>
        <v>-5.8521541666112986E-3</v>
      </c>
      <c r="F237" s="126">
        <f t="shared" si="29"/>
        <v>-5.8520873603609535E-3</v>
      </c>
      <c r="G237" s="126">
        <f t="shared" si="30"/>
        <v>0.26375227525176037</v>
      </c>
      <c r="H237" s="126">
        <f t="shared" si="31"/>
        <v>6.721493225207259E-2</v>
      </c>
      <c r="I237" s="126">
        <f t="shared" si="32"/>
        <v>0.26322994091841501</v>
      </c>
      <c r="J237" s="126">
        <f t="shared" si="33"/>
        <v>-2.2040121267438588E-2</v>
      </c>
      <c r="M237" s="5"/>
      <c r="Y237">
        <f>IF($Z$1, D237, -0.2)</f>
        <v>-0.2</v>
      </c>
    </row>
    <row r="238" spans="2:25" x14ac:dyDescent="0.3">
      <c r="B238" s="126">
        <v>0.26562407311295533</v>
      </c>
      <c r="C238" s="126">
        <f t="shared" si="26"/>
        <v>4.4603187164279426E-2</v>
      </c>
      <c r="D238" s="126">
        <f t="shared" si="27"/>
        <v>2.2573990969808569E-2</v>
      </c>
      <c r="E238" s="126">
        <f t="shared" si="28"/>
        <v>-6.723688560820726E-3</v>
      </c>
      <c r="F238" s="126">
        <f t="shared" si="29"/>
        <v>-6.723587242092011E-3</v>
      </c>
      <c r="G238" s="126">
        <f t="shared" si="30"/>
        <v>0.26592396427360659</v>
      </c>
      <c r="H238" s="126">
        <f t="shared" si="31"/>
        <v>6.717616995809908E-2</v>
      </c>
      <c r="I238" s="126">
        <f t="shared" si="32"/>
        <v>0.26532418195230406</v>
      </c>
      <c r="J238" s="126">
        <f t="shared" si="33"/>
        <v>-2.2028188018481949E-2</v>
      </c>
      <c r="M238" s="5"/>
      <c r="Y238">
        <f>IF($Z$1, D238, -0.2)</f>
        <v>-0.2</v>
      </c>
    </row>
    <row r="239" spans="2:25" x14ac:dyDescent="0.3">
      <c r="B239" s="126">
        <v>0.26776431521390176</v>
      </c>
      <c r="C239" s="126">
        <f t="shared" si="26"/>
        <v>4.4577193008983586E-2</v>
      </c>
      <c r="D239" s="126">
        <f t="shared" si="27"/>
        <v>2.2558677956925396E-2</v>
      </c>
      <c r="E239" s="126">
        <f t="shared" si="28"/>
        <v>-7.583459186071089E-3</v>
      </c>
      <c r="F239" s="126">
        <f t="shared" si="29"/>
        <v>-7.5833138190732289E-3</v>
      </c>
      <c r="G239" s="126">
        <f t="shared" si="30"/>
        <v>0.26810235481771977</v>
      </c>
      <c r="H239" s="126">
        <f t="shared" si="31"/>
        <v>6.7134589229567096E-2</v>
      </c>
      <c r="I239" s="126">
        <f t="shared" si="32"/>
        <v>0.26742627561008375</v>
      </c>
      <c r="J239" s="126">
        <f t="shared" si="33"/>
        <v>-2.2017233315716308E-2</v>
      </c>
      <c r="M239" s="5"/>
      <c r="Y239">
        <f>IF($Z$1, D239, -0.2)</f>
        <v>-0.2</v>
      </c>
    </row>
    <row r="240" spans="2:25" x14ac:dyDescent="0.3">
      <c r="B240" s="126">
        <v>0.26991181317985435</v>
      </c>
      <c r="C240" s="126">
        <f t="shared" si="26"/>
        <v>4.4550302400364734E-2</v>
      </c>
      <c r="D240" s="126">
        <f t="shared" si="27"/>
        <v>2.2541479458070269E-2</v>
      </c>
      <c r="E240" s="126">
        <f t="shared" si="28"/>
        <v>-8.431307162074294E-3</v>
      </c>
      <c r="F240" s="126">
        <f t="shared" si="29"/>
        <v>-8.4311073853183885E-3</v>
      </c>
      <c r="G240" s="126">
        <f t="shared" si="30"/>
        <v>0.27028741711352516</v>
      </c>
      <c r="H240" s="126">
        <f t="shared" si="31"/>
        <v>6.7090198470506027E-2</v>
      </c>
      <c r="I240" s="126">
        <f t="shared" si="32"/>
        <v>0.26953620924618354</v>
      </c>
      <c r="J240" s="126">
        <f t="shared" si="33"/>
        <v>-2.2007239554365485E-2</v>
      </c>
      <c r="M240" s="5"/>
      <c r="Y240">
        <f>IF($Z$1, D240, -0.2)</f>
        <v>-0.2</v>
      </c>
    </row>
    <row r="241" spans="2:25" x14ac:dyDescent="0.3">
      <c r="B241" s="126">
        <v>0.27206654573084033</v>
      </c>
      <c r="C241" s="126">
        <f t="shared" si="26"/>
        <v>4.452250929932941E-2</v>
      </c>
      <c r="D241" s="126">
        <f t="shared" si="27"/>
        <v>2.252240913269591E-2</v>
      </c>
      <c r="E241" s="126">
        <f t="shared" si="28"/>
        <v>-9.2670736580120049E-3</v>
      </c>
      <c r="F241" s="126">
        <f t="shared" si="29"/>
        <v>-9.2668083904090433E-3</v>
      </c>
      <c r="G241" s="126">
        <f t="shared" si="30"/>
        <v>0.27247912138861596</v>
      </c>
      <c r="H241" s="126">
        <f t="shared" si="31"/>
        <v>6.7043006788561732E-2</v>
      </c>
      <c r="I241" s="126">
        <f t="shared" si="32"/>
        <v>0.27165397007306469</v>
      </c>
      <c r="J241" s="126">
        <f t="shared" si="33"/>
        <v>-2.1998188523169905E-2</v>
      </c>
      <c r="M241" s="5"/>
      <c r="Y241">
        <f>IF($Z$1, D241, -0.2)</f>
        <v>-0.2</v>
      </c>
    </row>
    <row r="242" spans="2:25" x14ac:dyDescent="0.3">
      <c r="B242" s="126">
        <v>0.27422849151519824</v>
      </c>
      <c r="C242" s="126">
        <f t="shared" si="26"/>
        <v>4.4493807710450133E-2</v>
      </c>
      <c r="D242" s="126">
        <f t="shared" si="27"/>
        <v>2.2501481298502917E-2</v>
      </c>
      <c r="E242" s="126">
        <f t="shared" si="28"/>
        <v>-1.0090599900072703E-2</v>
      </c>
      <c r="F242" s="126">
        <f t="shared" si="29"/>
        <v>-1.0090257445339096E-2</v>
      </c>
      <c r="G242" s="126">
        <f t="shared" si="30"/>
        <v>0.27467743787151161</v>
      </c>
      <c r="H242" s="126">
        <f t="shared" si="31"/>
        <v>6.6993023997578491E-2</v>
      </c>
      <c r="I242" s="126">
        <f t="shared" si="32"/>
        <v>0.27377954515888486</v>
      </c>
      <c r="J242" s="126">
        <f t="shared" si="33"/>
        <v>-2.1990061400572653E-2</v>
      </c>
      <c r="M242" s="5"/>
      <c r="Y242">
        <f>IF($Z$1, D242, -0.2)</f>
        <v>-0.2</v>
      </c>
    </row>
    <row r="243" spans="2:25" x14ac:dyDescent="0.3">
      <c r="B243" s="126">
        <v>0.27639762910978904</v>
      </c>
      <c r="C243" s="126">
        <f t="shared" si="26"/>
        <v>4.4464191682499397E-2</v>
      </c>
      <c r="D243" s="126">
        <f t="shared" si="27"/>
        <v>2.2478710934576148E-2</v>
      </c>
      <c r="E243" s="126">
        <f t="shared" si="28"/>
        <v>-1.0901727178989263E-2</v>
      </c>
      <c r="F243" s="126">
        <f t="shared" si="29"/>
        <v>-1.0901295328211529E-2</v>
      </c>
      <c r="G243" s="126">
        <f t="shared" si="30"/>
        <v>0.27688233679441571</v>
      </c>
      <c r="H243" s="126">
        <f t="shared" si="31"/>
        <v>6.6940260620102318E-2</v>
      </c>
      <c r="I243" s="126">
        <f t="shared" si="32"/>
        <v>0.27591292142516238</v>
      </c>
      <c r="J243" s="126">
        <f t="shared" si="33"/>
        <v>-2.1982838750950025E-2</v>
      </c>
      <c r="M243" s="5"/>
      <c r="Y243">
        <f>IF($Z$1, D243, -0.2)</f>
        <v>-0.2</v>
      </c>
    </row>
    <row r="244" spans="2:25" x14ac:dyDescent="0.3">
      <c r="B244" s="126">
        <v>0.27857393702020894</v>
      </c>
      <c r="C244" s="126">
        <f t="shared" si="26"/>
        <v>4.4433655308980191E-2</v>
      </c>
      <c r="D244" s="126">
        <f t="shared" si="27"/>
        <v>2.2454113684458911E-2</v>
      </c>
      <c r="E244" s="126">
        <f t="shared" si="28"/>
        <v>-1.1700296857579414E-2</v>
      </c>
      <c r="F244" s="126">
        <f t="shared" si="29"/>
        <v>-1.1699762989791786E-2</v>
      </c>
      <c r="G244" s="126">
        <f t="shared" si="30"/>
        <v>0.27909378839597609</v>
      </c>
      <c r="H244" s="126">
        <f t="shared" si="31"/>
        <v>6.6884727889805845E-2</v>
      </c>
      <c r="I244" s="126">
        <f t="shared" si="32"/>
        <v>0.27805408564444178</v>
      </c>
      <c r="J244" s="126">
        <f t="shared" si="33"/>
        <v>-2.1976500520888023E-2</v>
      </c>
      <c r="M244" s="5"/>
      <c r="Y244">
        <f>IF($Z$1, D244, -0.2)</f>
        <v>-0.2</v>
      </c>
    </row>
    <row r="245" spans="2:25" x14ac:dyDescent="0.3">
      <c r="B245" s="126">
        <v>0.28075739368100194</v>
      </c>
      <c r="C245" s="126">
        <f t="shared" si="26"/>
        <v>4.4402192728652749E-2</v>
      </c>
      <c r="D245" s="126">
        <f t="shared" si="27"/>
        <v>2.2427705859164416E-2</v>
      </c>
      <c r="E245" s="126">
        <f t="shared" si="28"/>
        <v>-1.2486150378286907E-2</v>
      </c>
      <c r="F245" s="126">
        <f t="shared" si="29"/>
        <v>-1.2485501558917889E-2</v>
      </c>
      <c r="G245" s="126">
        <f t="shared" si="30"/>
        <v>0.28131176292404403</v>
      </c>
      <c r="H245" s="126">
        <f t="shared" si="31"/>
        <v>6.6826437753834469E-2</v>
      </c>
      <c r="I245" s="126">
        <f t="shared" si="32"/>
        <v>0.28020302443795986</v>
      </c>
      <c r="J245" s="126">
        <f t="shared" si="33"/>
        <v>-2.1971026035505641E-2</v>
      </c>
      <c r="M245" s="5"/>
      <c r="Y245">
        <f>IF($Z$1, D245, -0.2)</f>
        <v>-0.2</v>
      </c>
    </row>
    <row r="246" spans="2:25" x14ac:dyDescent="0.3">
      <c r="B246" s="126">
        <v>0.28294797745587386</v>
      </c>
      <c r="C246" s="126">
        <f t="shared" si="26"/>
        <v>4.4369798126057694E-2</v>
      </c>
      <c r="D246" s="126">
        <f t="shared" si="27"/>
        <v>2.2399504440124122E-2</v>
      </c>
      <c r="E246" s="126">
        <f t="shared" si="28"/>
        <v>-1.3259129270723499E-2</v>
      </c>
      <c r="F246" s="126">
        <f t="shared" si="29"/>
        <v>-1.3258352347769974E-2</v>
      </c>
      <c r="G246" s="126">
        <f t="shared" si="30"/>
        <v>0.28353623063843464</v>
      </c>
      <c r="H246" s="126">
        <f t="shared" si="31"/>
        <v>6.6765402875074362E-2</v>
      </c>
      <c r="I246" s="126">
        <f t="shared" si="32"/>
        <v>0.28235972427331307</v>
      </c>
      <c r="J246" s="126">
        <f t="shared" si="33"/>
        <v>-2.1966393994826115E-2</v>
      </c>
      <c r="M246" s="5"/>
      <c r="Y246">
        <f>IF($Z$1, D246, -0.2)</f>
        <v>-0.2</v>
      </c>
    </row>
    <row r="247" spans="2:25" x14ac:dyDescent="0.3">
      <c r="B247" s="126">
        <v>0.28514566663790619</v>
      </c>
      <c r="C247" s="126">
        <f t="shared" si="26"/>
        <v>4.4336465732035396E-2</v>
      </c>
      <c r="D247" s="126">
        <f t="shared" si="27"/>
        <v>2.2369527082072325E-2</v>
      </c>
      <c r="E247" s="126">
        <f t="shared" si="28"/>
        <v>-1.4019075159212049E-2</v>
      </c>
      <c r="F247" s="126">
        <f t="shared" si="29"/>
        <v>-1.4018156857002188E-2</v>
      </c>
      <c r="G247" s="126">
        <f t="shared" si="30"/>
        <v>0.28576716181368589</v>
      </c>
      <c r="H247" s="126">
        <f t="shared" si="31"/>
        <v>6.6701636634341907E-2</v>
      </c>
      <c r="I247" s="126">
        <f t="shared" si="32"/>
        <v>0.2845241714621265</v>
      </c>
      <c r="J247" s="126">
        <f t="shared" si="33"/>
        <v>-2.1962582470197254E-2</v>
      </c>
      <c r="M247" s="5"/>
      <c r="Y247">
        <f>IF($Z$1, D247, -0.2)</f>
        <v>-0.2</v>
      </c>
    </row>
    <row r="248" spans="2:25" x14ac:dyDescent="0.3">
      <c r="B248" s="126">
        <v>0.28735043944977212</v>
      </c>
      <c r="C248" s="126">
        <f t="shared" si="26"/>
        <v>4.4302189824241563E-2</v>
      </c>
      <c r="D248" s="126">
        <f t="shared" si="27"/>
        <v>2.2337792115866763E-2</v>
      </c>
      <c r="E248" s="126">
        <f t="shared" si="28"/>
        <v>-1.4765829770329725E-2</v>
      </c>
      <c r="F248" s="126">
        <f t="shared" si="29"/>
        <v>-1.4764756780738931E-2</v>
      </c>
      <c r="G248" s="126">
        <f t="shared" si="30"/>
        <v>0.28800452674181848</v>
      </c>
      <c r="H248" s="126">
        <f t="shared" si="31"/>
        <v>6.663515313249524E-2</v>
      </c>
      <c r="I248" s="126">
        <f t="shared" si="32"/>
        <v>0.28669635215772576</v>
      </c>
      <c r="J248" s="126">
        <f t="shared" si="33"/>
        <v>-2.1959568900761714E-2</v>
      </c>
      <c r="M248" s="5"/>
      <c r="Y248">
        <f>IF($Z$1, D248, -0.2)</f>
        <v>-0.2</v>
      </c>
    </row>
    <row r="249" spans="2:25" x14ac:dyDescent="0.3">
      <c r="B249" s="126">
        <v>0.28956227404395118</v>
      </c>
      <c r="C249" s="126">
        <f t="shared" si="26"/>
        <v>4.426696472765896E-2</v>
      </c>
      <c r="D249" s="126">
        <f t="shared" si="27"/>
        <v>2.2304318551244415E-2</v>
      </c>
      <c r="E249" s="126">
        <f t="shared" si="28"/>
        <v>-1.5499234940451296E-2</v>
      </c>
      <c r="F249" s="126">
        <f t="shared" si="29"/>
        <v>-1.5497994011438462E-2</v>
      </c>
      <c r="G249" s="126">
        <f t="shared" si="30"/>
        <v>0.2902482957350932</v>
      </c>
      <c r="H249" s="126">
        <f t="shared" si="31"/>
        <v>6.656596719246749E-2</v>
      </c>
      <c r="I249" s="126">
        <f t="shared" si="32"/>
        <v>0.28887625235280917</v>
      </c>
      <c r="J249" s="126">
        <f t="shared" si="33"/>
        <v>-2.1957330089978667E-2</v>
      </c>
      <c r="M249" s="5"/>
      <c r="Y249">
        <f>IF($Z$1, D249, -0.2)</f>
        <v>-0.2</v>
      </c>
    </row>
    <row r="250" spans="2:25" x14ac:dyDescent="0.3">
      <c r="B250" s="126">
        <v>0.2917811485029469</v>
      </c>
      <c r="C250" s="126">
        <f t="shared" si="26"/>
        <v>4.423078481510536E-2</v>
      </c>
      <c r="D250" s="126">
        <f t="shared" si="27"/>
        <v>2.2269126079512345E-2</v>
      </c>
      <c r="E250" s="126">
        <f t="shared" si="28"/>
        <v>-1.6219132623292259E-2</v>
      </c>
      <c r="F250" s="126">
        <f t="shared" si="29"/>
        <v>-1.6217710644627042E-2</v>
      </c>
      <c r="G250" s="126">
        <f t="shared" si="30"/>
        <v>0.29249843912876883</v>
      </c>
      <c r="H250" s="126">
        <f t="shared" si="31"/>
        <v>6.6494094361222431E-2</v>
      </c>
      <c r="I250" s="126">
        <f t="shared" si="32"/>
        <v>0.29106385787712497</v>
      </c>
      <c r="J250" s="126">
        <f t="shared" si="33"/>
        <v>-2.1955842202197737E-2</v>
      </c>
      <c r="M250" s="5"/>
      <c r="Y250">
        <f>IF($Z$1, D250, -0.2)</f>
        <v>-0.2</v>
      </c>
    </row>
    <row r="251" spans="2:25" x14ac:dyDescent="0.3">
      <c r="B251" s="126">
        <v>0.29400704083950302</v>
      </c>
      <c r="C251" s="126">
        <f t="shared" si="26"/>
        <v>4.4193644507737474E-2</v>
      </c>
      <c r="D251" s="126">
        <f t="shared" si="27"/>
        <v>2.2232235076172939E-2</v>
      </c>
      <c r="E251" s="126">
        <f t="shared" si="28"/>
        <v>-1.6925364897451209E-2</v>
      </c>
      <c r="F251" s="126">
        <f t="shared" si="29"/>
        <v>-1.6923748983506452E-2</v>
      </c>
      <c r="G251" s="126">
        <f t="shared" si="30"/>
        <v>0.2947549272838571</v>
      </c>
      <c r="H251" s="126">
        <f t="shared" si="31"/>
        <v>6.641955091163218E-2</v>
      </c>
      <c r="I251" s="126">
        <f t="shared" si="32"/>
        <v>0.29325915439514894</v>
      </c>
      <c r="J251" s="126">
        <f t="shared" si="33"/>
        <v>-2.1955080759286295E-2</v>
      </c>
      <c r="M251" s="5"/>
      <c r="Y251">
        <f>IF($Z$1, D251, -0.2)</f>
        <v>-0.2</v>
      </c>
    </row>
    <row r="252" spans="2:25" x14ac:dyDescent="0.3">
      <c r="B252" s="126">
        <v>0.29623992899682194</v>
      </c>
      <c r="C252" s="126">
        <f t="shared" si="26"/>
        <v>4.4155538275551034E-2</v>
      </c>
      <c r="D252" s="126">
        <f t="shared" si="27"/>
        <v>2.2193666603483209E-2</v>
      </c>
      <c r="E252" s="126">
        <f t="shared" si="28"/>
        <v>-1.7617773973951433E-2</v>
      </c>
      <c r="F252" s="126">
        <f t="shared" si="29"/>
        <v>-1.7615951543438705E-2</v>
      </c>
      <c r="G252" s="126">
        <f t="shared" si="30"/>
        <v>0.29701773058987696</v>
      </c>
      <c r="H252" s="126">
        <f t="shared" si="31"/>
        <v>6.6342353844277738E-2</v>
      </c>
      <c r="I252" s="126">
        <f t="shared" si="32"/>
        <v>0.29546212740376693</v>
      </c>
      <c r="J252" s="126">
        <f t="shared" si="33"/>
        <v>-2.195502063731132E-2</v>
      </c>
      <c r="M252" s="5"/>
      <c r="Y252">
        <f>IF($Z$1, D252, -0.2)</f>
        <v>-0.2</v>
      </c>
    </row>
    <row r="253" spans="2:25" x14ac:dyDescent="0.3">
      <c r="B253" s="126">
        <v>0.29847979084878318</v>
      </c>
      <c r="C253" s="126">
        <f t="shared" si="26"/>
        <v>4.4116460637876768E-2</v>
      </c>
      <c r="D253" s="126">
        <f t="shared" si="27"/>
        <v>2.2153442412947467E-2</v>
      </c>
      <c r="E253" s="126">
        <f t="shared" si="28"/>
        <v>-1.8296202203781621E-2</v>
      </c>
      <c r="F253" s="126">
        <f t="shared" si="29"/>
        <v>-1.8294161056311702E-2</v>
      </c>
      <c r="G253" s="126">
        <f t="shared" si="30"/>
        <v>0.29928681946760666</v>
      </c>
      <c r="H253" s="126">
        <f t="shared" si="31"/>
        <v>6.626252088917195E-2</v>
      </c>
      <c r="I253" s="126">
        <f t="shared" si="32"/>
        <v>0.2976727622299597</v>
      </c>
      <c r="J253" s="126">
        <f t="shared" si="33"/>
        <v>-2.195563606327702E-2</v>
      </c>
      <c r="M253" s="5"/>
      <c r="Y253">
        <f>IF($Z$1, D253, -0.2)</f>
        <v>-0.2</v>
      </c>
    </row>
    <row r="254" spans="2:25" x14ac:dyDescent="0.3">
      <c r="B254" s="126">
        <v>0.30072660420016228</v>
      </c>
      <c r="C254" s="126">
        <f t="shared" si="26"/>
        <v>4.4076406163872484E-2</v>
      </c>
      <c r="D254" s="126">
        <f t="shared" si="27"/>
        <v>2.2111584947743283E-2</v>
      </c>
      <c r="E254" s="126">
        <f t="shared" si="28"/>
        <v>-1.8960492085434148E-2</v>
      </c>
      <c r="F254" s="126">
        <f t="shared" si="29"/>
        <v>-1.895822047478854E-2</v>
      </c>
      <c r="G254" s="126">
        <f t="shared" si="30"/>
        <v>0.30156216437183331</v>
      </c>
      <c r="H254" s="126">
        <f t="shared" si="31"/>
        <v>6.6180070507405681E-2</v>
      </c>
      <c r="I254" s="126">
        <f t="shared" si="32"/>
        <v>0.29989104402849126</v>
      </c>
      <c r="J254" s="126">
        <f t="shared" si="33"/>
        <v>-2.1956900611919114E-2</v>
      </c>
      <c r="M254" s="5"/>
      <c r="Y254">
        <f>IF($Z$1, D254, -0.2)</f>
        <v>-0.2</v>
      </c>
    </row>
    <row r="255" spans="2:25" x14ac:dyDescent="0.3">
      <c r="B255" s="126">
        <v>0.30298034678685137</v>
      </c>
      <c r="C255" s="126">
        <f t="shared" si="26"/>
        <v>4.4035369473010906E-2</v>
      </c>
      <c r="D255" s="126">
        <f t="shared" si="27"/>
        <v>2.2068117345080008E-2</v>
      </c>
      <c r="E255" s="126">
        <f t="shared" si="28"/>
        <v>-1.9610486272442867E-2</v>
      </c>
      <c r="F255" s="126">
        <f t="shared" si="29"/>
        <v>-1.9607972976446703E-2</v>
      </c>
      <c r="G255" s="126">
        <f t="shared" si="30"/>
        <v>0.30384373579410096</v>
      </c>
      <c r="H255" s="126">
        <f t="shared" si="31"/>
        <v>6.6095021892717029E-2</v>
      </c>
      <c r="I255" s="126">
        <f t="shared" si="32"/>
        <v>0.30211695777960179</v>
      </c>
      <c r="J255" s="126">
        <f t="shared" si="33"/>
        <v>-2.1958787202557017E-2</v>
      </c>
      <c r="M255" s="5"/>
      <c r="Y255">
        <f>IF($Z$1, D255, -0.2)</f>
        <v>-0.2</v>
      </c>
    </row>
    <row r="256" spans="2:25" x14ac:dyDescent="0.3">
      <c r="B256" s="126">
        <v>0.30524099627607926</v>
      </c>
      <c r="C256" s="126">
        <f t="shared" si="26"/>
        <v>4.3993345235563572E-2</v>
      </c>
      <c r="D256" s="126">
        <f t="shared" si="27"/>
        <v>2.2023063438489508E-2</v>
      </c>
      <c r="E256" s="126">
        <f t="shared" si="28"/>
        <v>-2.0246027580917626E-2</v>
      </c>
      <c r="F256" s="126">
        <f t="shared" si="29"/>
        <v>-2.0243261967808939E-2</v>
      </c>
      <c r="G256" s="126">
        <f t="shared" si="30"/>
        <v>0.30613150426545488</v>
      </c>
      <c r="H256" s="126">
        <f t="shared" si="31"/>
        <v>6.6007394972984176E-2</v>
      </c>
      <c r="I256" s="126">
        <f t="shared" si="32"/>
        <v>0.30435048828670364</v>
      </c>
      <c r="J256" s="126">
        <f t="shared" si="33"/>
        <v>-2.1961268096005165E-2</v>
      </c>
      <c r="M256" s="5"/>
      <c r="Y256">
        <f>IF($Z$1, D256, -0.2)</f>
        <v>-0.2</v>
      </c>
    </row>
    <row r="257" spans="2:25" x14ac:dyDescent="0.3">
      <c r="B257" s="126">
        <v>0.30750853026663305</v>
      </c>
      <c r="C257" s="126">
        <f t="shared" si="26"/>
        <v>4.3950328173080443E-2</v>
      </c>
      <c r="D257" s="126">
        <f t="shared" si="27"/>
        <v>2.1976447760048718E-2</v>
      </c>
      <c r="E257" s="126">
        <f t="shared" si="28"/>
        <v>-2.0866958997076867E-2</v>
      </c>
      <c r="F257" s="126">
        <f t="shared" si="29"/>
        <v>-2.0863931088272017E-2</v>
      </c>
      <c r="G257" s="126">
        <f t="shared" si="30"/>
        <v>0.30842544035918412</v>
      </c>
      <c r="H257" s="126">
        <f t="shared" si="31"/>
        <v>6.5917210411641905E-2</v>
      </c>
      <c r="I257" s="126">
        <f t="shared" si="32"/>
        <v>0.30659162017408198</v>
      </c>
      <c r="J257" s="126">
        <f t="shared" si="33"/>
        <v>-2.1964314891544465E-2</v>
      </c>
      <c r="M257" s="5"/>
      <c r="Y257">
        <f>IF($Z$1, D257, -0.2)</f>
        <v>-0.2</v>
      </c>
    </row>
    <row r="258" spans="2:25" x14ac:dyDescent="0.3">
      <c r="B258" s="126">
        <v>0.30978292628908</v>
      </c>
      <c r="C258" s="126">
        <f t="shared" ref="C258:C321" si="34">IF(B258&lt;$N$1, ($A$7/0.2)*($O$1*SQRT(B258)+$P$1*B258+$Q$1*(B258^2)+$R$1*(B258^3)), ($A$7/0.2)*($S$1+$T$1*(1-B258)+$U$1*((1-B258)^2)+$V$1*((1-B258)^3)))</f>
        <v>4.3906313058865422E-2</v>
      </c>
      <c r="D258" s="126">
        <f t="shared" ref="D258:D321" si="35" xml:space="preserve"> IF(B258&lt;$A$8, ($A$10/6)*((B258^3)-3*$A$8*(B258^2)+($A$8^2)*(3-$A$8)*B258), (($A$10*($A$8^3))/6)*(1-B258))</f>
        <v>2.1928295542533529E-2</v>
      </c>
      <c r="E258" s="126">
        <f t="shared" ref="E258:E321" si="36">IF(B258&lt;$A$8, ($A$10/6)*(3*(B258^2)-6*$A$8*B258+($A$8^2)*(3-$A$8)), -($A$10*($A$8^3))/6)</f>
        <v>-2.1473123684777429E-2</v>
      </c>
      <c r="F258" s="126">
        <f t="shared" ref="F258:F321" si="37" xml:space="preserve"> ATAN(E258)</f>
        <v>-2.1469824213937408E-2</v>
      </c>
      <c r="G258" s="126">
        <f t="shared" ref="G258:G321" si="38">B258-C258*SIN(F258)</f>
        <v>0.31072551469356069</v>
      </c>
      <c r="H258" s="126">
        <f t="shared" ref="H258:H321" si="39">D258+C258*COS(F258)</f>
        <v>6.5824489609022194E-2</v>
      </c>
      <c r="I258" s="126">
        <f t="shared" ref="I258:I321" si="40">B258+C258*SIN(F258)</f>
        <v>0.3088403378845993</v>
      </c>
      <c r="J258" s="126">
        <f t="shared" ref="J258:J321" si="41">D258-C258*COS(F258)</f>
        <v>-2.1967898523955139E-2</v>
      </c>
      <c r="M258" s="5"/>
      <c r="Y258">
        <f>IF($Z$1, D258, -0.2)</f>
        <v>-0.2</v>
      </c>
    </row>
    <row r="259" spans="2:25" x14ac:dyDescent="0.3">
      <c r="B259" s="126">
        <v>0.31206416180598984</v>
      </c>
      <c r="C259" s="126">
        <f t="shared" si="34"/>
        <v>4.386129471844754E-2</v>
      </c>
      <c r="D259" s="126">
        <f t="shared" si="35"/>
        <v>2.1878632721503716E-2</v>
      </c>
      <c r="E259" s="126">
        <f t="shared" si="36"/>
        <v>-2.2064364993041184E-2</v>
      </c>
      <c r="F259" s="126">
        <f t="shared" si="37"/>
        <v>-2.2060785461348792E-2</v>
      </c>
      <c r="G259" s="126">
        <f t="shared" si="38"/>
        <v>0.31303169793457514</v>
      </c>
      <c r="H259" s="126">
        <f t="shared" si="39"/>
        <v>6.5729254703619275E-2</v>
      </c>
      <c r="I259" s="126">
        <f t="shared" si="40"/>
        <v>0.31109662567740454</v>
      </c>
      <c r="J259" s="126">
        <f t="shared" si="41"/>
        <v>-2.1971989260611838E-2</v>
      </c>
      <c r="M259" s="5"/>
      <c r="Y259">
        <f>IF($Z$1, D259, -0.2)</f>
        <v>-0.2</v>
      </c>
    </row>
    <row r="260" spans="2:25" x14ac:dyDescent="0.3">
      <c r="B260" s="126">
        <v>0.31435221421215875</v>
      </c>
      <c r="C260" s="126">
        <f t="shared" si="34"/>
        <v>4.3815268030047948E-2</v>
      </c>
      <c r="D260" s="126">
        <f t="shared" si="35"/>
        <v>2.1827485937318303E-2</v>
      </c>
      <c r="E260" s="126">
        <f t="shared" si="36"/>
        <v>-2.2640526463578534E-2</v>
      </c>
      <c r="F260" s="126">
        <f t="shared" si="37"/>
        <v>-2.2636659191141793E-2</v>
      </c>
      <c r="G260" s="126">
        <f t="shared" si="38"/>
        <v>0.31534396079866994</v>
      </c>
      <c r="H260" s="126">
        <f t="shared" si="39"/>
        <v>6.5631528573279252E-2</v>
      </c>
      <c r="I260" s="126">
        <f t="shared" si="40"/>
        <v>0.31336046762564757</v>
      </c>
      <c r="J260" s="126">
        <f t="shared" si="41"/>
        <v>-2.1976556698642648E-2</v>
      </c>
      <c r="M260" s="5"/>
      <c r="Y260">
        <f>IF($Z$1, D260, -0.2)</f>
        <v>-0.2</v>
      </c>
    </row>
    <row r="261" spans="2:25" x14ac:dyDescent="0.3">
      <c r="B261" s="126">
        <v>0.31664706083483307</v>
      </c>
      <c r="C261" s="126">
        <f t="shared" si="34"/>
        <v>4.3768227925042598E-2</v>
      </c>
      <c r="D261" s="126">
        <f t="shared" si="35"/>
        <v>2.1774882537081174E-2</v>
      </c>
      <c r="E261" s="126">
        <f t="shared" si="36"/>
        <v>-2.3201451838307859E-2</v>
      </c>
      <c r="F261" s="126">
        <f t="shared" si="37"/>
        <v>-2.319729001161068E-2</v>
      </c>
      <c r="G261" s="126">
        <f t="shared" si="38"/>
        <v>0.31766227405546898</v>
      </c>
      <c r="H261" s="126">
        <f t="shared" si="39"/>
        <v>6.5531334836314986E-2</v>
      </c>
      <c r="I261" s="126">
        <f t="shared" si="40"/>
        <v>0.31563184761419716</v>
      </c>
      <c r="J261" s="126">
        <f t="shared" si="41"/>
        <v>-2.1981569762152646E-2</v>
      </c>
      <c r="M261" s="5"/>
      <c r="Y261">
        <f>IF($Z$1, D261, -0.2)</f>
        <v>-0.2</v>
      </c>
    </row>
    <row r="262" spans="2:25" x14ac:dyDescent="0.3">
      <c r="B262" s="126">
        <v>0.31894867893393375</v>
      </c>
      <c r="C262" s="126">
        <f t="shared" si="34"/>
        <v>4.3720169388420466E-2</v>
      </c>
      <c r="D262" s="126">
        <f t="shared" si="35"/>
        <v>2.1720850576516328E-2</v>
      </c>
      <c r="E262" s="126">
        <f t="shared" si="36"/>
        <v>-2.3746985066871257E-2</v>
      </c>
      <c r="F262" s="126">
        <f t="shared" si="37"/>
        <v>-2.3742522782198225E-2</v>
      </c>
      <c r="G262" s="126">
        <f t="shared" si="38"/>
        <v>0.3199866085305027</v>
      </c>
      <c r="H262" s="126">
        <f t="shared" si="39"/>
        <v>6.5428697852546111E-2</v>
      </c>
      <c r="I262" s="126">
        <f t="shared" si="40"/>
        <v>0.3179107493373648</v>
      </c>
      <c r="J262" s="126">
        <f t="shared" si="41"/>
        <v>-2.1986996699513456E-2</v>
      </c>
      <c r="M262" s="5"/>
      <c r="Y262">
        <f>IF($Z$1, D262, -0.2)</f>
        <v>-0.2</v>
      </c>
    </row>
    <row r="263" spans="2:25" x14ac:dyDescent="0.3">
      <c r="B263" s="126">
        <v>0.3212570457022822</v>
      </c>
      <c r="C263" s="126">
        <f t="shared" si="34"/>
        <v>4.367108745923759E-2</v>
      </c>
      <c r="D263" s="126">
        <f t="shared" si="35"/>
        <v>2.1665418821772562E-2</v>
      </c>
      <c r="E263" s="126">
        <f t="shared" si="36"/>
        <v>-2.4276970314145808E-2</v>
      </c>
      <c r="F263" s="126">
        <f t="shared" si="37"/>
        <v>-2.4272202616913964E-2</v>
      </c>
      <c r="G263" s="126">
        <f t="shared" si="38"/>
        <v>0.32231693510793136</v>
      </c>
      <c r="H263" s="126">
        <f t="shared" si="39"/>
        <v>6.5323642724265107E-2</v>
      </c>
      <c r="I263" s="126">
        <f t="shared" si="40"/>
        <v>0.32019715629663303</v>
      </c>
      <c r="J263" s="126">
        <f t="shared" si="41"/>
        <v>-2.1992805080719987E-2</v>
      </c>
      <c r="M263" s="5"/>
      <c r="Y263">
        <f>IF($Z$1, D263, -0.2)</f>
        <v>-0.2</v>
      </c>
    </row>
    <row r="264" spans="2:25" x14ac:dyDescent="0.3">
      <c r="B264" s="126">
        <v>0.32357213826582509</v>
      </c>
      <c r="C264" s="126">
        <f t="shared" si="34"/>
        <v>4.3620977231066491E-2</v>
      </c>
      <c r="D264" s="126">
        <f t="shared" si="35"/>
        <v>2.1608616751157186E-2</v>
      </c>
      <c r="E264" s="126">
        <f t="shared" si="36"/>
        <v>-2.4791251967750408E-2</v>
      </c>
      <c r="F264" s="126">
        <f t="shared" si="37"/>
        <v>-2.478617488768721E-2</v>
      </c>
      <c r="G264" s="126">
        <f t="shared" si="38"/>
        <v>0.32465322473326175</v>
      </c>
      <c r="H264" s="126">
        <f t="shared" si="39"/>
        <v>6.521619529712952E-2</v>
      </c>
      <c r="I264" s="126">
        <f t="shared" si="40"/>
        <v>0.32249105179838844</v>
      </c>
      <c r="J264" s="126">
        <f t="shared" si="41"/>
        <v>-2.1998961794815145E-2</v>
      </c>
      <c r="M264" s="5"/>
      <c r="Y264">
        <f>IF($Z$1, D264, -0.2)</f>
        <v>-0.2</v>
      </c>
    </row>
    <row r="265" spans="2:25" x14ac:dyDescent="0.3">
      <c r="B265" s="126">
        <v>0.32589393368386299</v>
      </c>
      <c r="C265" s="126">
        <f t="shared" si="34"/>
        <v>4.3569833852441217E-2</v>
      </c>
      <c r="D265" s="126">
        <f t="shared" si="35"/>
        <v>2.1550474556798139E-2</v>
      </c>
      <c r="E265" s="126">
        <f t="shared" si="36"/>
        <v>-2.5289674645547496E-2</v>
      </c>
      <c r="F265" s="126">
        <f t="shared" si="37"/>
        <v>-2.5284285227660613E-2</v>
      </c>
      <c r="G265" s="126">
        <f t="shared" si="38"/>
        <v>0.32699544841606432</v>
      </c>
      <c r="H265" s="126">
        <f t="shared" si="39"/>
        <v>6.5106382160980567E-2</v>
      </c>
      <c r="I265" s="126">
        <f t="shared" si="40"/>
        <v>0.32479241895166167</v>
      </c>
      <c r="J265" s="126">
        <f t="shared" si="41"/>
        <v>-2.2005433047384285E-2</v>
      </c>
      <c r="M265" s="5"/>
      <c r="Y265">
        <f>IF($Z$1, D265, -0.2)</f>
        <v>-0.2</v>
      </c>
    </row>
    <row r="266" spans="2:25" x14ac:dyDescent="0.3">
      <c r="B266" s="126">
        <v>0.3282224089492759</v>
      </c>
      <c r="C266" s="126">
        <f t="shared" si="34"/>
        <v>4.3517652527297952E-2</v>
      </c>
      <c r="D266" s="126">
        <f t="shared" si="35"/>
        <v>2.1491023146234561E-2</v>
      </c>
      <c r="E266" s="126">
        <f t="shared" si="36"/>
        <v>-2.5772083203139583E-2</v>
      </c>
      <c r="F266" s="126">
        <f t="shared" si="37"/>
        <v>-2.5766379534430832E-2</v>
      </c>
      <c r="G266" s="126">
        <f t="shared" si="38"/>
        <v>0.32934357723268159</v>
      </c>
      <c r="H266" s="126">
        <f t="shared" si="39"/>
        <v>6.4994230650589083E-2</v>
      </c>
      <c r="I266" s="126">
        <f t="shared" si="40"/>
        <v>0.32710124066587021</v>
      </c>
      <c r="J266" s="126">
        <f t="shared" si="41"/>
        <v>-2.2012184358119958E-2</v>
      </c>
      <c r="M266" s="5"/>
      <c r="Y266">
        <f>IF($Z$1, D266, -0.2)</f>
        <v>-0.2</v>
      </c>
    </row>
    <row r="267" spans="2:25" x14ac:dyDescent="0.3">
      <c r="B267" s="126">
        <v>0.33055754098875223</v>
      </c>
      <c r="C267" s="126">
        <f t="shared" si="34"/>
        <v>4.346442851541097E-2</v>
      </c>
      <c r="D267" s="126">
        <f t="shared" si="35"/>
        <v>2.143029414393505E-2</v>
      </c>
      <c r="E267" s="126">
        <f t="shared" si="36"/>
        <v>-2.6238322741360242E-2</v>
      </c>
      <c r="F267" s="126">
        <f t="shared" si="37"/>
        <v>-2.6232303973242884E-2</v>
      </c>
      <c r="G267" s="126">
        <f t="shared" si="38"/>
        <v>0.3316975823289362</v>
      </c>
      <c r="H267" s="126">
        <f t="shared" si="39"/>
        <v>6.487976884632865E-2</v>
      </c>
      <c r="I267" s="126">
        <f t="shared" si="40"/>
        <v>0.32941749964856826</v>
      </c>
      <c r="J267" s="126">
        <f t="shared" si="41"/>
        <v>-2.2019180558458553E-2</v>
      </c>
      <c r="M267" s="5"/>
      <c r="Y267">
        <f>IF($Z$1, D267, -0.2)</f>
        <v>-0.2</v>
      </c>
    </row>
    <row r="268" spans="2:25" x14ac:dyDescent="0.3">
      <c r="B268" s="126">
        <v>0.33289930666301693</v>
      </c>
      <c r="C268" s="126">
        <f t="shared" si="34"/>
        <v>4.3410157132824076E-2</v>
      </c>
      <c r="D268" s="126">
        <f t="shared" si="35"/>
        <v>2.1368319892743577E-2</v>
      </c>
      <c r="E268" s="126">
        <f t="shared" si="36"/>
        <v>-2.6688238613759387E-2</v>
      </c>
      <c r="F268" s="126">
        <f t="shared" si="37"/>
        <v>-2.6681904980145131E-2</v>
      </c>
      <c r="G268" s="126">
        <f t="shared" si="38"/>
        <v>0.33405743492283291</v>
      </c>
      <c r="H268" s="126">
        <f t="shared" si="39"/>
        <v>6.4763025574776867E-2</v>
      </c>
      <c r="I268" s="126">
        <f t="shared" si="40"/>
        <v>0.33174117840320094</v>
      </c>
      <c r="J268" s="126">
        <f t="shared" si="41"/>
        <v>-2.2026385789289719E-2</v>
      </c>
      <c r="M268" s="5"/>
      <c r="Y268">
        <f>IF($Z$1, D268, -0.2)</f>
        <v>-0.2</v>
      </c>
    </row>
    <row r="269" spans="2:25" x14ac:dyDescent="0.3">
      <c r="B269" s="126">
        <v>0.33524768276706118</v>
      </c>
      <c r="C269" s="126">
        <f t="shared" si="34"/>
        <v>4.3354833752277513E-2</v>
      </c>
      <c r="D269" s="126">
        <f t="shared" si="35"/>
        <v>2.1305133455252371E-2</v>
      </c>
      <c r="E269" s="126">
        <f t="shared" si="36"/>
        <v>-2.7121676434082038E-2</v>
      </c>
      <c r="F269" s="126">
        <f t="shared" si="37"/>
        <v>-2.71150292651114E-2</v>
      </c>
      <c r="G269" s="126">
        <f t="shared" si="38"/>
        <v>0.33642310630725741</v>
      </c>
      <c r="H269" s="126">
        <f t="shared" si="39"/>
        <v>6.4644030409244796E-2</v>
      </c>
      <c r="I269" s="126">
        <f t="shared" si="40"/>
        <v>0.33407225922686495</v>
      </c>
      <c r="J269" s="126">
        <f t="shared" si="41"/>
        <v>-2.2033763498740058E-2</v>
      </c>
      <c r="M269" s="5"/>
      <c r="Y269">
        <f>IF($Z$1, D269, -0.2)</f>
        <v>-0.2</v>
      </c>
    </row>
    <row r="270" spans="2:25" x14ac:dyDescent="0.3">
      <c r="B270" s="126">
        <v>0.33760264603037182</v>
      </c>
      <c r="C270" s="126">
        <f t="shared" si="34"/>
        <v>4.3298453803630128E-2</v>
      </c>
      <c r="D270" s="126">
        <f t="shared" si="35"/>
        <v>2.1240768615101806E-2</v>
      </c>
      <c r="E270" s="126">
        <f t="shared" si="36"/>
        <v>-2.7538482083740802E-2</v>
      </c>
      <c r="F270" s="126">
        <f t="shared" si="37"/>
        <v>-2.7531523815137987E-2</v>
      </c>
      <c r="G270" s="126">
        <f t="shared" si="38"/>
        <v>0.33879456785267026</v>
      </c>
      <c r="H270" s="126">
        <f t="shared" si="39"/>
        <v>6.4522813670235477E-2</v>
      </c>
      <c r="I270" s="126">
        <f t="shared" si="40"/>
        <v>0.33641072420807339</v>
      </c>
      <c r="J270" s="126">
        <f t="shared" si="41"/>
        <v>-2.204127644003186E-2</v>
      </c>
      <c r="M270" s="5"/>
      <c r="Y270">
        <f>IF($Z$1, D270, -0.2)</f>
        <v>-0.2</v>
      </c>
    </row>
    <row r="271" spans="2:25" x14ac:dyDescent="0.3">
      <c r="B271" s="126">
        <v>0.33996417311716254</v>
      </c>
      <c r="C271" s="126">
        <f t="shared" si="34"/>
        <v>4.3241012774276902E-2</v>
      </c>
      <c r="D271" s="126">
        <f t="shared" si="35"/>
        <v>2.1175259878206659E-2</v>
      </c>
      <c r="E271" s="126">
        <f t="shared" si="36"/>
        <v>-2.7938501719281996E-2</v>
      </c>
      <c r="F271" s="126">
        <f t="shared" si="37"/>
        <v>-2.7931235897323221E-2</v>
      </c>
      <c r="G271" s="126">
        <f t="shared" si="38"/>
        <v>0.34117179100979783</v>
      </c>
      <c r="H271" s="126">
        <f t="shared" si="39"/>
        <v>6.4399406425831696E-2</v>
      </c>
      <c r="I271" s="126">
        <f t="shared" si="40"/>
        <v>0.33875655522452724</v>
      </c>
      <c r="J271" s="126">
        <f t="shared" si="41"/>
        <v>-2.2048886669418375E-2</v>
      </c>
      <c r="M271" s="5"/>
      <c r="Y271">
        <f>IF($Z$1, D271, -0.2)</f>
        <v>-0.2</v>
      </c>
    </row>
    <row r="272" spans="2:25" x14ac:dyDescent="0.3">
      <c r="B272" s="126">
        <v>0.34233224062660483</v>
      </c>
      <c r="C272" s="126">
        <f t="shared" si="34"/>
        <v>4.3182506209561808E-2</v>
      </c>
      <c r="D272" s="126">
        <f t="shared" si="35"/>
        <v>2.1108642473908496E-2</v>
      </c>
      <c r="E272" s="126">
        <f t="shared" si="36"/>
        <v>-2.8321581779843643E-2</v>
      </c>
      <c r="F272" s="126">
        <f t="shared" si="37"/>
        <v>-2.8314013061935789E-2</v>
      </c>
      <c r="G272" s="126">
        <f t="shared" si="38"/>
        <v>0.34355474731231772</v>
      </c>
      <c r="H272" s="126">
        <f t="shared" si="39"/>
        <v>6.4273840492013679E-2</v>
      </c>
      <c r="I272" s="126">
        <f t="shared" si="40"/>
        <v>0.34110973394089195</v>
      </c>
      <c r="J272" s="126">
        <f t="shared" si="41"/>
        <v>-2.2056555544196683E-2</v>
      </c>
      <c r="M272" s="5"/>
      <c r="Y272">
        <f>IF($Z$1, D272, -0.2)</f>
        <v>-0.2</v>
      </c>
    </row>
    <row r="273" spans="2:25" x14ac:dyDescent="0.3">
      <c r="B273" s="126">
        <v>0.34470682509305983</v>
      </c>
      <c r="C273" s="126">
        <f t="shared" si="34"/>
        <v>4.3122929713185841E-2</v>
      </c>
      <c r="D273" s="126">
        <f t="shared" si="35"/>
        <v>2.1040952356053924E-2</v>
      </c>
      <c r="E273" s="126">
        <f t="shared" si="36"/>
        <v>-2.8687568994607036E-2</v>
      </c>
      <c r="F273" s="126">
        <f t="shared" si="37"/>
        <v>-2.8679703145481607E-2</v>
      </c>
      <c r="G273" s="126">
        <f t="shared" si="38"/>
        <v>0.34594340837954063</v>
      </c>
      <c r="H273" s="126">
        <f t="shared" si="39"/>
        <v>6.4146148432907155E-2</v>
      </c>
      <c r="I273" s="126">
        <f t="shared" si="40"/>
        <v>0.34347024180657904</v>
      </c>
      <c r="J273" s="126">
        <f t="shared" si="41"/>
        <v>-2.2064243720799306E-2</v>
      </c>
      <c r="M273" s="5"/>
      <c r="Y273">
        <f>IF($Z$1, D273, -0.2)</f>
        <v>-0.2</v>
      </c>
    </row>
    <row r="274" spans="2:25" x14ac:dyDescent="0.3">
      <c r="B274" s="126">
        <v>0.34708790298631065</v>
      </c>
      <c r="C274" s="126">
        <f t="shared" si="34"/>
        <v>4.3062278947610479E-2</v>
      </c>
      <c r="D274" s="126">
        <f t="shared" si="35"/>
        <v>2.0972226203998377E-2</v>
      </c>
      <c r="E274" s="126">
        <f t="shared" si="36"/>
        <v>-2.9036310390240155E-2</v>
      </c>
      <c r="F274" s="126">
        <f t="shared" si="37"/>
        <v>-2.9028154273775971E-2</v>
      </c>
      <c r="G274" s="126">
        <f t="shared" si="38"/>
        <v>0.34833774591908762</v>
      </c>
      <c r="H274" s="126">
        <f t="shared" si="39"/>
        <v>6.4016363560962616E-2</v>
      </c>
      <c r="I274" s="126">
        <f t="shared" si="40"/>
        <v>0.34583806005353368</v>
      </c>
      <c r="J274" s="126">
        <f t="shared" si="41"/>
        <v>-2.2071911152965862E-2</v>
      </c>
      <c r="M274" s="5"/>
      <c r="Y274">
        <f>IF($Z$1, D274, -0.2)</f>
        <v>-0.2</v>
      </c>
    </row>
    <row r="275" spans="2:25" x14ac:dyDescent="0.3">
      <c r="B275" s="126">
        <v>0.34947545071179609</v>
      </c>
      <c r="C275" s="126">
        <f t="shared" si="34"/>
        <v>4.3000549634456015E-2</v>
      </c>
      <c r="D275" s="126">
        <f t="shared" si="35"/>
        <v>2.0902501423534958E-2</v>
      </c>
      <c r="E275" s="126">
        <f t="shared" si="36"/>
        <v>-2.9367653298333039E-2</v>
      </c>
      <c r="F275" s="126">
        <f t="shared" si="37"/>
        <v>-2.9359214865029619E-2</v>
      </c>
      <c r="G275" s="126">
        <f t="shared" si="38"/>
        <v>0.35073773172956402</v>
      </c>
      <c r="H275" s="126">
        <f t="shared" si="39"/>
        <v>6.388451993706569E-2</v>
      </c>
      <c r="I275" s="126">
        <f t="shared" si="40"/>
        <v>0.34821316969402816</v>
      </c>
      <c r="J275" s="126">
        <f t="shared" si="41"/>
        <v>-2.2079517089995771E-2</v>
      </c>
      <c r="M275" s="5"/>
      <c r="Y275">
        <f>IF($Z$1, D275, -0.2)</f>
        <v>-0.2</v>
      </c>
    </row>
    <row r="276" spans="2:25" x14ac:dyDescent="0.3">
      <c r="B276" s="126">
        <v>0.35186944461084391</v>
      </c>
      <c r="C276" s="126">
        <f t="shared" si="34"/>
        <v>4.2937737554895369E-2</v>
      </c>
      <c r="D276" s="126">
        <f t="shared" si="35"/>
        <v>2.0831816147748372E-2</v>
      </c>
      <c r="E276" s="126">
        <f t="shared" si="36"/>
        <v>-2.9681445362824931E-2</v>
      </c>
      <c r="F276" s="126">
        <f t="shared" si="37"/>
        <v>-2.9672733632957294E-2</v>
      </c>
      <c r="G276" s="126">
        <f t="shared" si="38"/>
        <v>0.35314333770322792</v>
      </c>
      <c r="H276" s="126">
        <f t="shared" si="39"/>
        <v>6.3750652370580058E-2</v>
      </c>
      <c r="I276" s="126">
        <f t="shared" si="40"/>
        <v>0.35059555151845989</v>
      </c>
      <c r="J276" s="126">
        <f t="shared" si="41"/>
        <v>-2.2087020075083307E-2</v>
      </c>
      <c r="M276" s="5"/>
      <c r="Y276">
        <f>IF($Z$1, D276, -0.2)</f>
        <v>-0.2</v>
      </c>
    </row>
    <row r="277" spans="2:25" x14ac:dyDescent="0.3">
      <c r="B277" s="126">
        <v>0.35426986096090574</v>
      </c>
      <c r="C277" s="126">
        <f t="shared" si="34"/>
        <v>4.2873838550042828E-2</v>
      </c>
      <c r="D277" s="126">
        <f t="shared" si="35"/>
        <v>2.0760209237793252E-2</v>
      </c>
      <c r="E277" s="126">
        <f t="shared" si="36"/>
        <v>-2.9977534547422861E-2</v>
      </c>
      <c r="F277" s="126">
        <f t="shared" si="37"/>
        <v>-2.9968559589917506E-2</v>
      </c>
      <c r="G277" s="126">
        <f t="shared" si="38"/>
        <v>0.35555453582865559</v>
      </c>
      <c r="H277" s="126">
        <f t="shared" si="39"/>
        <v>6.3614796419322717E-2</v>
      </c>
      <c r="I277" s="126">
        <f t="shared" si="40"/>
        <v>0.35298518609315588</v>
      </c>
      <c r="J277" s="126">
        <f t="shared" si="41"/>
        <v>-2.2094377943736219E-2</v>
      </c>
      <c r="M277" s="5"/>
      <c r="Y277">
        <f>IF($Z$1, D277, -0.2)</f>
        <v>-0.2</v>
      </c>
    </row>
    <row r="278" spans="2:25" x14ac:dyDescent="0.3">
      <c r="B278" s="126">
        <v>0.35667667597579156</v>
      </c>
      <c r="C278" s="126">
        <f t="shared" si="34"/>
        <v>4.2808848521337976E-2</v>
      </c>
      <c r="D278" s="126">
        <f t="shared" si="35"/>
        <v>2.0687720283596937E-2</v>
      </c>
      <c r="E278" s="126">
        <f t="shared" si="36"/>
        <v>-3.0255769143010928E-2</v>
      </c>
      <c r="F278" s="126">
        <f t="shared" si="37"/>
        <v>-3.024654205009189E-2</v>
      </c>
      <c r="G278" s="126">
        <f t="shared" si="38"/>
        <v>0.35797129819340134</v>
      </c>
      <c r="H278" s="126">
        <f t="shared" si="39"/>
        <v>6.3476988389472883E-2</v>
      </c>
      <c r="I278" s="126">
        <f t="shared" si="40"/>
        <v>0.35538205375818177</v>
      </c>
      <c r="J278" s="126">
        <f t="shared" si="41"/>
        <v>-2.2101547822279001E-2</v>
      </c>
      <c r="M278" s="5"/>
      <c r="Y278">
        <f>IF($Z$1, D278, -0.2)</f>
        <v>-0.2</v>
      </c>
    </row>
    <row r="279" spans="2:25" x14ac:dyDescent="0.3">
      <c r="B279" s="126">
        <v>0.35908986580590629</v>
      </c>
      <c r="C279" s="126">
        <f t="shared" si="34"/>
        <v>4.2742763430924646E-2</v>
      </c>
      <c r="D279" s="126">
        <f t="shared" si="35"/>
        <v>2.0614389604486173E-2</v>
      </c>
      <c r="E279" s="126">
        <f t="shared" si="36"/>
        <v>-3.0515997775050818E-2</v>
      </c>
      <c r="F279" s="126">
        <f t="shared" si="37"/>
        <v>-3.050653063271417E-2</v>
      </c>
      <c r="G279" s="126">
        <f t="shared" si="38"/>
        <v>0.36039359698665507</v>
      </c>
      <c r="H279" s="126">
        <f t="shared" si="39"/>
        <v>6.3337265335414367E-2</v>
      </c>
      <c r="I279" s="126">
        <f t="shared" si="40"/>
        <v>0.35778613462515751</v>
      </c>
      <c r="J279" s="126">
        <f t="shared" si="41"/>
        <v>-2.2108486126442013E-2</v>
      </c>
      <c r="M279" s="5"/>
      <c r="Y279">
        <f>IF($Z$1, D279, -0.2)</f>
        <v>-0.2</v>
      </c>
    </row>
    <row r="280" spans="2:25" x14ac:dyDescent="0.3">
      <c r="B280" s="126">
        <v>0.36150940653848485</v>
      </c>
      <c r="C280" s="126">
        <f t="shared" si="34"/>
        <v>4.2675579302025014E-2</v>
      </c>
      <c r="D280" s="126">
        <f t="shared" si="35"/>
        <v>2.0540258249737684E-2</v>
      </c>
      <c r="E280" s="126">
        <f t="shared" si="36"/>
        <v>-3.075806941097246E-2</v>
      </c>
      <c r="F280" s="126">
        <f t="shared" si="37"/>
        <v>-3.0748375265357158E-2</v>
      </c>
      <c r="G280" s="126">
        <f t="shared" si="38"/>
        <v>0.36282140450189321</v>
      </c>
      <c r="H280" s="126">
        <f t="shared" si="39"/>
        <v>6.3195665059513143E-2</v>
      </c>
      <c r="I280" s="126">
        <f t="shared" si="40"/>
        <v>0.36019740857507648</v>
      </c>
      <c r="J280" s="126">
        <f t="shared" si="41"/>
        <v>-2.2115148560037771E-2</v>
      </c>
      <c r="M280" s="5"/>
      <c r="Y280">
        <f>IF($Z$1, D280, -0.2)</f>
        <v>-0.2</v>
      </c>
    </row>
    <row r="281" spans="2:25" x14ac:dyDescent="0.3">
      <c r="B281" s="126">
        <v>0.36393527419783034</v>
      </c>
      <c r="C281" s="126">
        <f t="shared" si="34"/>
        <v>4.2607292219308486E-2</v>
      </c>
      <c r="D281" s="126">
        <f t="shared" si="35"/>
        <v>2.0465367999052072E-2</v>
      </c>
      <c r="E281" s="126">
        <f t="shared" si="36"/>
        <v>-3.0981833367554626E-2</v>
      </c>
      <c r="F281" s="126">
        <f t="shared" si="37"/>
        <v>-3.0971926187287474E-2</v>
      </c>
      <c r="G281" s="126">
        <f t="shared" si="38"/>
        <v>0.36525469313952807</v>
      </c>
      <c r="H281" s="126">
        <f t="shared" si="39"/>
        <v>6.3052226111829479E-2</v>
      </c>
      <c r="I281" s="126">
        <f t="shared" si="40"/>
        <v>0.3626158552561326</v>
      </c>
      <c r="J281" s="126">
        <f t="shared" si="41"/>
        <v>-2.2121490113725332E-2</v>
      </c>
      <c r="M281" s="5"/>
      <c r="Y281">
        <f>IF($Z$1, D281, -0.2)</f>
        <v>-0.2</v>
      </c>
    </row>
    <row r="282" spans="2:25" x14ac:dyDescent="0.3">
      <c r="B282" s="126">
        <v>0.36636744474555105</v>
      </c>
      <c r="C282" s="126">
        <f t="shared" si="34"/>
        <v>4.2537898329255808E-2</v>
      </c>
      <c r="D282" s="126">
        <f t="shared" si="35"/>
        <v>2.0389761362951009E-2</v>
      </c>
      <c r="E282" s="126">
        <f t="shared" si="36"/>
        <v>-3.1187139318295851E-2</v>
      </c>
      <c r="F282" s="126">
        <f t="shared" si="37"/>
        <v>-3.1177033952898323E-2</v>
      </c>
      <c r="G282" s="126">
        <f t="shared" si="38"/>
        <v>0.36769343540955168</v>
      </c>
      <c r="H282" s="126">
        <f t="shared" si="39"/>
        <v>6.2906987789766389E-2</v>
      </c>
      <c r="I282" s="126">
        <f t="shared" si="40"/>
        <v>0.36504145408155042</v>
      </c>
      <c r="J282" s="126">
        <f t="shared" si="41"/>
        <v>-2.2127465063864364E-2</v>
      </c>
      <c r="M282" s="5"/>
      <c r="Y282">
        <f>IF($Z$1, D282, -0.2)</f>
        <v>-0.2</v>
      </c>
    </row>
    <row r="283" spans="2:25" x14ac:dyDescent="0.3">
      <c r="B283" s="126">
        <v>0.36880589408079867</v>
      </c>
      <c r="C283" s="126">
        <f t="shared" si="34"/>
        <v>4.2467393840517946E-2</v>
      </c>
      <c r="D283" s="126">
        <f t="shared" si="35"/>
        <v>2.0313481583097474E-2</v>
      </c>
      <c r="E283" s="126">
        <f t="shared" si="36"/>
        <v>-3.1373837300774574E-2</v>
      </c>
      <c r="F283" s="126">
        <f t="shared" si="37"/>
        <v>-3.1363549435229447E-2</v>
      </c>
      <c r="G283" s="126">
        <f t="shared" si="38"/>
        <v>0.37013760393417527</v>
      </c>
      <c r="H283" s="126">
        <f t="shared" si="39"/>
        <v>6.2759990137654487E-2</v>
      </c>
      <c r="I283" s="126">
        <f t="shared" si="40"/>
        <v>0.36747418422742206</v>
      </c>
      <c r="J283" s="126">
        <f t="shared" si="41"/>
        <v>-2.2133026971459531E-2</v>
      </c>
      <c r="M283" s="5"/>
      <c r="Y283">
        <f>IF($Z$1, D283, -0.2)</f>
        <v>-0.2</v>
      </c>
    </row>
    <row r="284" spans="2:25" x14ac:dyDescent="0.3">
      <c r="B284" s="126">
        <v>0.3712505980405072</v>
      </c>
      <c r="C284" s="126">
        <f t="shared" si="34"/>
        <v>4.2395775024269985E-2</v>
      </c>
      <c r="D284" s="126">
        <f t="shared" si="35"/>
        <v>2.0236572632538533E-2</v>
      </c>
      <c r="E284" s="126">
        <f t="shared" si="36"/>
        <v>-3.1541777723998174E-2</v>
      </c>
      <c r="F284" s="126">
        <f t="shared" si="37"/>
        <v>-3.1531323829584408E-2</v>
      </c>
      <c r="G284" s="126">
        <f t="shared" si="38"/>
        <v>0.37258717145046588</v>
      </c>
      <c r="H284" s="126">
        <f t="shared" si="39"/>
        <v>6.2611273946274137E-2</v>
      </c>
      <c r="I284" s="126">
        <f t="shared" si="40"/>
        <v>0.36991402463054851</v>
      </c>
      <c r="J284" s="126">
        <f t="shared" si="41"/>
        <v>-2.2138128681197074E-2</v>
      </c>
      <c r="M284" s="5"/>
      <c r="Y284">
        <f>IF($Z$1, D284, -0.2)</f>
        <v>-0.2</v>
      </c>
    </row>
    <row r="285" spans="2:25" x14ac:dyDescent="0.3">
      <c r="B285" s="126">
        <v>0.37370153239963222</v>
      </c>
      <c r="C285" s="126">
        <f t="shared" si="34"/>
        <v>4.232303821455987E-2</v>
      </c>
      <c r="D285" s="126">
        <f t="shared" si="35"/>
        <v>2.0159079215870814E-2</v>
      </c>
      <c r="E285" s="126">
        <f t="shared" si="36"/>
        <v>-3.1690811375741944E-2</v>
      </c>
      <c r="F285" s="126">
        <f t="shared" si="37"/>
        <v>-3.1680208657256743E-2</v>
      </c>
      <c r="G285" s="126">
        <f t="shared" si="38"/>
        <v>0.37504211081297778</v>
      </c>
      <c r="H285" s="126">
        <f t="shared" si="39"/>
        <v>6.2460880752315651E-2</v>
      </c>
      <c r="I285" s="126">
        <f t="shared" si="40"/>
        <v>0.37236095398628666</v>
      </c>
      <c r="J285" s="126">
        <f t="shared" si="41"/>
        <v>-2.2142722320574026E-2</v>
      </c>
      <c r="M285" s="5"/>
      <c r="Y285">
        <f>IF($Z$1, D285, -0.2)</f>
        <v>-0.2</v>
      </c>
    </row>
    <row r="286" spans="2:25" x14ac:dyDescent="0.3">
      <c r="B286" s="126">
        <v>0.37615867287139115</v>
      </c>
      <c r="C286" s="126">
        <f t="shared" si="34"/>
        <v>4.2249179808652032E-2</v>
      </c>
      <c r="D286" s="126">
        <f t="shared" si="35"/>
        <v>2.0081046769327995E-2</v>
      </c>
      <c r="E286" s="126">
        <f t="shared" si="36"/>
        <v>-3.1820789429875256E-2</v>
      </c>
      <c r="F286" s="126">
        <f t="shared" si="37"/>
        <v>-3.1810055769373145E-2</v>
      </c>
      <c r="G286" s="126">
        <f t="shared" si="38"/>
        <v>0.37750239499638089</v>
      </c>
      <c r="H286" s="126">
        <f t="shared" si="39"/>
        <v>6.2308852837778005E-2</v>
      </c>
      <c r="I286" s="126">
        <f t="shared" si="40"/>
        <v>0.37481495074640142</v>
      </c>
      <c r="J286" s="126">
        <f t="shared" si="41"/>
        <v>-2.2146759299122014E-2</v>
      </c>
      <c r="M286" s="5"/>
      <c r="Y286">
        <f>IF($Z$1, D286, -0.2)</f>
        <v>-0.2</v>
      </c>
    </row>
    <row r="287" spans="2:25" x14ac:dyDescent="0.3">
      <c r="B287" s="126">
        <v>0.37862199510750394</v>
      </c>
      <c r="C287" s="126">
        <f t="shared" si="34"/>
        <v>4.2174196267365835E-2</v>
      </c>
      <c r="D287" s="126">
        <f t="shared" si="35"/>
        <v>2.0002521460790561E-2</v>
      </c>
      <c r="E287" s="126">
        <f t="shared" si="36"/>
        <v>-3.1931563453677134E-2</v>
      </c>
      <c r="F287" s="126">
        <f t="shared" si="37"/>
        <v>-3.1920717350866872E-2</v>
      </c>
      <c r="G287" s="126">
        <f t="shared" si="38"/>
        <v>0.37996799709808488</v>
      </c>
      <c r="H287" s="126">
        <f t="shared" si="39"/>
        <v>6.2155233229307265E-2</v>
      </c>
      <c r="I287" s="126">
        <f t="shared" si="40"/>
        <v>0.377275993116923</v>
      </c>
      <c r="J287" s="126">
        <f t="shared" si="41"/>
        <v>-2.2150190307726143E-2</v>
      </c>
      <c r="M287" s="5"/>
      <c r="Y287">
        <f>IF($Z$1, D287, -0.2)</f>
        <v>-0.2</v>
      </c>
    </row>
    <row r="288" spans="2:25" x14ac:dyDescent="0.3">
      <c r="B288" s="126">
        <v>0.38109147469843418</v>
      </c>
      <c r="C288" s="126">
        <f t="shared" si="34"/>
        <v>4.2098084115408857E-2</v>
      </c>
      <c r="D288" s="126">
        <f t="shared" si="35"/>
        <v>1.9923550189717087E-2</v>
      </c>
      <c r="E288" s="126">
        <f t="shared" si="36"/>
        <v>-3.202298541513942E-2</v>
      </c>
      <c r="F288" s="126">
        <f t="shared" si="37"/>
        <v>-3.2012045924590733E-2</v>
      </c>
      <c r="G288" s="126">
        <f t="shared" si="38"/>
        <v>0.38243889034085898</v>
      </c>
      <c r="H288" s="126">
        <f t="shared" si="39"/>
        <v>6.2000065697474953E-2</v>
      </c>
      <c r="I288" s="126">
        <f t="shared" si="40"/>
        <v>0.37974405905600939</v>
      </c>
      <c r="J288" s="126">
        <f t="shared" si="41"/>
        <v>-2.2152965318040778E-2</v>
      </c>
      <c r="M288" s="5"/>
      <c r="Y288">
        <f>IF($Z$1, D288, -0.2)</f>
        <v>-0.2</v>
      </c>
    </row>
    <row r="289" spans="2:25" x14ac:dyDescent="0.3">
      <c r="B289" s="126">
        <v>0.38356708717363108</v>
      </c>
      <c r="C289" s="126">
        <f t="shared" si="34"/>
        <v>4.2020839941704892E-2</v>
      </c>
      <c r="D289" s="126">
        <f t="shared" si="35"/>
        <v>1.9844180586997447E-2</v>
      </c>
      <c r="E289" s="126">
        <f t="shared" si="36"/>
        <v>-3.2094907690257503E-2</v>
      </c>
      <c r="F289" s="126">
        <f t="shared" si="37"/>
        <v>-3.208389435558108E-2</v>
      </c>
      <c r="G289" s="126">
        <f t="shared" si="38"/>
        <v>0.38491504807544852</v>
      </c>
      <c r="H289" s="126">
        <f t="shared" si="39"/>
        <v>6.1843394755997712E-2</v>
      </c>
      <c r="I289" s="126">
        <f t="shared" si="40"/>
        <v>0.38221912627181365</v>
      </c>
      <c r="J289" s="126">
        <f t="shared" si="41"/>
        <v>-2.2155033582002819E-2</v>
      </c>
      <c r="M289" s="5"/>
      <c r="Y289">
        <f>IF($Z$1, D289, -0.2)</f>
        <v>-0.2</v>
      </c>
    </row>
    <row r="290" spans="2:25" x14ac:dyDescent="0.3">
      <c r="B290" s="126">
        <v>0.38604880800177188</v>
      </c>
      <c r="C290" s="126">
        <f t="shared" si="34"/>
        <v>4.1942460399716809E-2</v>
      </c>
      <c r="D290" s="126">
        <f t="shared" si="35"/>
        <v>1.9764461014727116E-2</v>
      </c>
      <c r="E290" s="126">
        <f t="shared" si="36"/>
        <v>-3.2147183070308685E-2</v>
      </c>
      <c r="F290" s="126">
        <f t="shared" si="37"/>
        <v>-3.2136115855484405E-2</v>
      </c>
      <c r="G290" s="126">
        <f t="shared" si="38"/>
        <v>0.38739644378318699</v>
      </c>
      <c r="H290" s="126">
        <f t="shared" si="39"/>
        <v>6.1685265660898478E-2</v>
      </c>
      <c r="I290" s="126">
        <f t="shared" si="40"/>
        <v>0.38470117222035677</v>
      </c>
      <c r="J290" s="126">
        <f t="shared" si="41"/>
        <v>-2.2156343631444243E-2</v>
      </c>
      <c r="M290" s="5"/>
      <c r="Y290">
        <f>IF($Z$1, D290, -0.2)</f>
        <v>-0.2</v>
      </c>
    </row>
    <row r="291" spans="2:25" x14ac:dyDescent="0.3">
      <c r="B291" s="126">
        <v>0.3885366125910048</v>
      </c>
      <c r="C291" s="126">
        <f t="shared" si="34"/>
        <v>4.1862942207764035E-2</v>
      </c>
      <c r="D291" s="126">
        <f t="shared" si="35"/>
        <v>1.9684440565902912E-2</v>
      </c>
      <c r="E291" s="126">
        <f t="shared" si="36"/>
        <v>-3.2179664769117482E-2</v>
      </c>
      <c r="F291" s="126">
        <f t="shared" si="37"/>
        <v>-3.2168563987157665E-2</v>
      </c>
      <c r="G291" s="126">
        <f t="shared" si="38"/>
        <v>0.38988305107860483</v>
      </c>
      <c r="H291" s="126">
        <f t="shared" si="39"/>
        <v>6.1525724409610447E-2</v>
      </c>
      <c r="I291" s="126">
        <f t="shared" si="40"/>
        <v>0.38719017410340478</v>
      </c>
      <c r="J291" s="126">
        <f t="shared" si="41"/>
        <v>-2.2156843277804622E-2</v>
      </c>
      <c r="M291" s="5"/>
      <c r="Y291">
        <f>IF($Z$1, D291, -0.2)</f>
        <v>-0.2</v>
      </c>
    </row>
    <row r="292" spans="2:25" x14ac:dyDescent="0.3">
      <c r="B292" s="126">
        <v>0.39103047628919319</v>
      </c>
      <c r="C292" s="126">
        <f t="shared" si="34"/>
        <v>4.1782282149334785E-2</v>
      </c>
      <c r="D292" s="126">
        <f t="shared" si="35"/>
        <v>1.9604169064039528E-2</v>
      </c>
      <c r="E292" s="126">
        <f t="shared" si="36"/>
        <v>-3.2192206430307589E-2</v>
      </c>
      <c r="F292" s="126">
        <f t="shared" si="37"/>
        <v>-3.2181092669454001E-2</v>
      </c>
      <c r="G292" s="126">
        <f t="shared" si="38"/>
        <v>0.39237484371203402</v>
      </c>
      <c r="H292" s="126">
        <f t="shared" si="39"/>
        <v>6.1364817740024245E-2</v>
      </c>
      <c r="I292" s="126">
        <f t="shared" si="40"/>
        <v>0.38968610886635235</v>
      </c>
      <c r="J292" s="126">
        <f t="shared" si="41"/>
        <v>-2.2156479611945189E-2</v>
      </c>
      <c r="M292" s="5"/>
      <c r="Y292">
        <f>IF($Z$1, D292, -0.2)</f>
        <v>-0.2</v>
      </c>
    </row>
    <row r="293" spans="2:25" x14ac:dyDescent="0.3">
      <c r="B293" s="126">
        <v>0.39353037438415939</v>
      </c>
      <c r="C293" s="126">
        <f t="shared" si="34"/>
        <v>4.1700477073393048E-2</v>
      </c>
      <c r="D293" s="126">
        <f t="shared" si="35"/>
        <v>1.9523691449071543E-2</v>
      </c>
      <c r="E293" s="126">
        <f t="shared" si="36"/>
        <v>-3.2192364834836E-2</v>
      </c>
      <c r="F293" s="126">
        <f t="shared" si="37"/>
        <v>-3.2181250909990897E-2</v>
      </c>
      <c r="G293" s="126">
        <f t="shared" si="38"/>
        <v>0.39487211627992896</v>
      </c>
      <c r="H293" s="126">
        <f t="shared" si="39"/>
        <v>6.120257719273936E-2</v>
      </c>
      <c r="I293" s="126">
        <f t="shared" si="40"/>
        <v>0.39218863248838981</v>
      </c>
      <c r="J293" s="126">
        <f t="shared" si="41"/>
        <v>-2.2155194294596271E-2</v>
      </c>
      <c r="M293" s="5"/>
      <c r="Y293">
        <f>IF($Z$1, D293, -0.2)</f>
        <v>-0.2</v>
      </c>
    </row>
    <row r="294" spans="2:25" x14ac:dyDescent="0.3">
      <c r="B294" s="126">
        <v>0.3960362821039296</v>
      </c>
      <c r="C294" s="126">
        <f t="shared" si="34"/>
        <v>4.1617523894680084E-2</v>
      </c>
      <c r="D294" s="126">
        <f t="shared" si="35"/>
        <v>1.9443020353514268E-2</v>
      </c>
      <c r="E294" s="126">
        <f t="shared" si="36"/>
        <v>-3.2192364834836E-2</v>
      </c>
      <c r="F294" s="126">
        <f t="shared" si="37"/>
        <v>-3.2181250909990897E-2</v>
      </c>
      <c r="G294" s="126">
        <f t="shared" si="38"/>
        <v>0.39737535492339415</v>
      </c>
      <c r="H294" s="126">
        <f t="shared" si="39"/>
        <v>6.1038995869283089E-2</v>
      </c>
      <c r="I294" s="126">
        <f t="shared" si="40"/>
        <v>0.39469720928446506</v>
      </c>
      <c r="J294" s="126">
        <f t="shared" si="41"/>
        <v>-2.2152955162254549E-2</v>
      </c>
      <c r="M294" s="5"/>
      <c r="Y294">
        <f>IF($Z$1, D294, -0.2)</f>
        <v>-0.2</v>
      </c>
    </row>
    <row r="295" spans="2:25" x14ac:dyDescent="0.3">
      <c r="B295" s="126">
        <v>0.39854817461698</v>
      </c>
      <c r="C295" s="126">
        <f t="shared" si="34"/>
        <v>4.1533419594010627E-2</v>
      </c>
      <c r="D295" s="126">
        <f t="shared" si="35"/>
        <v>1.9362156593308255E-2</v>
      </c>
      <c r="E295" s="126">
        <f t="shared" si="36"/>
        <v>-3.2192364834836E-2</v>
      </c>
      <c r="F295" s="126">
        <f t="shared" si="37"/>
        <v>-3.2181250909990897E-2</v>
      </c>
      <c r="G295" s="126">
        <f t="shared" si="38"/>
        <v>0.3998845413219887</v>
      </c>
      <c r="H295" s="126">
        <f t="shared" si="39"/>
        <v>6.0874071355240041E-2</v>
      </c>
      <c r="I295" s="126">
        <f t="shared" si="40"/>
        <v>0.3972118079119713</v>
      </c>
      <c r="J295" s="126">
        <f t="shared" si="41"/>
        <v>-2.214975816862353E-2</v>
      </c>
      <c r="M295" s="5"/>
      <c r="Y295">
        <f>IF($Z$1, D295, -0.2)</f>
        <v>-0.2</v>
      </c>
    </row>
    <row r="296" spans="2:25" x14ac:dyDescent="0.3">
      <c r="B296" s="126">
        <v>0.4010660270324814</v>
      </c>
      <c r="C296" s="126">
        <f t="shared" si="34"/>
        <v>4.1448161218563762E-2</v>
      </c>
      <c r="D296" s="126">
        <f t="shared" si="35"/>
        <v>1.9281100969748163E-2</v>
      </c>
      <c r="E296" s="126">
        <f t="shared" si="36"/>
        <v>-3.2192364834836E-2</v>
      </c>
      <c r="F296" s="126">
        <f t="shared" si="37"/>
        <v>-3.2181250909990897E-2</v>
      </c>
      <c r="G296" s="126">
        <f t="shared" si="38"/>
        <v>0.40239965048987447</v>
      </c>
      <c r="H296" s="126">
        <f t="shared" si="39"/>
        <v>6.0707801500612849E-2</v>
      </c>
      <c r="I296" s="126">
        <f t="shared" si="40"/>
        <v>0.39973240357508832</v>
      </c>
      <c r="J296" s="126">
        <f t="shared" si="41"/>
        <v>-2.214559956111652E-2</v>
      </c>
      <c r="M296" s="5"/>
      <c r="Y296">
        <f>IF($Z$1, D296, -0.2)</f>
        <v>-0.2</v>
      </c>
    </row>
    <row r="297" spans="2:25" x14ac:dyDescent="0.3">
      <c r="B297" s="126">
        <v>0.40358981440054742</v>
      </c>
      <c r="C297" s="126">
        <f t="shared" si="34"/>
        <v>4.136174588216826E-2</v>
      </c>
      <c r="D297" s="126">
        <f t="shared" si="35"/>
        <v>1.9199854286029831E-2</v>
      </c>
      <c r="E297" s="126">
        <f t="shared" si="36"/>
        <v>-3.2192364834836E-2</v>
      </c>
      <c r="F297" s="126">
        <f t="shared" si="37"/>
        <v>-3.2181250909990897E-2</v>
      </c>
      <c r="G297" s="126">
        <f t="shared" si="38"/>
        <v>0.4049206573843005</v>
      </c>
      <c r="H297" s="126">
        <f t="shared" si="39"/>
        <v>6.054018422392049E-2</v>
      </c>
      <c r="I297" s="126">
        <f t="shared" si="40"/>
        <v>0.40225897141679434</v>
      </c>
      <c r="J297" s="126">
        <f t="shared" si="41"/>
        <v>-2.2140475651860825E-2</v>
      </c>
      <c r="M297" s="5"/>
      <c r="Y297">
        <f>IF($Z$1, D297, -0.2)</f>
        <v>-0.2</v>
      </c>
    </row>
    <row r="298" spans="2:25" x14ac:dyDescent="0.3">
      <c r="B298" s="126">
        <v>0.40611951171248117</v>
      </c>
      <c r="C298" s="126">
        <f t="shared" si="34"/>
        <v>4.1274170765582541E-2</v>
      </c>
      <c r="D298" s="126">
        <f t="shared" si="35"/>
        <v>1.9118417347242355E-2</v>
      </c>
      <c r="E298" s="126">
        <f t="shared" si="36"/>
        <v>-3.2192364834836E-2</v>
      </c>
      <c r="F298" s="126">
        <f t="shared" si="37"/>
        <v>-3.2181250909990897E-2</v>
      </c>
      <c r="G298" s="126">
        <f t="shared" si="38"/>
        <v>0.40744753690585878</v>
      </c>
      <c r="H298" s="126">
        <f t="shared" si="39"/>
        <v>6.037121751247021E-2</v>
      </c>
      <c r="I298" s="126">
        <f t="shared" si="40"/>
        <v>0.40479148651910357</v>
      </c>
      <c r="J298" s="126">
        <f t="shared" si="41"/>
        <v>-2.2134382817985496E-2</v>
      </c>
      <c r="M298" s="5"/>
      <c r="Y298">
        <f>IF($Z$1, D298, -0.2)</f>
        <v>-0.2</v>
      </c>
    </row>
    <row r="299" spans="2:25" x14ac:dyDescent="0.3">
      <c r="B299" s="126">
        <v>0.4086550939010225</v>
      </c>
      <c r="C299" s="126">
        <f t="shared" si="34"/>
        <v>4.118543311676922E-2</v>
      </c>
      <c r="D299" s="126">
        <f t="shared" si="35"/>
        <v>1.9036790960360119E-2</v>
      </c>
      <c r="E299" s="126">
        <f t="shared" si="36"/>
        <v>-3.2192364834836E-2</v>
      </c>
      <c r="F299" s="126">
        <f t="shared" si="37"/>
        <v>-3.2181250909990897E-2</v>
      </c>
      <c r="G299" s="126">
        <f t="shared" si="38"/>
        <v>0.40998026389874048</v>
      </c>
      <c r="H299" s="126">
        <f t="shared" si="39"/>
        <v>6.0200899422623924E-2</v>
      </c>
      <c r="I299" s="126">
        <f t="shared" si="40"/>
        <v>0.40732992390330452</v>
      </c>
      <c r="J299" s="126">
        <f t="shared" si="41"/>
        <v>-2.2127317501903689E-2</v>
      </c>
      <c r="M299" s="5"/>
      <c r="Y299">
        <f>IF($Z$1, D299, -0.2)</f>
        <v>-0.2</v>
      </c>
    </row>
    <row r="300" spans="2:25" x14ac:dyDescent="0.3">
      <c r="B300" s="126">
        <v>0.41119653584059757</v>
      </c>
      <c r="C300" s="126">
        <f t="shared" si="34"/>
        <v>4.1095530251164039E-2</v>
      </c>
      <c r="D300" s="126">
        <f t="shared" si="35"/>
        <v>1.8954975934234765E-2</v>
      </c>
      <c r="E300" s="126">
        <f t="shared" si="36"/>
        <v>-3.2192364834836E-2</v>
      </c>
      <c r="F300" s="126">
        <f t="shared" si="37"/>
        <v>-3.2181250909990897E-2</v>
      </c>
      <c r="G300" s="126">
        <f t="shared" si="38"/>
        <v>0.41251881315099398</v>
      </c>
      <c r="H300" s="126">
        <f t="shared" si="39"/>
        <v>6.0029228080059033E-2</v>
      </c>
      <c r="I300" s="126">
        <f t="shared" si="40"/>
        <v>0.40987425853020115</v>
      </c>
      <c r="J300" s="126">
        <f t="shared" si="41"/>
        <v>-2.2119276211589503E-2</v>
      </c>
      <c r="M300" s="5"/>
      <c r="Y300">
        <f>IF($Z$1, D300, -0.2)</f>
        <v>-0.2</v>
      </c>
    </row>
    <row r="301" spans="2:25" x14ac:dyDescent="0.3">
      <c r="B301" s="126">
        <v>0.41374381234756619</v>
      </c>
      <c r="C301" s="126">
        <f t="shared" si="34"/>
        <v>4.1004459551939515E-2</v>
      </c>
      <c r="D301" s="126">
        <f t="shared" si="35"/>
        <v>1.8872973079587227E-2</v>
      </c>
      <c r="E301" s="126">
        <f t="shared" si="36"/>
        <v>-3.2192364834836E-2</v>
      </c>
      <c r="F301" s="126">
        <f t="shared" si="37"/>
        <v>-3.2181250909990897E-2</v>
      </c>
      <c r="G301" s="126">
        <f t="shared" si="38"/>
        <v>0.41506315939478095</v>
      </c>
      <c r="H301" s="126">
        <f t="shared" si="39"/>
        <v>5.9856201680023889E-2</v>
      </c>
      <c r="I301" s="126">
        <f t="shared" si="40"/>
        <v>0.41242446530035143</v>
      </c>
      <c r="J301" s="126">
        <f t="shared" si="41"/>
        <v>-2.2110255520849435E-2</v>
      </c>
      <c r="M301" s="5"/>
      <c r="Y301">
        <f>IF($Z$1, D301, -0.2)</f>
        <v>-0.2</v>
      </c>
    </row>
    <row r="302" spans="2:25" x14ac:dyDescent="0.3">
      <c r="B302" s="126">
        <v>0.41629689818047322</v>
      </c>
      <c r="C302" s="126">
        <f t="shared" si="34"/>
        <v>4.0912218470262801E-2</v>
      </c>
      <c r="D302" s="126">
        <f t="shared" si="35"/>
        <v>1.8790783208999632E-2</v>
      </c>
      <c r="E302" s="126">
        <f t="shared" si="36"/>
        <v>-3.2192364834836E-2</v>
      </c>
      <c r="F302" s="126">
        <f t="shared" si="37"/>
        <v>-3.2181250909990897E-2</v>
      </c>
      <c r="G302" s="126">
        <f t="shared" si="38"/>
        <v>0.41761327730663567</v>
      </c>
      <c r="H302" s="126">
        <f t="shared" si="39"/>
        <v>5.9681818487587482E-2</v>
      </c>
      <c r="I302" s="126">
        <f t="shared" si="40"/>
        <v>0.41498051905431077</v>
      </c>
      <c r="J302" s="126">
        <f t="shared" si="41"/>
        <v>-2.2100252069588221E-2</v>
      </c>
      <c r="M302" s="5"/>
      <c r="Y302">
        <f>IF($Z$1, D302, -0.2)</f>
        <v>-0.2</v>
      </c>
    </row>
    <row r="303" spans="2:25" x14ac:dyDescent="0.3">
      <c r="B303" s="126">
        <v>0.41885576804029723</v>
      </c>
      <c r="C303" s="126">
        <f t="shared" si="34"/>
        <v>4.0818804525548251E-2</v>
      </c>
      <c r="D303" s="126">
        <f t="shared" si="35"/>
        <v>1.8708407136907312E-2</v>
      </c>
      <c r="E303" s="126">
        <f t="shared" si="36"/>
        <v>-3.2192364834836E-2</v>
      </c>
      <c r="F303" s="126">
        <f t="shared" si="37"/>
        <v>-3.2181250909990897E-2</v>
      </c>
      <c r="G303" s="126">
        <f t="shared" si="38"/>
        <v>0.42016914150772222</v>
      </c>
      <c r="H303" s="126">
        <f t="shared" si="39"/>
        <v>5.9506076837883892E-2</v>
      </c>
      <c r="I303" s="126">
        <f t="shared" si="40"/>
        <v>0.41754239457287223</v>
      </c>
      <c r="J303" s="126">
        <f t="shared" si="41"/>
        <v>-2.2089262564069272E-2</v>
      </c>
      <c r="M303" s="5"/>
      <c r="Y303">
        <f>IF($Z$1, D303, -0.2)</f>
        <v>-0.2</v>
      </c>
    </row>
    <row r="304" spans="2:25" x14ac:dyDescent="0.3">
      <c r="B304" s="126">
        <v>0.42142039657070196</v>
      </c>
      <c r="C304" s="126">
        <f t="shared" si="34"/>
        <v>4.0724215305704234E-2</v>
      </c>
      <c r="D304" s="126">
        <f t="shared" si="35"/>
        <v>1.8625845679590691E-2</v>
      </c>
      <c r="E304" s="126">
        <f t="shared" si="36"/>
        <v>-3.2192364834836E-2</v>
      </c>
      <c r="F304" s="126">
        <f t="shared" si="37"/>
        <v>-3.2181250909990897E-2</v>
      </c>
      <c r="G304" s="126">
        <f t="shared" si="38"/>
        <v>0.42273072656409355</v>
      </c>
      <c r="H304" s="126">
        <f t="shared" si="39"/>
        <v>5.9328975136350812E-2</v>
      </c>
      <c r="I304" s="126">
        <f t="shared" si="40"/>
        <v>0.42011006657731037</v>
      </c>
      <c r="J304" s="126">
        <f t="shared" si="41"/>
        <v>-2.2077283777169429E-2</v>
      </c>
      <c r="M304" s="5"/>
      <c r="Y304">
        <f>IF($Z$1, D304, -0.2)</f>
        <v>-0.2</v>
      </c>
    </row>
    <row r="305" spans="2:25" x14ac:dyDescent="0.3">
      <c r="B305" s="126">
        <v>0.42399075835828748</v>
      </c>
      <c r="C305" s="126">
        <f t="shared" si="34"/>
        <v>4.0628448467374456E-2</v>
      </c>
      <c r="D305" s="126">
        <f t="shared" si="35"/>
        <v>1.8543099655167219E-2</v>
      </c>
      <c r="E305" s="126">
        <f t="shared" si="36"/>
        <v>-3.2192364834836E-2</v>
      </c>
      <c r="F305" s="126">
        <f t="shared" si="37"/>
        <v>-3.2181250909990897E-2</v>
      </c>
      <c r="G305" s="126">
        <f t="shared" si="38"/>
        <v>0.42529800698695064</v>
      </c>
      <c r="H305" s="126">
        <f t="shared" si="39"/>
        <v>5.9150511858962723E-2</v>
      </c>
      <c r="I305" s="126">
        <f t="shared" si="40"/>
        <v>0.42268350972962432</v>
      </c>
      <c r="J305" s="126">
        <f t="shared" si="41"/>
        <v>-2.2064312548628284E-2</v>
      </c>
      <c r="M305" s="5"/>
      <c r="Y305">
        <f>IF($Z$1, D305, -0.2)</f>
        <v>-0.2</v>
      </c>
    </row>
    <row r="306" spans="2:25" x14ac:dyDescent="0.3">
      <c r="B306" s="126">
        <v>0.42656682793284162</v>
      </c>
      <c r="C306" s="126">
        <f t="shared" si="34"/>
        <v>4.0531501736173751E-2</v>
      </c>
      <c r="D306" s="126">
        <f t="shared" si="35"/>
        <v>1.846016988358325E-2</v>
      </c>
      <c r="E306" s="126">
        <f t="shared" si="36"/>
        <v>-3.2192364834836E-2</v>
      </c>
      <c r="F306" s="126">
        <f t="shared" si="37"/>
        <v>-3.2181250909990897E-2</v>
      </c>
      <c r="G306" s="126">
        <f t="shared" si="38"/>
        <v>0.42787095723290142</v>
      </c>
      <c r="H306" s="126">
        <f t="shared" si="39"/>
        <v>5.8970685552458435E-2</v>
      </c>
      <c r="I306" s="126">
        <f t="shared" si="40"/>
        <v>0.42526269863278182</v>
      </c>
      <c r="J306" s="126">
        <f t="shared" si="41"/>
        <v>-2.2050345785291931E-2</v>
      </c>
      <c r="M306" s="5"/>
      <c r="Y306">
        <f>IF($Z$1, D306, -0.2)</f>
        <v>-0.2</v>
      </c>
    </row>
    <row r="307" spans="2:25" x14ac:dyDescent="0.3">
      <c r="B307" s="126">
        <v>0.42914857976759269</v>
      </c>
      <c r="C307" s="126">
        <f t="shared" si="34"/>
        <v>4.0433372906918084E-2</v>
      </c>
      <c r="D307" s="126">
        <f t="shared" si="35"/>
        <v>1.8377057186605938E-2</v>
      </c>
      <c r="E307" s="126">
        <f t="shared" si="36"/>
        <v>-3.2192364834836E-2</v>
      </c>
      <c r="F307" s="126">
        <f t="shared" si="37"/>
        <v>-3.2181250909990897E-2</v>
      </c>
      <c r="G307" s="126">
        <f t="shared" si="38"/>
        <v>0.43044955170422078</v>
      </c>
      <c r="H307" s="126">
        <f t="shared" si="39"/>
        <v>5.8789494834562833E-2</v>
      </c>
      <c r="I307" s="126">
        <f t="shared" si="40"/>
        <v>0.42784760783096459</v>
      </c>
      <c r="J307" s="126">
        <f t="shared" si="41"/>
        <v>-2.2035380461350954E-2</v>
      </c>
      <c r="M307" s="5"/>
      <c r="Y307">
        <f>IF($Z$1, D307, -0.2)</f>
        <v>-0.2</v>
      </c>
    </row>
    <row r="308" spans="2:25" x14ac:dyDescent="0.3">
      <c r="B308" s="126">
        <v>0.43173598827946269</v>
      </c>
      <c r="C308" s="126">
        <f t="shared" si="34"/>
        <v>4.0334059843849017E-2</v>
      </c>
      <c r="D308" s="126">
        <f t="shared" si="35"/>
        <v>1.8293762387815059E-2</v>
      </c>
      <c r="E308" s="126">
        <f t="shared" si="36"/>
        <v>-3.2192364834836E-2</v>
      </c>
      <c r="F308" s="126">
        <f t="shared" si="37"/>
        <v>-3.2181250909990897E-2</v>
      </c>
      <c r="G308" s="126">
        <f t="shared" si="38"/>
        <v>0.43303376474911132</v>
      </c>
      <c r="H308" s="126">
        <f t="shared" si="39"/>
        <v>5.8606938394203098E-2</v>
      </c>
      <c r="I308" s="126">
        <f t="shared" si="40"/>
        <v>0.43043821180981406</v>
      </c>
      <c r="J308" s="126">
        <f t="shared" si="41"/>
        <v>-2.2019413618572983E-2</v>
      </c>
      <c r="M308" s="5"/>
      <c r="Y308">
        <f>IF($Z$1, D308, -0.2)</f>
        <v>-0.2</v>
      </c>
    </row>
    <row r="309" spans="2:25" x14ac:dyDescent="0.3">
      <c r="B309" s="126">
        <v>0.43432902782932004</v>
      </c>
      <c r="C309" s="126">
        <f t="shared" si="34"/>
        <v>4.0233560480852623E-2</v>
      </c>
      <c r="D309" s="126">
        <f t="shared" si="35"/>
        <v>1.821028631259489E-2</v>
      </c>
      <c r="E309" s="126">
        <f t="shared" si="36"/>
        <v>-3.2192364834836E-2</v>
      </c>
      <c r="F309" s="126">
        <f t="shared" si="37"/>
        <v>-3.2181250909990897E-2</v>
      </c>
      <c r="G309" s="126">
        <f t="shared" si="38"/>
        <v>0.43562357066196267</v>
      </c>
      <c r="H309" s="126">
        <f t="shared" si="39"/>
        <v>5.8423014991719355E-2</v>
      </c>
      <c r="I309" s="126">
        <f t="shared" si="40"/>
        <v>0.4330344849966774</v>
      </c>
      <c r="J309" s="126">
        <f t="shared" si="41"/>
        <v>-2.2002442366529578E-2</v>
      </c>
      <c r="M309" s="5"/>
      <c r="Y309">
        <f>IF($Z$1, D309, -0.2)</f>
        <v>-0.2</v>
      </c>
    </row>
    <row r="310" spans="2:25" x14ac:dyDescent="0.3">
      <c r="B310" s="126">
        <v>0.43692767272223476</v>
      </c>
      <c r="C310" s="126">
        <f t="shared" si="34"/>
        <v>4.0131872821672458E-2</v>
      </c>
      <c r="D310" s="126">
        <f t="shared" si="35"/>
        <v>1.8126629788125997E-2</v>
      </c>
      <c r="E310" s="126">
        <f t="shared" si="36"/>
        <v>-3.2192364834836E-2</v>
      </c>
      <c r="F310" s="126">
        <f t="shared" si="37"/>
        <v>-3.2181250909990897E-2</v>
      </c>
      <c r="G310" s="126">
        <f t="shared" si="38"/>
        <v>0.43821894368361403</v>
      </c>
      <c r="H310" s="126">
        <f t="shared" si="39"/>
        <v>5.8237723459069343E-2</v>
      </c>
      <c r="I310" s="126">
        <f t="shared" si="40"/>
        <v>0.4356364017608555</v>
      </c>
      <c r="J310" s="126">
        <f t="shared" si="41"/>
        <v>-2.1984463882817346E-2</v>
      </c>
      <c r="M310" s="5"/>
      <c r="Y310">
        <f>IF($Z$1, D310, -0.2)</f>
        <v>-0.2</v>
      </c>
    </row>
    <row r="311" spans="2:25" x14ac:dyDescent="0.3">
      <c r="B311" s="126">
        <v>0.43953189720773167</v>
      </c>
      <c r="C311" s="126">
        <f t="shared" si="34"/>
        <v>4.0028994940117184E-2</v>
      </c>
      <c r="D311" s="126">
        <f t="shared" si="35"/>
        <v>1.8042793643377068E-2</v>
      </c>
      <c r="E311" s="126">
        <f t="shared" si="36"/>
        <v>-3.2192364834836E-2</v>
      </c>
      <c r="F311" s="126">
        <f t="shared" si="37"/>
        <v>-3.2181250909990897E-2</v>
      </c>
      <c r="G311" s="126">
        <f t="shared" si="38"/>
        <v>0.44081985800161366</v>
      </c>
      <c r="H311" s="126">
        <f t="shared" si="39"/>
        <v>5.8051062700027724E-2</v>
      </c>
      <c r="I311" s="126">
        <f t="shared" si="40"/>
        <v>0.43824393641384968</v>
      </c>
      <c r="J311" s="126">
        <f t="shared" si="41"/>
        <v>-2.1965475413273587E-2</v>
      </c>
      <c r="M311" s="5"/>
      <c r="Y311">
        <f>IF($Z$1, D311, -0.2)</f>
        <v>-0.2</v>
      </c>
    </row>
    <row r="312" spans="2:25" x14ac:dyDescent="0.3">
      <c r="B312" s="126">
        <v>0.4421416754800469</v>
      </c>
      <c r="C312" s="126">
        <f t="shared" si="34"/>
        <v>3.9924924980262184E-2</v>
      </c>
      <c r="D312" s="126">
        <f t="shared" si="35"/>
        <v>1.7958778709096668E-2</v>
      </c>
      <c r="E312" s="126">
        <f t="shared" si="36"/>
        <v>-3.2192364834836E-2</v>
      </c>
      <c r="F312" s="126">
        <f t="shared" si="37"/>
        <v>-3.2181250909990897E-2</v>
      </c>
      <c r="G312" s="126">
        <f t="shared" si="38"/>
        <v>0.44342628775048193</v>
      </c>
      <c r="H312" s="126">
        <f t="shared" si="39"/>
        <v>5.7863031690379388E-2</v>
      </c>
      <c r="I312" s="126">
        <f t="shared" si="40"/>
        <v>0.44085706320961188</v>
      </c>
      <c r="J312" s="126">
        <f t="shared" si="41"/>
        <v>-2.1945474272186054E-2</v>
      </c>
      <c r="M312" s="5"/>
      <c r="Y312">
        <f>IF($Z$1, D312, -0.2)</f>
        <v>-0.2</v>
      </c>
    </row>
    <row r="313" spans="2:25" x14ac:dyDescent="0.3">
      <c r="B313" s="126">
        <v>0.44475698167838285</v>
      </c>
      <c r="C313" s="126">
        <f t="shared" si="34"/>
        <v>3.9819661156645703E-2</v>
      </c>
      <c r="D313" s="126">
        <f t="shared" si="35"/>
        <v>1.787458581780503E-2</v>
      </c>
      <c r="E313" s="126">
        <f t="shared" si="36"/>
        <v>-3.2192364834836E-2</v>
      </c>
      <c r="F313" s="126">
        <f t="shared" si="37"/>
        <v>-3.2181250909990897E-2</v>
      </c>
      <c r="G313" s="126">
        <f t="shared" si="38"/>
        <v>0.44603820701197289</v>
      </c>
      <c r="H313" s="126">
        <f t="shared" si="39"/>
        <v>5.7673629478107294E-2</v>
      </c>
      <c r="I313" s="126">
        <f t="shared" si="40"/>
        <v>0.4434757563447928</v>
      </c>
      <c r="J313" s="126">
        <f t="shared" si="41"/>
        <v>-2.1924457842497233E-2</v>
      </c>
      <c r="M313" s="5"/>
      <c r="Y313">
        <f>IF($Z$1, D313, -0.2)</f>
        <v>-0.2</v>
      </c>
    </row>
    <row r="314" spans="2:25" x14ac:dyDescent="0.3">
      <c r="B314" s="126">
        <v>0.44737778988716459</v>
      </c>
      <c r="C314" s="126">
        <f t="shared" si="34"/>
        <v>3.9713201754459096E-2</v>
      </c>
      <c r="D314" s="126">
        <f t="shared" si="35"/>
        <v>1.7790215803785793E-2</v>
      </c>
      <c r="E314" s="126">
        <f t="shared" si="36"/>
        <v>-3.2192364834836E-2</v>
      </c>
      <c r="F314" s="126">
        <f t="shared" si="37"/>
        <v>-3.2181250909990897E-2</v>
      </c>
      <c r="G314" s="126">
        <f t="shared" si="38"/>
        <v>0.44865558981533632</v>
      </c>
      <c r="H314" s="126">
        <f t="shared" si="39"/>
        <v>5.7482855183574301E-2</v>
      </c>
      <c r="I314" s="126">
        <f t="shared" si="40"/>
        <v>0.44609998995899286</v>
      </c>
      <c r="J314" s="126">
        <f t="shared" si="41"/>
        <v>-2.1902423576002715E-2</v>
      </c>
      <c r="M314" s="5"/>
      <c r="Y314">
        <f>IF($Z$1, D314, -0.2)</f>
        <v>-0.2</v>
      </c>
    </row>
    <row r="315" spans="2:25" x14ac:dyDescent="0.3">
      <c r="B315" s="126">
        <v>0.45000407413629695</v>
      </c>
      <c r="C315" s="126">
        <f t="shared" si="34"/>
        <v>3.9605545129731391E-2</v>
      </c>
      <c r="D315" s="126">
        <f t="shared" si="35"/>
        <v>1.7705669503077743E-2</v>
      </c>
      <c r="E315" s="126">
        <f t="shared" si="36"/>
        <v>-3.2192364834836E-2</v>
      </c>
      <c r="F315" s="126">
        <f t="shared" si="37"/>
        <v>-3.2181250909990897E-2</v>
      </c>
      <c r="G315" s="126">
        <f t="shared" si="38"/>
        <v>0.45127841013758124</v>
      </c>
      <c r="H315" s="126">
        <f t="shared" si="39"/>
        <v>5.7290707999699431E-2</v>
      </c>
      <c r="I315" s="126">
        <f t="shared" si="40"/>
        <v>0.44872973813501266</v>
      </c>
      <c r="J315" s="126">
        <f t="shared" si="41"/>
        <v>-2.1879368993543941E-2</v>
      </c>
      <c r="M315" s="5"/>
      <c r="Y315">
        <f>IF($Z$1, D315, -0.2)</f>
        <v>-0.2</v>
      </c>
    </row>
    <row r="316" spans="2:25" x14ac:dyDescent="0.3">
      <c r="B316" s="126">
        <v>0.45263580840142115</v>
      </c>
      <c r="C316" s="126">
        <f t="shared" si="34"/>
        <v>3.9496689709508141E-2</v>
      </c>
      <c r="D316" s="126">
        <f t="shared" si="35"/>
        <v>1.7620947753466523E-2</v>
      </c>
      <c r="E316" s="126">
        <f t="shared" si="36"/>
        <v>-3.2192364834836E-2</v>
      </c>
      <c r="F316" s="126">
        <f t="shared" si="37"/>
        <v>-3.2181250909990897E-2</v>
      </c>
      <c r="G316" s="126">
        <f t="shared" si="38"/>
        <v>0.45390664190373786</v>
      </c>
      <c r="H316" s="126">
        <f t="shared" si="39"/>
        <v>5.7097187192128307E-2</v>
      </c>
      <c r="I316" s="126">
        <f t="shared" si="40"/>
        <v>0.45136497489910443</v>
      </c>
      <c r="J316" s="126">
        <f t="shared" si="41"/>
        <v>-2.1855291685195261E-2</v>
      </c>
      <c r="M316" s="5"/>
      <c r="Y316">
        <f>IF($Z$1, D316, -0.2)</f>
        <v>-0.2</v>
      </c>
    </row>
    <row r="317" spans="2:25" x14ac:dyDescent="0.3">
      <c r="B317" s="126">
        <v>0.45527296660417349</v>
      </c>
      <c r="C317" s="126">
        <f t="shared" si="34"/>
        <v>3.9386633992024432E-2</v>
      </c>
      <c r="D317" s="126">
        <f t="shared" si="35"/>
        <v>1.7536051394476341E-2</v>
      </c>
      <c r="E317" s="126">
        <f t="shared" si="36"/>
        <v>-3.2192364834836E-2</v>
      </c>
      <c r="F317" s="126">
        <f t="shared" si="37"/>
        <v>-3.2181250909990897E-2</v>
      </c>
      <c r="G317" s="126">
        <f t="shared" si="38"/>
        <v>0.4565402589871223</v>
      </c>
      <c r="H317" s="126">
        <f t="shared" si="39"/>
        <v>5.6902292099397789E-2</v>
      </c>
      <c r="I317" s="126">
        <f t="shared" si="40"/>
        <v>0.45400567422122468</v>
      </c>
      <c r="J317" s="126">
        <f t="shared" si="41"/>
        <v>-2.183018931044511E-2</v>
      </c>
      <c r="M317" s="5"/>
      <c r="Y317">
        <f>IF($Z$1, D317, -0.2)</f>
        <v>-0.2</v>
      </c>
    </row>
    <row r="318" spans="2:25" x14ac:dyDescent="0.3">
      <c r="B318" s="126">
        <v>0.45791552261244328</v>
      </c>
      <c r="C318" s="126">
        <f t="shared" si="34"/>
        <v>3.9275376546872111E-2</v>
      </c>
      <c r="D318" s="126">
        <f t="shared" si="35"/>
        <v>1.745098126736163E-2</v>
      </c>
      <c r="E318" s="126">
        <f t="shared" si="36"/>
        <v>-3.2192364834836E-2</v>
      </c>
      <c r="F318" s="126">
        <f t="shared" si="37"/>
        <v>-3.2181250909990897E-2</v>
      </c>
      <c r="G318" s="126">
        <f t="shared" si="38"/>
        <v>0.45917923520959936</v>
      </c>
      <c r="H318" s="126">
        <f t="shared" si="39"/>
        <v>5.6706022133094801E-2</v>
      </c>
      <c r="I318" s="126">
        <f t="shared" si="40"/>
        <v>0.45665181001528721</v>
      </c>
      <c r="J318" s="126">
        <f t="shared" si="41"/>
        <v>-2.180405959837154E-2</v>
      </c>
      <c r="M318" s="5"/>
      <c r="Y318">
        <f>IF($Z$1, D318, -0.2)</f>
        <v>-0.2</v>
      </c>
    </row>
    <row r="319" spans="2:25" x14ac:dyDescent="0.3">
      <c r="B319" s="126">
        <v>0.46056345024063217</v>
      </c>
      <c r="C319" s="126">
        <f t="shared" si="34"/>
        <v>3.9162916015161225E-2</v>
      </c>
      <c r="D319" s="126">
        <f t="shared" si="35"/>
        <v>1.7365738215098733E-2</v>
      </c>
      <c r="E319" s="126">
        <f t="shared" si="36"/>
        <v>-3.2192364834836E-2</v>
      </c>
      <c r="F319" s="126">
        <f t="shared" si="37"/>
        <v>-3.2181250909990897E-2</v>
      </c>
      <c r="G319" s="126">
        <f t="shared" si="38"/>
        <v>0.46182354434184753</v>
      </c>
      <c r="H319" s="126">
        <f t="shared" si="39"/>
        <v>5.6508376778009309E-2</v>
      </c>
      <c r="I319" s="126">
        <f t="shared" si="40"/>
        <v>0.45930335613941681</v>
      </c>
      <c r="J319" s="126">
        <f t="shared" si="41"/>
        <v>-2.177690034781184E-2</v>
      </c>
      <c r="M319" s="5"/>
      <c r="Y319">
        <f>IF($Z$1, D319, -0.2)</f>
        <v>-0.2</v>
      </c>
    </row>
    <row r="320" spans="2:25" x14ac:dyDescent="0.3">
      <c r="B320" s="126">
        <v>0.46321672324991292</v>
      </c>
      <c r="C320" s="126">
        <f t="shared" si="34"/>
        <v>3.9049251109675782E-2</v>
      </c>
      <c r="D320" s="126">
        <f t="shared" si="35"/>
        <v>1.7280323082377542E-2</v>
      </c>
      <c r="E320" s="126">
        <f t="shared" si="36"/>
        <v>-3.2192364834836E-2</v>
      </c>
      <c r="F320" s="126">
        <f t="shared" si="37"/>
        <v>-3.2181250909990897E-2</v>
      </c>
      <c r="G320" s="126">
        <f t="shared" si="38"/>
        <v>0.46447316010362244</v>
      </c>
      <c r="H320" s="126">
        <f t="shared" si="39"/>
        <v>5.6309355592281708E-2</v>
      </c>
      <c r="I320" s="126">
        <f t="shared" si="40"/>
        <v>0.4619602863962034</v>
      </c>
      <c r="J320" s="126">
        <f t="shared" si="41"/>
        <v>-2.1748709427526623E-2</v>
      </c>
      <c r="M320" s="5"/>
      <c r="Y320">
        <f>IF($Z$1, D320, -0.2)</f>
        <v>-0.2</v>
      </c>
    </row>
    <row r="321" spans="2:25" x14ac:dyDescent="0.3">
      <c r="B321" s="126">
        <v>0.46587531534849058</v>
      </c>
      <c r="C321" s="126">
        <f t="shared" si="34"/>
        <v>3.8934380615023398E-2</v>
      </c>
      <c r="D321" s="126">
        <f t="shared" si="35"/>
        <v>1.7194736715593118E-2</v>
      </c>
      <c r="E321" s="126">
        <f t="shared" si="36"/>
        <v>-3.2192364834836E-2</v>
      </c>
      <c r="F321" s="126">
        <f t="shared" si="37"/>
        <v>-3.2181250909990897E-2</v>
      </c>
      <c r="G321" s="126">
        <f t="shared" si="38"/>
        <v>0.46712805616402309</v>
      </c>
      <c r="H321" s="126">
        <f t="shared" si="39"/>
        <v>5.6108958207543955E-2</v>
      </c>
      <c r="I321" s="126">
        <f t="shared" si="40"/>
        <v>0.46462257453295808</v>
      </c>
      <c r="J321" s="126">
        <f t="shared" si="41"/>
        <v>-2.1719484776357722E-2</v>
      </c>
      <c r="M321" s="5"/>
      <c r="Y321">
        <f>IF($Z$1, D321, -0.2)</f>
        <v>-0.2</v>
      </c>
    </row>
    <row r="322" spans="2:25" x14ac:dyDescent="0.3">
      <c r="B322" s="126">
        <v>0.46853920019186157</v>
      </c>
      <c r="C322" s="126">
        <f t="shared" ref="C322:C385" si="42">IF(B322&lt;$N$1, ($A$7/0.2)*($O$1*SQRT(B322)+$P$1*B322+$Q$1*(B322^2)+$R$1*(B322^3)), ($A$7/0.2)*($S$1+$T$1*(1-B322)+$U$1*((1-B322)^2)+$V$1*((1-B322)^3)))</f>
        <v>3.8818303387779474E-2</v>
      </c>
      <c r="D322" s="126">
        <f t="shared" ref="D322:D385" si="43" xml:space="preserve"> IF(B322&lt;$A$8, ($A$10/6)*((B322^3)-3*$A$8*(B322^2)+($A$8^2)*(3-$A$8)*B322), (($A$10*($A$8^3))/6)*(1-B322))</f>
        <v>1.7108979962837331E-2</v>
      </c>
      <c r="E322" s="126">
        <f t="shared" ref="E322:E385" si="44">IF(B322&lt;$A$8, ($A$10/6)*(3*(B322^2)-6*$A$8*B322+($A$8^2)*(3-$A$8)), -($A$10*($A$8^3))/6)</f>
        <v>-3.2192364834836E-2</v>
      </c>
      <c r="F322" s="126">
        <f t="shared" ref="F322:F385" si="45" xml:space="preserve"> ATAN(E322)</f>
        <v>-3.2181250909990897E-2</v>
      </c>
      <c r="G322" s="126">
        <f t="shared" ref="G322:G385" si="46">B322-C322*SIN(F322)</f>
        <v>0.46978820614175537</v>
      </c>
      <c r="H322" s="126">
        <f t="shared" ref="H322:H385" si="47">D322+C322*COS(F322)</f>
        <v>5.5907184329055379E-2</v>
      </c>
      <c r="I322" s="126">
        <f t="shared" ref="I322:I385" si="48">B322+C322*SIN(F322)</f>
        <v>0.46729019424196777</v>
      </c>
      <c r="J322" s="126">
        <f t="shared" ref="J322:J385" si="49">D322-C322*COS(F322)</f>
        <v>-2.1689224403380721E-2</v>
      </c>
      <c r="M322" s="5"/>
      <c r="Y322">
        <f>IF($Z$1, D322, -0.2)</f>
        <v>-0.2</v>
      </c>
    </row>
    <row r="323" spans="2:25" x14ac:dyDescent="0.3">
      <c r="B323" s="126">
        <v>0.47120835138307604</v>
      </c>
      <c r="C323" s="126">
        <f t="shared" si="42"/>
        <v>3.8701018356625191E-2</v>
      </c>
      <c r="D323" s="126">
        <f t="shared" si="43"/>
        <v>1.7023053673890419E-2</v>
      </c>
      <c r="E323" s="126">
        <f t="shared" si="44"/>
        <v>-3.2192364834836E-2</v>
      </c>
      <c r="F323" s="126">
        <f t="shared" si="45"/>
        <v>-3.2181250909990897E-2</v>
      </c>
      <c r="G323" s="126">
        <f t="shared" si="46"/>
        <v>0.47245358360539907</v>
      </c>
      <c r="H323" s="126">
        <f t="shared" si="47"/>
        <v>5.5704033735832083E-2</v>
      </c>
      <c r="I323" s="126">
        <f t="shared" si="48"/>
        <v>0.46996311916075301</v>
      </c>
      <c r="J323" s="126">
        <f t="shared" si="49"/>
        <v>-2.1657926388051245E-2</v>
      </c>
      <c r="M323" s="5"/>
      <c r="Y323">
        <f>IF($Z$1, D323, -0.2)</f>
        <v>-0.2</v>
      </c>
    </row>
    <row r="324" spans="2:25" x14ac:dyDescent="0.3">
      <c r="B324" s="126">
        <v>0.47388274247299855</v>
      </c>
      <c r="C324" s="126">
        <f t="shared" si="42"/>
        <v>3.8582524522479948E-2</v>
      </c>
      <c r="D324" s="126">
        <f t="shared" si="43"/>
        <v>1.6936958700212598E-2</v>
      </c>
      <c r="E324" s="126">
        <f t="shared" si="44"/>
        <v>-3.2192364834836E-2</v>
      </c>
      <c r="F324" s="126">
        <f t="shared" si="45"/>
        <v>-3.2181250909990897E-2</v>
      </c>
      <c r="G324" s="126">
        <f t="shared" si="46"/>
        <v>0.47512416207367258</v>
      </c>
      <c r="H324" s="126">
        <f t="shared" si="47"/>
        <v>5.549950628077098E-2</v>
      </c>
      <c r="I324" s="126">
        <f t="shared" si="48"/>
        <v>0.47264132287232452</v>
      </c>
      <c r="J324" s="126">
        <f t="shared" si="49"/>
        <v>-2.1625588880345784E-2</v>
      </c>
      <c r="M324" s="5"/>
      <c r="Y324">
        <f>IF($Z$1, D324, -0.2)</f>
        <v>-0.2</v>
      </c>
    </row>
    <row r="325" spans="2:25" x14ac:dyDescent="0.3">
      <c r="B325" s="126">
        <v>0.47656234696057043</v>
      </c>
      <c r="C325" s="126">
        <f t="shared" si="42"/>
        <v>3.8462820958627748E-2</v>
      </c>
      <c r="D325" s="126">
        <f t="shared" si="43"/>
        <v>1.6850695894935621E-2</v>
      </c>
      <c r="E325" s="126">
        <f t="shared" si="44"/>
        <v>-3.2192364834836E-2</v>
      </c>
      <c r="F325" s="126">
        <f t="shared" si="45"/>
        <v>-3.2181250909990897E-2</v>
      </c>
      <c r="G325" s="126">
        <f t="shared" si="46"/>
        <v>0.47779991501569957</v>
      </c>
      <c r="H325" s="126">
        <f t="shared" si="47"/>
        <v>5.5293601890767652E-2</v>
      </c>
      <c r="I325" s="126">
        <f t="shared" si="48"/>
        <v>0.47532477890544128</v>
      </c>
      <c r="J325" s="126">
        <f t="shared" si="49"/>
        <v>-2.1592210100896406E-2</v>
      </c>
      <c r="M325" s="5"/>
      <c r="Y325">
        <f>IF($Z$1, D325, -0.2)</f>
        <v>-0.2</v>
      </c>
    </row>
    <row r="326" spans="2:25" x14ac:dyDescent="0.3">
      <c r="B326" s="126">
        <v>0.47924713829307297</v>
      </c>
      <c r="C326" s="126">
        <f t="shared" si="42"/>
        <v>3.834190681083776E-2</v>
      </c>
      <c r="D326" s="126">
        <f t="shared" si="43"/>
        <v>1.6764266112854292E-2</v>
      </c>
      <c r="E326" s="126">
        <f t="shared" si="44"/>
        <v>-3.2192364834836E-2</v>
      </c>
      <c r="F326" s="126">
        <f t="shared" si="45"/>
        <v>-3.2181250909990897E-2</v>
      </c>
      <c r="G326" s="126">
        <f t="shared" si="46"/>
        <v>0.48048081585127578</v>
      </c>
      <c r="H326" s="126">
        <f t="shared" si="47"/>
        <v>5.5086320566828356E-2</v>
      </c>
      <c r="I326" s="126">
        <f t="shared" si="48"/>
        <v>0.47801346073487017</v>
      </c>
      <c r="J326" s="126">
        <f t="shared" si="49"/>
        <v>-2.1557788341119776E-2</v>
      </c>
      <c r="M326" s="5"/>
      <c r="Y326">
        <f>IF($Z$1, D326, -0.2)</f>
        <v>-0.2</v>
      </c>
    </row>
    <row r="327" spans="2:25" x14ac:dyDescent="0.3">
      <c r="B327" s="126">
        <v>0.48193708986638928</v>
      </c>
      <c r="C327" s="126">
        <f t="shared" si="42"/>
        <v>3.8219781297479077E-2</v>
      </c>
      <c r="D327" s="126">
        <f t="shared" si="43"/>
        <v>1.6677670210418053E-2</v>
      </c>
      <c r="E327" s="126">
        <f t="shared" si="44"/>
        <v>-3.2192364834836E-2</v>
      </c>
      <c r="F327" s="126">
        <f t="shared" si="45"/>
        <v>-3.2181250909990897E-2</v>
      </c>
      <c r="G327" s="126">
        <f t="shared" si="46"/>
        <v>0.4831668379511348</v>
      </c>
      <c r="H327" s="126">
        <f t="shared" si="47"/>
        <v>5.4877662384176365E-2</v>
      </c>
      <c r="I327" s="126">
        <f t="shared" si="48"/>
        <v>0.48070734178164376</v>
      </c>
      <c r="J327" s="126">
        <f t="shared" si="49"/>
        <v>-2.1522321963340262E-2</v>
      </c>
      <c r="M327" s="5"/>
      <c r="Y327">
        <f>IF($Z$1, D327, -0.2)</f>
        <v>-0.2</v>
      </c>
    </row>
    <row r="328" spans="2:25" x14ac:dyDescent="0.3">
      <c r="B328" s="126">
        <v>0.48463217502526945</v>
      </c>
      <c r="C328" s="126">
        <f t="shared" si="42"/>
        <v>3.8096443709629495E-2</v>
      </c>
      <c r="D328" s="126">
        <f t="shared" si="43"/>
        <v>1.659090904572243E-2</v>
      </c>
      <c r="E328" s="126">
        <f t="shared" si="44"/>
        <v>-3.2192364834836E-2</v>
      </c>
      <c r="F328" s="126">
        <f t="shared" si="45"/>
        <v>-3.2181250909990897E-2</v>
      </c>
      <c r="G328" s="126">
        <f t="shared" si="46"/>
        <v>0.4858579546372167</v>
      </c>
      <c r="H328" s="126">
        <f t="shared" si="47"/>
        <v>5.4667627492352031E-2</v>
      </c>
      <c r="I328" s="126">
        <f t="shared" si="48"/>
        <v>0.4834063954133222</v>
      </c>
      <c r="J328" s="126">
        <f t="shared" si="49"/>
        <v>-2.1485809400907174E-2</v>
      </c>
      <c r="M328" s="5"/>
      <c r="Y328">
        <f>IF($Z$1, D328, -0.2)</f>
        <v>-0.2</v>
      </c>
    </row>
    <row r="329" spans="2:25" x14ac:dyDescent="0.3">
      <c r="B329" s="126">
        <v>0.48733236706359295</v>
      </c>
      <c r="C329" s="126">
        <f t="shared" si="42"/>
        <v>3.7971893411178508E-2</v>
      </c>
      <c r="D329" s="126">
        <f t="shared" si="43"/>
        <v>1.65039834785006E-2</v>
      </c>
      <c r="E329" s="126">
        <f t="shared" si="44"/>
        <v>-3.2192364834836E-2</v>
      </c>
      <c r="F329" s="126">
        <f t="shared" si="45"/>
        <v>-3.2181250909990897E-2</v>
      </c>
      <c r="G329" s="126">
        <f t="shared" si="46"/>
        <v>0.48855413918293361</v>
      </c>
      <c r="H329" s="126">
        <f t="shared" si="47"/>
        <v>5.4456216115307404E-2</v>
      </c>
      <c r="I329" s="126">
        <f t="shared" si="48"/>
        <v>0.48611059494425229</v>
      </c>
      <c r="J329" s="126">
        <f t="shared" si="49"/>
        <v>-2.1448249158306204E-2</v>
      </c>
      <c r="M329" s="5"/>
      <c r="Y329">
        <f>IF($Z$1, D329, -0.2)</f>
        <v>-0.2</v>
      </c>
    </row>
    <row r="330" spans="2:25" x14ac:dyDescent="0.3">
      <c r="B330" s="126">
        <v>0.49003763922463506</v>
      </c>
      <c r="C330" s="126">
        <f t="shared" si="42"/>
        <v>3.7846129838924235E-2</v>
      </c>
      <c r="D330" s="126">
        <f t="shared" si="43"/>
        <v>1.6416894370114808E-2</v>
      </c>
      <c r="E330" s="126">
        <f t="shared" si="44"/>
        <v>-3.2192364834836E-2</v>
      </c>
      <c r="F330" s="126">
        <f t="shared" si="45"/>
        <v>-3.2181250909990897E-2</v>
      </c>
      <c r="G330" s="126">
        <f t="shared" si="46"/>
        <v>0.4912553648134394</v>
      </c>
      <c r="H330" s="126">
        <f t="shared" si="47"/>
        <v>5.4243428551494451E-2</v>
      </c>
      <c r="I330" s="126">
        <f t="shared" si="48"/>
        <v>0.48881991363583072</v>
      </c>
      <c r="J330" s="126">
        <f t="shared" si="49"/>
        <v>-2.1409639811264834E-2</v>
      </c>
      <c r="M330" s="5"/>
      <c r="Y330">
        <f>IF($Z$1, D330, -0.2)</f>
        <v>-0.2</v>
      </c>
    </row>
    <row r="331" spans="2:25" x14ac:dyDescent="0.3">
      <c r="B331" s="126">
        <v>0.49274796470133042</v>
      </c>
      <c r="C331" s="126">
        <f t="shared" si="42"/>
        <v>3.771915250266468E-2</v>
      </c>
      <c r="D331" s="126">
        <f t="shared" si="43"/>
        <v>1.6329642583547879E-2</v>
      </c>
      <c r="E331" s="126">
        <f t="shared" si="44"/>
        <v>-3.2192364834836E-2</v>
      </c>
      <c r="F331" s="126">
        <f t="shared" si="45"/>
        <v>-3.2181250909990897E-2</v>
      </c>
      <c r="G331" s="126">
        <f t="shared" si="46"/>
        <v>0.49396160470589617</v>
      </c>
      <c r="H331" s="126">
        <f t="shared" si="47"/>
        <v>5.4029265173947807E-2</v>
      </c>
      <c r="I331" s="126">
        <f t="shared" si="48"/>
        <v>0.49153432469676467</v>
      </c>
      <c r="J331" s="126">
        <f t="shared" si="49"/>
        <v>-2.1369980006852054E-2</v>
      </c>
      <c r="M331" s="5"/>
      <c r="Y331">
        <f>IF($Z$1, D331, -0.2)</f>
        <v>-0.2</v>
      </c>
    </row>
    <row r="332" spans="2:25" x14ac:dyDescent="0.3">
      <c r="B332" s="126">
        <v>0.4954633166365402</v>
      </c>
      <c r="C332" s="126">
        <f t="shared" si="42"/>
        <v>3.7590960985282862E-2</v>
      </c>
      <c r="D332" s="126">
        <f t="shared" si="43"/>
        <v>1.6242228983394631E-2</v>
      </c>
      <c r="E332" s="126">
        <f t="shared" si="44"/>
        <v>-3.2192364834836E-2</v>
      </c>
      <c r="F332" s="126">
        <f t="shared" si="45"/>
        <v>-3.2181250909990897E-2</v>
      </c>
      <c r="G332" s="126">
        <f t="shared" si="46"/>
        <v>0.49667283198974405</v>
      </c>
      <c r="H332" s="126">
        <f t="shared" si="47"/>
        <v>5.3813726430361294E-2</v>
      </c>
      <c r="I332" s="126">
        <f t="shared" si="48"/>
        <v>0.49425380128333635</v>
      </c>
      <c r="J332" s="126">
        <f t="shared" si="49"/>
        <v>-2.132926846357203E-2</v>
      </c>
      <c r="M332" s="5"/>
      <c r="Y332">
        <f>IF($Z$1, D332, -0.2)</f>
        <v>-0.2</v>
      </c>
    </row>
    <row r="333" spans="2:25" x14ac:dyDescent="0.3">
      <c r="B333" s="126">
        <v>0.4981836681233166</v>
      </c>
      <c r="C333" s="126">
        <f t="shared" si="42"/>
        <v>3.7461554942826158E-2</v>
      </c>
      <c r="D333" s="126">
        <f t="shared" si="43"/>
        <v>1.6154654435853334E-2</v>
      </c>
      <c r="E333" s="126">
        <f t="shared" si="44"/>
        <v>-3.2192364834836E-2</v>
      </c>
      <c r="F333" s="126">
        <f t="shared" si="45"/>
        <v>-3.2181250909990897E-2</v>
      </c>
      <c r="G333" s="126">
        <f t="shared" si="46"/>
        <v>0.49938901974696831</v>
      </c>
      <c r="H333" s="126">
        <f t="shared" si="47"/>
        <v>5.3596812843158634E-2</v>
      </c>
      <c r="I333" s="126">
        <f t="shared" si="48"/>
        <v>0.4969783164996649</v>
      </c>
      <c r="J333" s="126">
        <f t="shared" si="49"/>
        <v>-2.128750397145197E-2</v>
      </c>
      <c r="M333" s="5"/>
      <c r="Y333">
        <f>IF($Z$1, D333, -0.2)</f>
        <v>-0.2</v>
      </c>
    </row>
    <row r="334" spans="2:25" x14ac:dyDescent="0.3">
      <c r="B334" s="126">
        <v>0.50090899220517071</v>
      </c>
      <c r="C334" s="126">
        <f t="shared" si="42"/>
        <v>3.733093410457973E-2</v>
      </c>
      <c r="D334" s="126">
        <f t="shared" si="43"/>
        <v>1.6066919808717123E-2</v>
      </c>
      <c r="E334" s="126">
        <f t="shared" si="44"/>
        <v>-3.2192364834836E-2</v>
      </c>
      <c r="F334" s="126">
        <f t="shared" si="45"/>
        <v>-3.2181250909990897E-2</v>
      </c>
      <c r="G334" s="126">
        <f t="shared" si="46"/>
        <v>0.5021101410123695</v>
      </c>
      <c r="H334" s="126">
        <f t="shared" si="47"/>
        <v>5.3378525009558309E-2</v>
      </c>
      <c r="I334" s="126">
        <f t="shared" si="48"/>
        <v>0.49970784339797186</v>
      </c>
      <c r="J334" s="126">
        <f t="shared" si="49"/>
        <v>-2.1244685392124058E-2</v>
      </c>
      <c r="M334" s="5"/>
      <c r="Y334">
        <f>IF($Z$1, D334, -0.2)</f>
        <v>-0.2</v>
      </c>
    </row>
    <row r="335" spans="2:25" x14ac:dyDescent="0.3">
      <c r="B335" s="126">
        <v>0.50363926187633923</v>
      </c>
      <c r="C335" s="126">
        <f t="shared" si="42"/>
        <v>3.7199098273133939E-2</v>
      </c>
      <c r="D335" s="126">
        <f t="shared" si="43"/>
        <v>1.5979025971365378E-2</v>
      </c>
      <c r="E335" s="126">
        <f t="shared" si="44"/>
        <v>-3.2192364834836E-2</v>
      </c>
      <c r="F335" s="126">
        <f t="shared" si="45"/>
        <v>-3.2181250909990897E-2</v>
      </c>
      <c r="G335" s="126">
        <f t="shared" si="46"/>
        <v>0.50483616877383275</v>
      </c>
      <c r="H335" s="126">
        <f t="shared" si="47"/>
        <v>5.3158863601632259E-2</v>
      </c>
      <c r="I335" s="126">
        <f t="shared" si="48"/>
        <v>0.50244235497884571</v>
      </c>
      <c r="J335" s="126">
        <f t="shared" si="49"/>
        <v>-2.1200811658901503E-2</v>
      </c>
      <c r="M335" s="5"/>
      <c r="Y335">
        <f>IF($Z$1, D335, -0.2)</f>
        <v>-0.2</v>
      </c>
    </row>
    <row r="336" spans="2:25" x14ac:dyDescent="0.3">
      <c r="B336" s="126">
        <v>0.50637445008205195</v>
      </c>
      <c r="C336" s="126">
        <f t="shared" si="42"/>
        <v>3.7066047324445926E-2</v>
      </c>
      <c r="D336" s="126">
        <f t="shared" si="43"/>
        <v>1.5890973794755132E-2</v>
      </c>
      <c r="E336" s="126">
        <f t="shared" si="44"/>
        <v>-3.2192364834836E-2</v>
      </c>
      <c r="F336" s="126">
        <f t="shared" si="45"/>
        <v>-3.2181250909990897E-2</v>
      </c>
      <c r="G336" s="126">
        <f t="shared" si="46"/>
        <v>0.50756707597259654</v>
      </c>
      <c r="H336" s="126">
        <f t="shared" si="47"/>
        <v>5.2937829366358886E-2</v>
      </c>
      <c r="I336" s="126">
        <f t="shared" si="48"/>
        <v>0.50518182419150737</v>
      </c>
      <c r="J336" s="126">
        <f t="shared" si="49"/>
        <v>-2.1155881776848622E-2</v>
      </c>
      <c r="M336" s="5"/>
      <c r="Y336">
        <f>IF($Z$1, D336, -0.2)</f>
        <v>-0.2</v>
      </c>
    </row>
    <row r="337" spans="2:25" x14ac:dyDescent="0.3">
      <c r="B337" s="126">
        <v>0.50911452971880011</v>
      </c>
      <c r="C337" s="126">
        <f t="shared" si="42"/>
        <v>3.6931781207895233E-2</v>
      </c>
      <c r="D337" s="126">
        <f t="shared" si="43"/>
        <v>1.5802764151412432E-2</v>
      </c>
      <c r="E337" s="126">
        <f t="shared" si="44"/>
        <v>-3.2192364834836E-2</v>
      </c>
      <c r="F337" s="126">
        <f t="shared" si="45"/>
        <v>-3.2181250909990897E-2</v>
      </c>
      <c r="G337" s="126">
        <f t="shared" si="46"/>
        <v>0.51030283550352329</v>
      </c>
      <c r="H337" s="126">
        <f t="shared" si="47"/>
        <v>5.2715423125669986E-2</v>
      </c>
      <c r="I337" s="126">
        <f t="shared" si="48"/>
        <v>0.50792622393407694</v>
      </c>
      <c r="J337" s="126">
        <f t="shared" si="49"/>
        <v>-2.1109894822845126E-2</v>
      </c>
      <c r="M337" s="5"/>
      <c r="Y337">
        <f>IF($Z$1, D337, -0.2)</f>
        <v>-0.2</v>
      </c>
    </row>
    <row r="338" spans="2:25" x14ac:dyDescent="0.3">
      <c r="B338" s="126">
        <v>0.51185947363460449</v>
      </c>
      <c r="C338" s="126">
        <f t="shared" si="42"/>
        <v>3.6796299946333461E-2</v>
      </c>
      <c r="D338" s="126">
        <f t="shared" si="43"/>
        <v>1.5714397915423693E-2</v>
      </c>
      <c r="E338" s="126">
        <f t="shared" si="44"/>
        <v>-3.2192364834836E-2</v>
      </c>
      <c r="F338" s="126">
        <f t="shared" si="45"/>
        <v>-3.2181250909990897E-2</v>
      </c>
      <c r="G338" s="126">
        <f t="shared" si="46"/>
        <v>0.51304342021536919</v>
      </c>
      <c r="H338" s="126">
        <f t="shared" si="47"/>
        <v>5.2491645776491756E-2</v>
      </c>
      <c r="I338" s="126">
        <f t="shared" si="48"/>
        <v>0.51067552705383978</v>
      </c>
      <c r="J338" s="126">
        <f t="shared" si="49"/>
        <v>-2.106284994564437E-2</v>
      </c>
      <c r="M338" s="5"/>
      <c r="Y338">
        <f>IF($Z$1, D338, -0.2)</f>
        <v>-0.2</v>
      </c>
    </row>
    <row r="339" spans="2:25" x14ac:dyDescent="0.3">
      <c r="B339" s="126">
        <v>0.51460925462928531</v>
      </c>
      <c r="C339" s="126">
        <f t="shared" si="42"/>
        <v>3.6659603636128059E-2</v>
      </c>
      <c r="D339" s="126">
        <f t="shared" si="43"/>
        <v>1.5625875962427031E-2</v>
      </c>
      <c r="E339" s="126">
        <f t="shared" si="44"/>
        <v>-3.2192364834836E-2</v>
      </c>
      <c r="F339" s="126">
        <f t="shared" si="45"/>
        <v>-3.2181250909990897E-2</v>
      </c>
      <c r="G339" s="126">
        <f t="shared" si="46"/>
        <v>0.51578880291105511</v>
      </c>
      <c r="H339" s="126">
        <f t="shared" si="47"/>
        <v>5.226649829077986E-2</v>
      </c>
      <c r="I339" s="126">
        <f t="shared" si="48"/>
        <v>0.5134297063475155</v>
      </c>
      <c r="J339" s="126">
        <f t="shared" si="49"/>
        <v>-2.1014746365925797E-2</v>
      </c>
      <c r="M339" s="5"/>
      <c r="Y339">
        <f>IF($Z$1, D339, -0.2)</f>
        <v>-0.2</v>
      </c>
    </row>
    <row r="340" spans="2:25" x14ac:dyDescent="0.3">
      <c r="B340" s="126">
        <v>0.51736384545473046</v>
      </c>
      <c r="C340" s="126">
        <f t="shared" si="42"/>
        <v>3.6521692447200119E-2</v>
      </c>
      <c r="D340" s="126">
        <f t="shared" si="43"/>
        <v>1.5537199169603609E-2</v>
      </c>
      <c r="E340" s="126">
        <f t="shared" si="44"/>
        <v>-3.2192364834836E-2</v>
      </c>
      <c r="F340" s="126">
        <f t="shared" si="45"/>
        <v>-3.2181250909990897E-2</v>
      </c>
      <c r="G340" s="126">
        <f t="shared" si="46"/>
        <v>0.51853895634793623</v>
      </c>
      <c r="H340" s="126">
        <f t="shared" si="47"/>
        <v>5.2039981715548564E-2</v>
      </c>
      <c r="I340" s="126">
        <f t="shared" si="48"/>
        <v>0.5161887345615247</v>
      </c>
      <c r="J340" s="126">
        <f t="shared" si="49"/>
        <v>-2.0965583376341343E-2</v>
      </c>
      <c r="M340" s="5"/>
      <c r="Y340">
        <f>IF($Z$1, D340, -0.2)</f>
        <v>-0.2</v>
      </c>
    </row>
    <row r="341" spans="2:25" x14ac:dyDescent="0.3">
      <c r="B341" s="126">
        <v>0.52012321881516699</v>
      </c>
      <c r="C341" s="126">
        <f t="shared" si="42"/>
        <v>3.6382566623056271E-2</v>
      </c>
      <c r="D341" s="126">
        <f t="shared" si="43"/>
        <v>1.5448368415668908E-2</v>
      </c>
      <c r="E341" s="126">
        <f t="shared" si="44"/>
        <v>-3.2192364834836E-2</v>
      </c>
      <c r="F341" s="126">
        <f t="shared" si="45"/>
        <v>-3.2181250909990897E-2</v>
      </c>
      <c r="G341" s="126">
        <f t="shared" si="46"/>
        <v>0.52129385323807464</v>
      </c>
      <c r="H341" s="126">
        <f t="shared" si="47"/>
        <v>5.1812097172893902E-2</v>
      </c>
      <c r="I341" s="126">
        <f t="shared" si="48"/>
        <v>0.51895258439225933</v>
      </c>
      <c r="J341" s="126">
        <f t="shared" si="49"/>
        <v>-2.091536034155609E-2</v>
      </c>
      <c r="M341" s="5"/>
      <c r="Y341">
        <f>IF($Z$1, D341, -0.2)</f>
        <v>-0.2</v>
      </c>
    </row>
    <row r="342" spans="2:25" x14ac:dyDescent="0.3">
      <c r="B342" s="126">
        <v>0.52288734736743059</v>
      </c>
      <c r="C342" s="126">
        <f t="shared" si="42"/>
        <v>3.6242226480814627E-2</v>
      </c>
      <c r="D342" s="126">
        <f t="shared" si="43"/>
        <v>1.5359384580864052E-2</v>
      </c>
      <c r="E342" s="126">
        <f t="shared" si="44"/>
        <v>-3.2192364834836E-2</v>
      </c>
      <c r="F342" s="126">
        <f t="shared" si="45"/>
        <v>-3.2181250909990897E-2</v>
      </c>
      <c r="G342" s="126">
        <f t="shared" si="46"/>
        <v>0.52405346624850946</v>
      </c>
      <c r="H342" s="126">
        <f t="shared" si="47"/>
        <v>5.1582845860010926E-2</v>
      </c>
      <c r="I342" s="126">
        <f t="shared" si="48"/>
        <v>0.52172122848635172</v>
      </c>
      <c r="J342" s="126">
        <f t="shared" si="49"/>
        <v>-2.0864076698282819E-2</v>
      </c>
      <c r="M342" s="5"/>
      <c r="Y342">
        <f>IF($Z$1, D342, -0.2)</f>
        <v>-0.2</v>
      </c>
    </row>
    <row r="343" spans="2:25" x14ac:dyDescent="0.3">
      <c r="B343" s="126">
        <v>0.52565620372123711</v>
      </c>
      <c r="C343" s="126">
        <f t="shared" si="42"/>
        <v>3.6100672411224763E-2</v>
      </c>
      <c r="D343" s="126">
        <f t="shared" si="43"/>
        <v>1.5270248546947057E-2</v>
      </c>
      <c r="E343" s="126">
        <f t="shared" si="44"/>
        <v>-3.2192364834836E-2</v>
      </c>
      <c r="F343" s="126">
        <f t="shared" si="45"/>
        <v>-3.2181250909990897E-2</v>
      </c>
      <c r="G343" s="126">
        <f t="shared" si="46"/>
        <v>0.52681776800152924</v>
      </c>
      <c r="H343" s="126">
        <f t="shared" si="47"/>
        <v>5.1352229049204889E-2</v>
      </c>
      <c r="I343" s="126">
        <f t="shared" si="48"/>
        <v>0.52449463944094499</v>
      </c>
      <c r="J343" s="126">
        <f t="shared" si="49"/>
        <v>-2.0811731955310775E-2</v>
      </c>
      <c r="M343" s="5"/>
      <c r="Y343">
        <f>IF($Z$1, D343, -0.2)</f>
        <v>-0.2</v>
      </c>
    </row>
    <row r="344" spans="2:25" x14ac:dyDescent="0.3">
      <c r="B344" s="126">
        <v>0.52842976043945322</v>
      </c>
      <c r="C344" s="126">
        <f t="shared" si="42"/>
        <v>3.5957904878681883E-2</v>
      </c>
      <c r="D344" s="126">
        <f t="shared" si="43"/>
        <v>1.5180961197184135E-2</v>
      </c>
      <c r="E344" s="126">
        <f t="shared" si="44"/>
        <v>-3.2192364834836E-2</v>
      </c>
      <c r="F344" s="126">
        <f t="shared" si="45"/>
        <v>-3.2181250909990897E-2</v>
      </c>
      <c r="G344" s="126">
        <f t="shared" si="46"/>
        <v>0.52958673107494292</v>
      </c>
      <c r="H344" s="126">
        <f t="shared" si="47"/>
        <v>5.1120248087896773E-2</v>
      </c>
      <c r="I344" s="126">
        <f t="shared" si="48"/>
        <v>0.52727278980396353</v>
      </c>
      <c r="J344" s="126">
        <f t="shared" si="49"/>
        <v>-2.07583256935285E-2</v>
      </c>
      <c r="M344" s="5"/>
      <c r="Y344">
        <f>IF($Z$1, D344, -0.2)</f>
        <v>-0.2</v>
      </c>
    </row>
    <row r="345" spans="2:25" x14ac:dyDescent="0.3">
      <c r="B345" s="126">
        <v>0.53120799003836905</v>
      </c>
      <c r="C345" s="126">
        <f t="shared" si="42"/>
        <v>3.5813924421234856E-2</v>
      </c>
      <c r="D345" s="126">
        <f t="shared" si="43"/>
        <v>1.5091523416340897E-2</v>
      </c>
      <c r="E345" s="126">
        <f t="shared" si="44"/>
        <v>-3.2192364834836E-2</v>
      </c>
      <c r="F345" s="126">
        <f t="shared" si="45"/>
        <v>-3.2181250909990897E-2</v>
      </c>
      <c r="G345" s="126">
        <f t="shared" si="46"/>
        <v>0.53236032800235256</v>
      </c>
      <c r="H345" s="126">
        <f t="shared" si="47"/>
        <v>5.0886904398622458E-2</v>
      </c>
      <c r="I345" s="126">
        <f t="shared" si="48"/>
        <v>0.53005565207438554</v>
      </c>
      <c r="J345" s="126">
        <f t="shared" si="49"/>
        <v>-2.0703857565940668E-2</v>
      </c>
      <c r="M345" s="5"/>
      <c r="Y345">
        <f>IF($Z$1, D345, -0.2)</f>
        <v>-0.2</v>
      </c>
    </row>
    <row r="346" spans="2:25" x14ac:dyDescent="0.3">
      <c r="B346" s="126">
        <v>0.53399086498797033</v>
      </c>
      <c r="C346" s="126">
        <f t="shared" si="42"/>
        <v>3.5668731650588488E-2</v>
      </c>
      <c r="D346" s="126">
        <f t="shared" si="43"/>
        <v>1.5001936090673606E-2</v>
      </c>
      <c r="E346" s="126">
        <f t="shared" si="44"/>
        <v>-3.2192364834836E-2</v>
      </c>
      <c r="F346" s="126">
        <f t="shared" si="45"/>
        <v>-3.2181250909990897E-2</v>
      </c>
      <c r="G346" s="126">
        <f t="shared" si="46"/>
        <v>0.53513853127342614</v>
      </c>
      <c r="H346" s="126">
        <f t="shared" si="47"/>
        <v>5.0652199479026307E-2</v>
      </c>
      <c r="I346" s="126">
        <f t="shared" si="48"/>
        <v>0.53284319870251451</v>
      </c>
      <c r="J346" s="126">
        <f t="shared" si="49"/>
        <v>-2.0648327297679091E-2</v>
      </c>
      <c r="M346" s="5"/>
      <c r="Y346">
        <f>IF($Z$1, D346, -0.2)</f>
        <v>-0.2</v>
      </c>
    </row>
    <row r="347" spans="2:25" x14ac:dyDescent="0.3">
      <c r="B347" s="126">
        <v>0.53677835771221083</v>
      </c>
      <c r="C347" s="126">
        <f t="shared" si="42"/>
        <v>3.5522327252099827E-2</v>
      </c>
      <c r="D347" s="126">
        <f t="shared" si="43"/>
        <v>1.4912200107920404E-2</v>
      </c>
      <c r="E347" s="126">
        <f t="shared" si="44"/>
        <v>-3.2192364834836E-2</v>
      </c>
      <c r="F347" s="126">
        <f t="shared" si="45"/>
        <v>-3.2181250909990897E-2</v>
      </c>
      <c r="G347" s="126">
        <f t="shared" si="46"/>
        <v>0.53792131333416915</v>
      </c>
      <c r="H347" s="126">
        <f t="shared" si="47"/>
        <v>5.0416134901848639E-2</v>
      </c>
      <c r="I347" s="126">
        <f t="shared" si="48"/>
        <v>0.53563540209025251</v>
      </c>
      <c r="J347" s="126">
        <f t="shared" si="49"/>
        <v>-2.0591734686007834E-2</v>
      </c>
      <c r="M347" s="5"/>
      <c r="Y347">
        <f>IF($Z$1, D347, -0.2)</f>
        <v>-0.2</v>
      </c>
    </row>
    <row r="348" spans="2:25" x14ac:dyDescent="0.3">
      <c r="B348" s="126">
        <v>0.53957044058928638</v>
      </c>
      <c r="C348" s="126">
        <f t="shared" si="42"/>
        <v>3.5374711984768388E-2</v>
      </c>
      <c r="D348" s="126">
        <f t="shared" si="43"/>
        <v>1.4822316357292489E-2</v>
      </c>
      <c r="E348" s="126">
        <f t="shared" si="44"/>
        <v>-3.2192364834836E-2</v>
      </c>
      <c r="F348" s="126">
        <f t="shared" si="45"/>
        <v>-3.2181250909990897E-2</v>
      </c>
      <c r="G348" s="126">
        <f t="shared" si="46"/>
        <v>0.54070864658719886</v>
      </c>
      <c r="H348" s="126">
        <f t="shared" si="47"/>
        <v>5.0178712314907177E-2</v>
      </c>
      <c r="I348" s="126">
        <f t="shared" si="48"/>
        <v>0.5384322345913739</v>
      </c>
      <c r="J348" s="126">
        <f t="shared" si="49"/>
        <v>-2.0534079600322198E-2</v>
      </c>
      <c r="M348" s="5"/>
      <c r="Y348">
        <f>IF($Z$1, D348, -0.2)</f>
        <v>-0.2</v>
      </c>
    </row>
    <row r="349" spans="2:25" x14ac:dyDescent="0.3">
      <c r="B349" s="126">
        <v>0.54236708595190763</v>
      </c>
      <c r="C349" s="126">
        <f t="shared" si="42"/>
        <v>3.5225886681220751E-2</v>
      </c>
      <c r="D349" s="126">
        <f t="shared" si="43"/>
        <v>1.4732285729465335E-2</v>
      </c>
      <c r="E349" s="126">
        <f t="shared" si="44"/>
        <v>-3.2192364834836E-2</v>
      </c>
      <c r="F349" s="126">
        <f t="shared" si="45"/>
        <v>-3.2181250909990897E-2</v>
      </c>
      <c r="G349" s="126">
        <f t="shared" si="46"/>
        <v>0.54350050339201605</v>
      </c>
      <c r="H349" s="126">
        <f t="shared" si="47"/>
        <v>4.9939933441072872E-2</v>
      </c>
      <c r="I349" s="126">
        <f t="shared" si="48"/>
        <v>0.54123366851179922</v>
      </c>
      <c r="J349" s="126">
        <f t="shared" si="49"/>
        <v>-2.0475361982142205E-2</v>
      </c>
      <c r="M349" s="5"/>
      <c r="Y349">
        <f>IF($Z$1, D349, -0.2)</f>
        <v>-0.2</v>
      </c>
    </row>
    <row r="350" spans="2:25" x14ac:dyDescent="0.3">
      <c r="B350" s="126">
        <v>0.54516826608757496</v>
      </c>
      <c r="C350" s="126">
        <f t="shared" si="42"/>
        <v>3.507585224768893E-2</v>
      </c>
      <c r="D350" s="126">
        <f t="shared" si="43"/>
        <v>1.4642109116569836E-2</v>
      </c>
      <c r="E350" s="126">
        <f t="shared" si="44"/>
        <v>-3.2192364834836E-2</v>
      </c>
      <c r="F350" s="126">
        <f t="shared" si="45"/>
        <v>-3.2181250909990897E-2</v>
      </c>
      <c r="G350" s="126">
        <f t="shared" si="46"/>
        <v>0.54629685606528</v>
      </c>
      <c r="H350" s="126">
        <f t="shared" si="47"/>
        <v>4.969980007823941E-2</v>
      </c>
      <c r="I350" s="126">
        <f t="shared" si="48"/>
        <v>0.54403967610986992</v>
      </c>
      <c r="J350" s="126">
        <f t="shared" si="49"/>
        <v>-2.0415581845099735E-2</v>
      </c>
      <c r="M350" s="5"/>
      <c r="Y350">
        <f>IF($Z$1, D350, -0.2)</f>
        <v>-0.2</v>
      </c>
    </row>
    <row r="351" spans="2:25" x14ac:dyDescent="0.3">
      <c r="B351" s="126">
        <v>0.54797395323885223</v>
      </c>
      <c r="C351" s="126">
        <f t="shared" si="42"/>
        <v>3.4924609663983072E-2</v>
      </c>
      <c r="D351" s="126">
        <f t="shared" si="43"/>
        <v>1.4551787412183506E-2</v>
      </c>
      <c r="E351" s="126">
        <f t="shared" si="44"/>
        <v>-3.2192364834836E-2</v>
      </c>
      <c r="F351" s="126">
        <f t="shared" si="45"/>
        <v>-3.2181250909990897E-2</v>
      </c>
      <c r="G351" s="126">
        <f t="shared" si="46"/>
        <v>0.54909767688108035</v>
      </c>
      <c r="H351" s="126">
        <f t="shared" si="47"/>
        <v>4.945831409928713E-2</v>
      </c>
      <c r="I351" s="126">
        <f t="shared" si="48"/>
        <v>0.5468502295966241</v>
      </c>
      <c r="J351" s="126">
        <f t="shared" si="49"/>
        <v>-2.0354739274920118E-2</v>
      </c>
      <c r="M351" s="5"/>
      <c r="Y351">
        <f>IF($Z$1, D351, -0.2)</f>
        <v>-0.2</v>
      </c>
    </row>
    <row r="352" spans="2:25" x14ac:dyDescent="0.3">
      <c r="B352" s="126">
        <v>0.55078411960364337</v>
      </c>
      <c r="C352" s="126">
        <f t="shared" si="42"/>
        <v>3.4772159983458006E-2</v>
      </c>
      <c r="D352" s="126">
        <f t="shared" si="43"/>
        <v>1.4461321511321566E-2</v>
      </c>
      <c r="E352" s="126">
        <f t="shared" si="44"/>
        <v>-3.2192364834836E-2</v>
      </c>
      <c r="F352" s="126">
        <f t="shared" si="45"/>
        <v>-3.2181250909990897E-2</v>
      </c>
      <c r="G352" s="126">
        <f t="shared" si="46"/>
        <v>0.55190293807121382</v>
      </c>
      <c r="H352" s="126">
        <f t="shared" si="47"/>
        <v>4.9215477452040683E-2</v>
      </c>
      <c r="I352" s="126">
        <f t="shared" si="48"/>
        <v>0.54966530113607293</v>
      </c>
      <c r="J352" s="126">
        <f t="shared" si="49"/>
        <v>-2.0292834429397548E-2</v>
      </c>
      <c r="M352" s="5"/>
      <c r="Y352">
        <f>IF($Z$1, D352, -0.2)</f>
        <v>-0.2</v>
      </c>
    </row>
    <row r="353" spans="2:25" x14ac:dyDescent="0.3">
      <c r="B353" s="126">
        <v>0.55359873733546627</v>
      </c>
      <c r="C353" s="126">
        <f t="shared" si="42"/>
        <v>3.4618504332974136E-2</v>
      </c>
      <c r="D353" s="126">
        <f t="shared" si="43"/>
        <v>1.4370712310428125E-2</v>
      </c>
      <c r="E353" s="126">
        <f t="shared" si="44"/>
        <v>-3.2192364834836E-2</v>
      </c>
      <c r="F353" s="126">
        <f t="shared" si="45"/>
        <v>-3.2181250909990897E-2</v>
      </c>
      <c r="G353" s="126">
        <f t="shared" si="46"/>
        <v>0.5547126118254555</v>
      </c>
      <c r="H353" s="126">
        <f t="shared" si="47"/>
        <v>4.8971292159221122E-2</v>
      </c>
      <c r="I353" s="126">
        <f t="shared" si="48"/>
        <v>0.55248486284547704</v>
      </c>
      <c r="J353" s="126">
        <f t="shared" si="49"/>
        <v>-2.0229867538364876E-2</v>
      </c>
      <c r="M353" s="5"/>
      <c r="Y353">
        <f>IF($Z$1, D353, -0.2)</f>
        <v>-0.2</v>
      </c>
    </row>
    <row r="354" spans="2:25" x14ac:dyDescent="0.3">
      <c r="B354" s="126">
        <v>0.55641777854372954</v>
      </c>
      <c r="C354" s="126">
        <f t="shared" si="42"/>
        <v>3.4463643912852233E-2</v>
      </c>
      <c r="D354" s="126">
        <f t="shared" si="43"/>
        <v>1.4279960707367277E-2</v>
      </c>
      <c r="E354" s="126">
        <f t="shared" si="44"/>
        <v>-3.2192364834836E-2</v>
      </c>
      <c r="F354" s="126">
        <f t="shared" si="45"/>
        <v>-3.2181250909990897E-2</v>
      </c>
      <c r="G354" s="126">
        <f t="shared" si="46"/>
        <v>0.55752667029183534</v>
      </c>
      <c r="H354" s="126">
        <f t="shared" si="47"/>
        <v>4.8725760318391841E-2</v>
      </c>
      <c r="I354" s="126">
        <f t="shared" si="48"/>
        <v>0.55530888679562374</v>
      </c>
      <c r="J354" s="126">
        <f t="shared" si="49"/>
        <v>-2.0165838903657286E-2</v>
      </c>
      <c r="M354" s="5"/>
      <c r="Y354">
        <f>IF($Z$1, D354, -0.2)</f>
        <v>-0.2</v>
      </c>
    </row>
    <row r="355" spans="2:25" x14ac:dyDescent="0.3">
      <c r="B355" s="126">
        <v>0.55924121529400872</v>
      </c>
      <c r="C355" s="126">
        <f t="shared" si="42"/>
        <v>3.4307579996822421E-2</v>
      </c>
      <c r="D355" s="126">
        <f t="shared" si="43"/>
        <v>1.4189067601414205E-2</v>
      </c>
      <c r="E355" s="126">
        <f t="shared" si="44"/>
        <v>-3.2192364834836E-2</v>
      </c>
      <c r="F355" s="126">
        <f t="shared" si="45"/>
        <v>-3.2181250909990897E-2</v>
      </c>
      <c r="G355" s="126">
        <f t="shared" si="46"/>
        <v>0.56034508557691187</v>
      </c>
      <c r="H355" s="126">
        <f t="shared" si="47"/>
        <v>4.8478884101898621E-2</v>
      </c>
      <c r="I355" s="126">
        <f t="shared" si="48"/>
        <v>0.55813734501110557</v>
      </c>
      <c r="J355" s="126">
        <f t="shared" si="49"/>
        <v>-2.0100748899070216E-2</v>
      </c>
      <c r="M355" s="5"/>
      <c r="Y355">
        <f>IF($Z$1, D355, -0.2)</f>
        <v>-0.2</v>
      </c>
    </row>
    <row r="356" spans="2:25" x14ac:dyDescent="0.3">
      <c r="B356" s="126">
        <v>0.56206901960832267</v>
      </c>
      <c r="C356" s="126">
        <f t="shared" si="42"/>
        <v>3.4150313931967331E-2</v>
      </c>
      <c r="D356" s="126">
        <f t="shared" si="43"/>
        <v>1.4098033893246287E-2</v>
      </c>
      <c r="E356" s="126">
        <f t="shared" si="44"/>
        <v>-3.2192364834836E-2</v>
      </c>
      <c r="F356" s="126">
        <f t="shared" si="45"/>
        <v>-3.2181250909990897E-2</v>
      </c>
      <c r="G356" s="126">
        <f t="shared" si="46"/>
        <v>0.56316782974604751</v>
      </c>
      <c r="H356" s="126">
        <f t="shared" si="47"/>
        <v>4.8230665756804E-2</v>
      </c>
      <c r="I356" s="126">
        <f t="shared" si="48"/>
        <v>0.56097020947059784</v>
      </c>
      <c r="J356" s="126">
        <f t="shared" si="49"/>
        <v>-2.003459797031143E-2</v>
      </c>
      <c r="M356" s="5"/>
      <c r="Y356">
        <f>IF($Z$1, D356, -0.2)</f>
        <v>-0.2</v>
      </c>
    </row>
    <row r="357" spans="2:25" x14ac:dyDescent="0.3">
      <c r="B357" s="126">
        <v>0.56490116346541219</v>
      </c>
      <c r="C357" s="126">
        <f t="shared" si="42"/>
        <v>3.3991847138659145E-2</v>
      </c>
      <c r="D357" s="126">
        <f t="shared" si="43"/>
        <v>1.4006860484934122E-2</v>
      </c>
      <c r="E357" s="126">
        <f t="shared" si="44"/>
        <v>-3.2192364834836E-2</v>
      </c>
      <c r="F357" s="126">
        <f t="shared" si="45"/>
        <v>-3.2181250909990897E-2</v>
      </c>
      <c r="G357" s="126">
        <f t="shared" si="46"/>
        <v>0.56599487482368427</v>
      </c>
      <c r="H357" s="126">
        <f t="shared" si="47"/>
        <v>4.7981107604815332E-2</v>
      </c>
      <c r="I357" s="126">
        <f t="shared" si="48"/>
        <v>0.56380745210714012</v>
      </c>
      <c r="J357" s="126">
        <f t="shared" si="49"/>
        <v>-1.9967386634947085E-2</v>
      </c>
      <c r="M357" s="5"/>
      <c r="Y357">
        <f>IF($Z$1, D357, -0.2)</f>
        <v>-0.2</v>
      </c>
    </row>
    <row r="358" spans="2:25" x14ac:dyDescent="0.3">
      <c r="B358" s="126">
        <v>0.56773761880101548</v>
      </c>
      <c r="C358" s="126">
        <f t="shared" si="42"/>
        <v>3.3832181110491112E-2</v>
      </c>
      <c r="D358" s="126">
        <f t="shared" si="43"/>
        <v>1.3915548279932664E-2</v>
      </c>
      <c r="E358" s="126">
        <f t="shared" si="44"/>
        <v>-3.2192364834836E-2</v>
      </c>
      <c r="F358" s="126">
        <f t="shared" si="45"/>
        <v>-3.2181250909990897E-2</v>
      </c>
      <c r="G358" s="126">
        <f t="shared" si="46"/>
        <v>0.5688261927936179</v>
      </c>
      <c r="H358" s="126">
        <f t="shared" si="47"/>
        <v>4.7730212042207468E-2</v>
      </c>
      <c r="I358" s="126">
        <f t="shared" si="48"/>
        <v>0.56664904480841305</v>
      </c>
      <c r="J358" s="126">
        <f t="shared" si="49"/>
        <v>-1.9899115482342144E-2</v>
      </c>
      <c r="M358" s="5"/>
      <c r="Y358">
        <f>IF($Z$1, D358, -0.2)</f>
        <v>-0.2</v>
      </c>
    </row>
    <row r="359" spans="2:25" x14ac:dyDescent="0.3">
      <c r="B359" s="126">
        <v>0.57057835750814878</v>
      </c>
      <c r="C359" s="126">
        <f t="shared" si="42"/>
        <v>3.3671317414202852E-2</v>
      </c>
      <c r="D359" s="126">
        <f t="shared" si="43"/>
        <v>1.3824098183072188E-2</v>
      </c>
      <c r="E359" s="126">
        <f t="shared" si="44"/>
        <v>-3.2192364834836E-2</v>
      </c>
      <c r="F359" s="126">
        <f t="shared" si="45"/>
        <v>-3.2181250909990897E-2</v>
      </c>
      <c r="G359" s="126">
        <f t="shared" si="46"/>
        <v>0.57166175559927557</v>
      </c>
      <c r="H359" s="126">
        <f t="shared" si="47"/>
        <v>4.7477981539739117E-2</v>
      </c>
      <c r="I359" s="126">
        <f t="shared" si="48"/>
        <v>0.569494959417022</v>
      </c>
      <c r="J359" s="126">
        <f t="shared" si="49"/>
        <v>-1.9829785173594738E-2</v>
      </c>
      <c r="M359" s="5"/>
      <c r="Y359">
        <f>IF($Z$1, D359, -0.2)</f>
        <v>-0.2</v>
      </c>
    </row>
    <row r="360" spans="2:25" x14ac:dyDescent="0.3">
      <c r="B360" s="126">
        <v>0.5734233514373821</v>
      </c>
      <c r="C360" s="126">
        <f t="shared" si="42"/>
        <v>3.3509257689600121E-2</v>
      </c>
      <c r="D360" s="126">
        <f t="shared" si="43"/>
        <v>1.3732511100549415E-2</v>
      </c>
      <c r="E360" s="126">
        <f t="shared" si="44"/>
        <v>-3.2192364834836E-2</v>
      </c>
      <c r="F360" s="126">
        <f t="shared" si="45"/>
        <v>-3.2181250909990897E-2</v>
      </c>
      <c r="G360" s="126">
        <f t="shared" si="46"/>
        <v>0.57450153514398927</v>
      </c>
      <c r="H360" s="126">
        <f t="shared" si="47"/>
        <v>4.7224418642563673E-2</v>
      </c>
      <c r="I360" s="126">
        <f t="shared" si="48"/>
        <v>0.57234516773077493</v>
      </c>
      <c r="J360" s="126">
        <f t="shared" si="49"/>
        <v>-1.9759396441464846E-2</v>
      </c>
      <c r="M360" s="5"/>
      <c r="Y360">
        <f>IF($Z$1, D360, -0.2)</f>
        <v>-0.2</v>
      </c>
    </row>
    <row r="361" spans="2:25" x14ac:dyDescent="0.3">
      <c r="B361" s="126">
        <v>0.57627257239712093</v>
      </c>
      <c r="C361" s="126">
        <f t="shared" si="42"/>
        <v>3.3346003649468367E-2</v>
      </c>
      <c r="D361" s="126">
        <f t="shared" si="43"/>
        <v>1.3640787939918441E-2</v>
      </c>
      <c r="E361" s="126">
        <f t="shared" si="44"/>
        <v>-3.2192364834836E-2</v>
      </c>
      <c r="F361" s="126">
        <f t="shared" si="45"/>
        <v>-3.2181250909990897E-2</v>
      </c>
      <c r="G361" s="126">
        <f t="shared" si="46"/>
        <v>0.57734550329127432</v>
      </c>
      <c r="H361" s="126">
        <f t="shared" si="47"/>
        <v>4.6969525970133881E-2</v>
      </c>
      <c r="I361" s="126">
        <f t="shared" si="48"/>
        <v>0.57519964150296754</v>
      </c>
      <c r="J361" s="126">
        <f t="shared" si="49"/>
        <v>-1.9687950090296995E-2</v>
      </c>
      <c r="M361" s="5"/>
      <c r="Y361">
        <f>IF($Z$1, D361, -0.2)</f>
        <v>-0.2</v>
      </c>
    </row>
    <row r="362" spans="2:25" x14ac:dyDescent="0.3">
      <c r="B362" s="126">
        <v>0.5791259921538835</v>
      </c>
      <c r="C362" s="126">
        <f t="shared" si="42"/>
        <v>3.3181557079480881E-2</v>
      </c>
      <c r="D362" s="126">
        <f t="shared" si="43"/>
        <v>1.3548929610081811E-2</v>
      </c>
      <c r="E362" s="126">
        <f t="shared" si="44"/>
        <v>-3.2192364834836E-2</v>
      </c>
      <c r="F362" s="126">
        <f t="shared" si="45"/>
        <v>-3.2181250909990897E-2</v>
      </c>
      <c r="G362" s="126">
        <f t="shared" si="46"/>
        <v>0.58019363186510442</v>
      </c>
      <c r="H362" s="126">
        <f t="shared" si="47"/>
        <v>4.6713306216100987E-2</v>
      </c>
      <c r="I362" s="126">
        <f t="shared" si="48"/>
        <v>0.57805835244266257</v>
      </c>
      <c r="J362" s="126">
        <f t="shared" si="49"/>
        <v>-1.9615446995937362E-2</v>
      </c>
      <c r="M362" s="5"/>
      <c r="Y362">
        <f>IF($Z$1, D362, -0.2)</f>
        <v>-0.2</v>
      </c>
    </row>
    <row r="363" spans="2:25" x14ac:dyDescent="0.3">
      <c r="B363" s="126">
        <v>0.58198358243258186</v>
      </c>
      <c r="C363" s="126">
        <f t="shared" si="42"/>
        <v>3.3015919838100698E-2</v>
      </c>
      <c r="D363" s="126">
        <f t="shared" si="43"/>
        <v>1.3456937021281474E-2</v>
      </c>
      <c r="E363" s="126">
        <f t="shared" si="44"/>
        <v>-3.2192364834836E-2</v>
      </c>
      <c r="F363" s="126">
        <f t="shared" si="45"/>
        <v>-3.2181250909990897E-2</v>
      </c>
      <c r="G363" s="126">
        <f t="shared" si="46"/>
        <v>0.5830458926501888</v>
      </c>
      <c r="H363" s="126">
        <f t="shared" si="47"/>
        <v>4.6455762148207722E-2</v>
      </c>
      <c r="I363" s="126">
        <f t="shared" si="48"/>
        <v>0.58092127221497492</v>
      </c>
      <c r="J363" s="126">
        <f t="shared" si="49"/>
        <v>-1.9541888105644778E-2</v>
      </c>
      <c r="M363" s="5"/>
      <c r="Y363">
        <f>IF($Z$1, D363, -0.2)</f>
        <v>-0.2</v>
      </c>
    </row>
    <row r="364" spans="2:25" x14ac:dyDescent="0.3">
      <c r="B364" s="126">
        <v>0.58484531491680136</v>
      </c>
      <c r="C364" s="126">
        <f t="shared" si="42"/>
        <v>3.2849093856476969E-2</v>
      </c>
      <c r="D364" s="126">
        <f t="shared" si="43"/>
        <v>1.3364811085089778E-2</v>
      </c>
      <c r="E364" s="126">
        <f t="shared" si="44"/>
        <v>-3.2192364834836E-2</v>
      </c>
      <c r="F364" s="126">
        <f t="shared" si="45"/>
        <v>-3.2181250909990897E-2</v>
      </c>
      <c r="G364" s="126">
        <f t="shared" si="46"/>
        <v>0.5859022573922491</v>
      </c>
      <c r="H364" s="126">
        <f t="shared" si="47"/>
        <v>4.6196896608175692E-2</v>
      </c>
      <c r="I364" s="126">
        <f t="shared" si="48"/>
        <v>0.58378837244135362</v>
      </c>
      <c r="J364" s="126">
        <f t="shared" si="49"/>
        <v>-1.9467274437996132E-2</v>
      </c>
      <c r="M364" s="5"/>
      <c r="Y364">
        <f>IF($Z$1, D364, -0.2)</f>
        <v>-0.2</v>
      </c>
    </row>
    <row r="365" spans="2:25" x14ac:dyDescent="0.3">
      <c r="B365" s="126">
        <v>0.58771116124908085</v>
      </c>
      <c r="C365" s="126">
        <f t="shared" si="42"/>
        <v>3.2681081138335462E-2</v>
      </c>
      <c r="D365" s="126">
        <f t="shared" si="43"/>
        <v>1.3272552714400459E-2</v>
      </c>
      <c r="E365" s="126">
        <f t="shared" si="44"/>
        <v>-3.2192364834836E-2</v>
      </c>
      <c r="F365" s="126">
        <f t="shared" si="45"/>
        <v>-3.2181250909990897E-2</v>
      </c>
      <c r="G365" s="126">
        <f t="shared" si="46"/>
        <v>0.58876269779829526</v>
      </c>
      <c r="H365" s="126">
        <f t="shared" si="47"/>
        <v>4.5936712511586916E-2</v>
      </c>
      <c r="I365" s="126">
        <f t="shared" si="48"/>
        <v>0.58665962469986643</v>
      </c>
      <c r="J365" s="126">
        <f t="shared" si="49"/>
        <v>-1.9391607082786002E-2</v>
      </c>
      <c r="M365" s="5"/>
      <c r="Y365">
        <f>IF($Z$1, D365, -0.2)</f>
        <v>-0.2</v>
      </c>
    </row>
    <row r="366" spans="2:25" x14ac:dyDescent="0.3">
      <c r="B366" s="126">
        <v>0.59058109303119544</v>
      </c>
      <c r="C366" s="126">
        <f t="shared" si="42"/>
        <v>3.2511883759863115E-2</v>
      </c>
      <c r="D366" s="126">
        <f t="shared" si="43"/>
        <v>1.3180162823419536E-2</v>
      </c>
      <c r="E366" s="126">
        <f t="shared" si="44"/>
        <v>-3.2192364834836E-2</v>
      </c>
      <c r="F366" s="126">
        <f t="shared" si="45"/>
        <v>-3.2181250909990897E-2</v>
      </c>
      <c r="G366" s="126">
        <f t="shared" si="46"/>
        <v>0.59162718553690519</v>
      </c>
      <c r="H366" s="126">
        <f t="shared" si="47"/>
        <v>4.5675212847759376E-2</v>
      </c>
      <c r="I366" s="126">
        <f t="shared" si="48"/>
        <v>0.58953500052548569</v>
      </c>
      <c r="J366" s="126">
        <f t="shared" si="49"/>
        <v>-1.9314887200920304E-2</v>
      </c>
      <c r="M366" s="5"/>
      <c r="Y366">
        <f>IF($Z$1, D366, -0.2)</f>
        <v>-0.2</v>
      </c>
    </row>
    <row r="367" spans="2:25" x14ac:dyDescent="0.3">
      <c r="B367" s="126">
        <v>0.59345508182443574</v>
      </c>
      <c r="C367" s="126">
        <f t="shared" si="42"/>
        <v>3.2341503869587049E-2</v>
      </c>
      <c r="D367" s="126">
        <f t="shared" si="43"/>
        <v>1.3087642327656314E-2</v>
      </c>
      <c r="E367" s="126">
        <f t="shared" si="44"/>
        <v>-3.2192364834836E-2</v>
      </c>
      <c r="F367" s="126">
        <f t="shared" si="45"/>
        <v>-3.2181250909990897E-2</v>
      </c>
      <c r="G367" s="126">
        <f t="shared" si="46"/>
        <v>0.59449569223849996</v>
      </c>
      <c r="H367" s="126">
        <f t="shared" si="47"/>
        <v>4.5412400679617049E-2</v>
      </c>
      <c r="I367" s="126">
        <f t="shared" si="48"/>
        <v>0.59241447141037151</v>
      </c>
      <c r="J367" s="126">
        <f t="shared" si="49"/>
        <v>-1.9237116024304418E-2</v>
      </c>
      <c r="M367" s="5"/>
      <c r="Y367">
        <f>IF($Z$1, D367, -0.2)</f>
        <v>-0.2</v>
      </c>
    </row>
    <row r="368" spans="2:25" x14ac:dyDescent="0.3">
      <c r="B368" s="126">
        <v>0.59633309914989119</v>
      </c>
      <c r="C368" s="126">
        <f t="shared" si="42"/>
        <v>3.216994368824766E-2</v>
      </c>
      <c r="D368" s="126">
        <f t="shared" si="43"/>
        <v>1.2994992143914273E-2</v>
      </c>
      <c r="E368" s="126">
        <f t="shared" si="44"/>
        <v>-3.2192364834836E-2</v>
      </c>
      <c r="F368" s="126">
        <f t="shared" si="45"/>
        <v>-3.2181250909990897E-2</v>
      </c>
      <c r="G368" s="126">
        <f t="shared" si="46"/>
        <v>0.59736818949562276</v>
      </c>
      <c r="H368" s="126">
        <f t="shared" si="47"/>
        <v>4.5148279143553967E-2</v>
      </c>
      <c r="I368" s="126">
        <f t="shared" si="48"/>
        <v>0.59529800880415962</v>
      </c>
      <c r="J368" s="126">
        <f t="shared" si="49"/>
        <v>-1.915829485572542E-2</v>
      </c>
      <c r="M368" s="5"/>
      <c r="Y368">
        <f>IF($Z$1, D368, -0.2)</f>
        <v>-0.2</v>
      </c>
    </row>
    <row r="369" spans="2:25" x14ac:dyDescent="0.3">
      <c r="B369" s="126">
        <v>0.59921511648873138</v>
      </c>
      <c r="C369" s="126">
        <f t="shared" si="42"/>
        <v>3.1997205508665964E-2</v>
      </c>
      <c r="D369" s="126">
        <f t="shared" si="43"/>
        <v>1.2902213190282006E-2</v>
      </c>
      <c r="E369" s="126">
        <f t="shared" si="44"/>
        <v>-3.2192364834836E-2</v>
      </c>
      <c r="F369" s="126">
        <f t="shared" si="45"/>
        <v>-3.2181250909990897E-2</v>
      </c>
      <c r="G369" s="126">
        <f t="shared" si="46"/>
        <v>0.60024464886321638</v>
      </c>
      <c r="H369" s="126">
        <f t="shared" si="47"/>
        <v>4.4882851449292584E-2</v>
      </c>
      <c r="I369" s="126">
        <f t="shared" si="48"/>
        <v>0.59818558411424638</v>
      </c>
      <c r="J369" s="126">
        <f t="shared" si="49"/>
        <v>-1.9078425068728568E-2</v>
      </c>
      <c r="M369" s="5"/>
      <c r="Y369">
        <f>IF($Z$1, D369, -0.2)</f>
        <v>-0.2</v>
      </c>
    </row>
    <row r="370" spans="2:25" x14ac:dyDescent="0.3">
      <c r="B370" s="126">
        <v>0.6021011052824895</v>
      </c>
      <c r="C370" s="126">
        <f t="shared" si="42"/>
        <v>3.1823291695605202E-2</v>
      </c>
      <c r="D370" s="126">
        <f t="shared" si="43"/>
        <v>1.2809306386124097E-2</v>
      </c>
      <c r="E370" s="126">
        <f t="shared" si="44"/>
        <v>-3.2192364834836E-2</v>
      </c>
      <c r="F370" s="126">
        <f t="shared" si="45"/>
        <v>-3.2181250909990897E-2</v>
      </c>
      <c r="G370" s="126">
        <f t="shared" si="46"/>
        <v>0.60312504185890181</v>
      </c>
      <c r="H370" s="126">
        <f t="shared" si="47"/>
        <v>4.4616120879736314E-2</v>
      </c>
      <c r="I370" s="126">
        <f t="shared" si="48"/>
        <v>0.60107716870607719</v>
      </c>
      <c r="J370" s="126">
        <f t="shared" si="49"/>
        <v>-1.8997508107488119E-2</v>
      </c>
      <c r="M370" s="5"/>
      <c r="Y370">
        <f>IF($Z$1, D370, -0.2)</f>
        <v>-0.2</v>
      </c>
    </row>
    <row r="371" spans="2:25" x14ac:dyDescent="0.3">
      <c r="B371" s="126">
        <v>0.60499103693334377</v>
      </c>
      <c r="C371" s="126">
        <f t="shared" si="42"/>
        <v>3.1648204685626881E-2</v>
      </c>
      <c r="D371" s="126">
        <f t="shared" si="43"/>
        <v>1.2716272652072057E-2</v>
      </c>
      <c r="E371" s="126">
        <f t="shared" si="44"/>
        <v>-3.2192364834836E-2</v>
      </c>
      <c r="F371" s="126">
        <f t="shared" si="45"/>
        <v>-3.2181250909990897E-2</v>
      </c>
      <c r="G371" s="126">
        <f t="shared" si="46"/>
        <v>0.60600933996325546</v>
      </c>
      <c r="H371" s="126">
        <f t="shared" si="47"/>
        <v>4.4348090790816599E-2</v>
      </c>
      <c r="I371" s="126">
        <f t="shared" si="48"/>
        <v>0.60397273390343209</v>
      </c>
      <c r="J371" s="126">
        <f t="shared" si="49"/>
        <v>-1.8915545486672486E-2</v>
      </c>
      <c r="M371" s="5"/>
      <c r="Y371">
        <f>IF($Z$1, D371, -0.2)</f>
        <v>-0.2</v>
      </c>
    </row>
    <row r="372" spans="2:25" x14ac:dyDescent="0.3">
      <c r="B372" s="126">
        <v>0.60788488280440323</v>
      </c>
      <c r="C372" s="126">
        <f t="shared" si="42"/>
        <v>3.1471946986940752E-2</v>
      </c>
      <c r="D372" s="126">
        <f t="shared" si="43"/>
        <v>1.2623112910015126E-2</v>
      </c>
      <c r="E372" s="126">
        <f t="shared" si="44"/>
        <v>-3.2192364834836E-2</v>
      </c>
      <c r="F372" s="126">
        <f t="shared" si="45"/>
        <v>-3.2181250909990897E-2</v>
      </c>
      <c r="G372" s="126">
        <f t="shared" si="46"/>
        <v>0.60889751462008956</v>
      </c>
      <c r="H372" s="126">
        <f t="shared" si="47"/>
        <v>4.407876461133374E-2</v>
      </c>
      <c r="I372" s="126">
        <f t="shared" si="48"/>
        <v>0.60687225098871689</v>
      </c>
      <c r="J372" s="126">
        <f t="shared" si="49"/>
        <v>-1.8832538791303491E-2</v>
      </c>
      <c r="M372" s="5"/>
      <c r="Y372">
        <f>IF($Z$1, D372, -0.2)</f>
        <v>-0.2</v>
      </c>
    </row>
    <row r="373" spans="2:25" x14ac:dyDescent="0.3">
      <c r="B373" s="126">
        <v>0.61078261421998925</v>
      </c>
      <c r="C373" s="126">
        <f t="shared" si="42"/>
        <v>3.1294521179249454E-2</v>
      </c>
      <c r="D373" s="126">
        <f t="shared" si="43"/>
        <v>1.2529828083091216E-2</v>
      </c>
      <c r="E373" s="126">
        <f t="shared" si="44"/>
        <v>-3.2192364834836E-2</v>
      </c>
      <c r="F373" s="126">
        <f t="shared" si="45"/>
        <v>-3.2181250909990897E-2</v>
      </c>
      <c r="G373" s="126">
        <f t="shared" si="46"/>
        <v>0.61178953723672946</v>
      </c>
      <c r="H373" s="126">
        <f t="shared" si="47"/>
        <v>4.3808145842792606E-2</v>
      </c>
      <c r="I373" s="126">
        <f t="shared" si="48"/>
        <v>0.60977569120324904</v>
      </c>
      <c r="J373" s="126">
        <f t="shared" si="49"/>
        <v>-1.8748489676610178E-2</v>
      </c>
      <c r="M373" s="5"/>
      <c r="Y373">
        <f>IF($Z$1, D373, -0.2)</f>
        <v>-0.2</v>
      </c>
    </row>
    <row r="374" spans="2:25" x14ac:dyDescent="0.3">
      <c r="B374" s="126">
        <v>0.61368420246592092</v>
      </c>
      <c r="C374" s="126">
        <f t="shared" si="42"/>
        <v>3.1115929913587265E-2</v>
      </c>
      <c r="D374" s="126">
        <f t="shared" si="43"/>
        <v>1.2436419095677711E-2</v>
      </c>
      <c r="E374" s="126">
        <f t="shared" si="44"/>
        <v>-3.2192364834836E-2</v>
      </c>
      <c r="F374" s="126">
        <f t="shared" si="45"/>
        <v>-3.2181250909990897E-2</v>
      </c>
      <c r="G374" s="126">
        <f t="shared" si="46"/>
        <v>0.614685379184293</v>
      </c>
      <c r="H374" s="126">
        <f t="shared" si="47"/>
        <v>4.3536238059232221E-2</v>
      </c>
      <c r="I374" s="126">
        <f t="shared" si="48"/>
        <v>0.61268302574754885</v>
      </c>
      <c r="J374" s="126">
        <f t="shared" si="49"/>
        <v>-1.8663399867876795E-2</v>
      </c>
      <c r="M374" s="5"/>
      <c r="Y374">
        <f>IF($Z$1, D374, -0.2)</f>
        <v>-0.2</v>
      </c>
    </row>
    <row r="375" spans="2:25" x14ac:dyDescent="0.3">
      <c r="B375" s="126">
        <v>0.61658961878979923</v>
      </c>
      <c r="C375" s="126">
        <f t="shared" si="42"/>
        <v>3.093617591215321E-2</v>
      </c>
      <c r="D375" s="126">
        <f t="shared" si="43"/>
        <v>1.2342886873382333E-2</v>
      </c>
      <c r="E375" s="126">
        <f t="shared" si="44"/>
        <v>-3.2192364834836E-2</v>
      </c>
      <c r="F375" s="126">
        <f t="shared" si="45"/>
        <v>-3.2181250909990897E-2</v>
      </c>
      <c r="G375" s="126">
        <f t="shared" si="46"/>
        <v>0.61758501179796987</v>
      </c>
      <c r="H375" s="126">
        <f t="shared" si="47"/>
        <v>4.3263044907049845E-2</v>
      </c>
      <c r="I375" s="126">
        <f t="shared" si="48"/>
        <v>0.61559422578162859</v>
      </c>
      <c r="J375" s="126">
        <f t="shared" si="49"/>
        <v>-1.857727116028518E-2</v>
      </c>
      <c r="M375" s="5"/>
      <c r="Y375">
        <f>IF($Z$1, D375, -0.2)</f>
        <v>-0.2</v>
      </c>
    </row>
    <row r="376" spans="2:25" x14ac:dyDescent="0.3">
      <c r="B376" s="126">
        <v>0.61949883440129161</v>
      </c>
      <c r="C376" s="126">
        <f t="shared" si="42"/>
        <v>3.0755261968138641E-2</v>
      </c>
      <c r="D376" s="126">
        <f t="shared" si="43"/>
        <v>1.224923234303397E-2</v>
      </c>
      <c r="E376" s="126">
        <f t="shared" si="44"/>
        <v>-3.2192364834836E-2</v>
      </c>
      <c r="F376" s="126">
        <f t="shared" si="45"/>
        <v>-3.2181250909990897E-2</v>
      </c>
      <c r="G376" s="126">
        <f t="shared" si="46"/>
        <v>0.62048840637730029</v>
      </c>
      <c r="H376" s="126">
        <f t="shared" si="47"/>
        <v>4.2988570104819497E-2</v>
      </c>
      <c r="I376" s="126">
        <f t="shared" si="48"/>
        <v>0.61850926242528292</v>
      </c>
      <c r="J376" s="126">
        <f t="shared" si="49"/>
        <v>-1.8490105418751554E-2</v>
      </c>
      <c r="M376" s="5"/>
      <c r="Y376">
        <f>IF($Z$1, D376, -0.2)</f>
        <v>-0.2</v>
      </c>
    </row>
    <row r="377" spans="2:25" x14ac:dyDescent="0.3">
      <c r="B377" s="126">
        <v>0.6224118204724185</v>
      </c>
      <c r="C377" s="126">
        <f t="shared" si="42"/>
        <v>3.0573190945548959E-2</v>
      </c>
      <c r="D377" s="126">
        <f t="shared" si="43"/>
        <v>1.2155456432673458E-2</v>
      </c>
      <c r="E377" s="126">
        <f t="shared" si="44"/>
        <v>-3.2192364834836E-2</v>
      </c>
      <c r="F377" s="126">
        <f t="shared" si="45"/>
        <v>-3.2181250909990897E-2</v>
      </c>
      <c r="G377" s="126">
        <f t="shared" si="46"/>
        <v>0.6233955341864561</v>
      </c>
      <c r="H377" s="126">
        <f t="shared" si="47"/>
        <v>4.2712817443104498E-2</v>
      </c>
      <c r="I377" s="126">
        <f t="shared" si="48"/>
        <v>0.62142810675838089</v>
      </c>
      <c r="J377" s="126">
        <f t="shared" si="49"/>
        <v>-1.8401904577757585E-2</v>
      </c>
      <c r="M377" s="5"/>
      <c r="Y377">
        <f>IF($Z$1, D377, -0.2)</f>
        <v>-0.2</v>
      </c>
    </row>
    <row r="378" spans="2:25" x14ac:dyDescent="0.3">
      <c r="B378" s="126">
        <v>0.625328548137837</v>
      </c>
      <c r="C378" s="126">
        <f t="shared" si="42"/>
        <v>3.0389965779020003E-2</v>
      </c>
      <c r="D378" s="126">
        <f t="shared" si="43"/>
        <v>1.2061560071544445E-2</v>
      </c>
      <c r="E378" s="126">
        <f t="shared" si="44"/>
        <v>-3.2192364834836E-2</v>
      </c>
      <c r="F378" s="126">
        <f t="shared" si="45"/>
        <v>-3.2181250909990897E-2</v>
      </c>
      <c r="G378" s="126">
        <f t="shared" si="46"/>
        <v>0.62630636645451843</v>
      </c>
      <c r="H378" s="126">
        <f t="shared" si="47"/>
        <v>4.2435790784264876E-2</v>
      </c>
      <c r="I378" s="126">
        <f t="shared" si="48"/>
        <v>0.62435072982115558</v>
      </c>
      <c r="J378" s="126">
        <f t="shared" si="49"/>
        <v>-1.831267064117599E-2</v>
      </c>
      <c r="M378" s="5"/>
      <c r="Y378">
        <f>IF($Z$1, D378, -0.2)</f>
        <v>-0.2</v>
      </c>
    </row>
    <row r="379" spans="2:25" x14ac:dyDescent="0.3">
      <c r="B379" s="126">
        <v>0.62824898849512922</v>
      </c>
      <c r="C379" s="126">
        <f t="shared" si="42"/>
        <v>3.0205589473628551E-2</v>
      </c>
      <c r="D379" s="126">
        <f t="shared" si="43"/>
        <v>1.1967544190084115E-2</v>
      </c>
      <c r="E379" s="126">
        <f t="shared" si="44"/>
        <v>-3.2192364834836E-2</v>
      </c>
      <c r="F379" s="126">
        <f t="shared" si="45"/>
        <v>-3.2181250909990897E-2</v>
      </c>
      <c r="G379" s="126">
        <f t="shared" si="46"/>
        <v>0.62922087437575969</v>
      </c>
      <c r="H379" s="126">
        <f t="shared" si="47"/>
        <v>4.2157494062258646E-2</v>
      </c>
      <c r="I379" s="126">
        <f t="shared" si="48"/>
        <v>0.62727710261449876</v>
      </c>
      <c r="J379" s="126">
        <f t="shared" si="49"/>
        <v>-1.8222405682090419E-2</v>
      </c>
      <c r="M379" s="5"/>
      <c r="Y379">
        <f>IF($Z$1, D379, -0.2)</f>
        <v>-0.2</v>
      </c>
    </row>
    <row r="380" spans="2:25" x14ac:dyDescent="0.3">
      <c r="B380" s="126">
        <v>0.63117311260508657</v>
      </c>
      <c r="C380" s="126">
        <f t="shared" si="42"/>
        <v>3.0020065104697506E-2</v>
      </c>
      <c r="D380" s="126">
        <f t="shared" si="43"/>
        <v>1.1873409719914027E-2</v>
      </c>
      <c r="E380" s="126">
        <f t="shared" si="44"/>
        <v>-3.2192364834836E-2</v>
      </c>
      <c r="F380" s="126">
        <f t="shared" si="45"/>
        <v>-3.2181250909990897E-2</v>
      </c>
      <c r="G380" s="126">
        <f t="shared" si="46"/>
        <v>0.63213902910992203</v>
      </c>
      <c r="H380" s="126">
        <f t="shared" si="47"/>
        <v>4.1877931282437955E-2</v>
      </c>
      <c r="I380" s="126">
        <f t="shared" si="48"/>
        <v>0.63020719610025111</v>
      </c>
      <c r="J380" s="126">
        <f t="shared" si="49"/>
        <v>-1.8131111842609904E-2</v>
      </c>
      <c r="M380" s="5"/>
      <c r="Y380">
        <f>IF($Z$1, D380, -0.2)</f>
        <v>-0.2</v>
      </c>
    </row>
    <row r="381" spans="2:25" x14ac:dyDescent="0.3">
      <c r="B381" s="126">
        <v>0.63410089149199766</v>
      </c>
      <c r="C381" s="126">
        <f t="shared" si="42"/>
        <v>2.983339581759532E-2</v>
      </c>
      <c r="D381" s="126">
        <f t="shared" si="43"/>
        <v>1.1779157593830856E-2</v>
      </c>
      <c r="E381" s="126">
        <f t="shared" si="44"/>
        <v>-3.2192364834836E-2</v>
      </c>
      <c r="F381" s="126">
        <f t="shared" si="45"/>
        <v>-3.2181250909990897E-2</v>
      </c>
      <c r="G381" s="126">
        <f t="shared" si="46"/>
        <v>0.63506080178249857</v>
      </c>
      <c r="H381" s="126">
        <f t="shared" si="47"/>
        <v>4.1597106521339342E-2</v>
      </c>
      <c r="I381" s="126">
        <f t="shared" si="48"/>
        <v>0.63314098120149676</v>
      </c>
      <c r="J381" s="126">
        <f t="shared" si="49"/>
        <v>-1.8038791333677633E-2</v>
      </c>
      <c r="M381" s="5"/>
      <c r="Y381">
        <f>IF($Z$1, D381, -0.2)</f>
        <v>-0.2</v>
      </c>
    </row>
    <row r="382" spans="2:25" x14ac:dyDescent="0.3">
      <c r="B382" s="126">
        <v>0.63703229614393531</v>
      </c>
      <c r="C382" s="126">
        <f t="shared" si="42"/>
        <v>2.9645584827529999E-2</v>
      </c>
      <c r="D382" s="126">
        <f t="shared" si="43"/>
        <v>1.1684788745797144E-2</v>
      </c>
      <c r="E382" s="126">
        <f t="shared" si="44"/>
        <v>-3.2192364834836E-2</v>
      </c>
      <c r="F382" s="126">
        <f t="shared" si="45"/>
        <v>-3.2181250909990897E-2</v>
      </c>
      <c r="G382" s="126">
        <f t="shared" si="46"/>
        <v>0.63798616348501347</v>
      </c>
      <c r="H382" s="126">
        <f t="shared" si="47"/>
        <v>4.1315023926468616E-2</v>
      </c>
      <c r="I382" s="126">
        <f t="shared" si="48"/>
        <v>0.63607842880285714</v>
      </c>
      <c r="J382" s="126">
        <f t="shared" si="49"/>
        <v>-1.7945446434874328E-2</v>
      </c>
      <c r="M382" s="5"/>
      <c r="Y382">
        <f>IF($Z$1, D382, -0.2)</f>
        <v>-0.2</v>
      </c>
    </row>
    <row r="383" spans="2:25" x14ac:dyDescent="0.3">
      <c r="B383" s="126">
        <v>0.63996729751304415</v>
      </c>
      <c r="C383" s="126">
        <f t="shared" si="42"/>
        <v>2.9456635419337508E-2</v>
      </c>
      <c r="D383" s="126">
        <f t="shared" si="43"/>
        <v>1.1590304110932049E-2</v>
      </c>
      <c r="E383" s="126">
        <f t="shared" si="44"/>
        <v>-3.2192364834836E-2</v>
      </c>
      <c r="F383" s="126">
        <f t="shared" si="45"/>
        <v>-3.2181250909990897E-2</v>
      </c>
      <c r="G383" s="126">
        <f t="shared" si="46"/>
        <v>0.64091508527530339</v>
      </c>
      <c r="H383" s="126">
        <f t="shared" si="47"/>
        <v>4.1031687716080102E-2</v>
      </c>
      <c r="I383" s="126">
        <f t="shared" si="48"/>
        <v>0.63901950975078492</v>
      </c>
      <c r="J383" s="126">
        <f t="shared" si="49"/>
        <v>-1.7851079494216007E-2</v>
      </c>
      <c r="M383" s="5"/>
      <c r="Y383">
        <f>IF($Z$1, D383, -0.2)</f>
        <v>-0.2</v>
      </c>
    </row>
    <row r="384" spans="2:25" x14ac:dyDescent="0.3">
      <c r="B384" s="126">
        <v>0.64290586651582782</v>
      </c>
      <c r="C384" s="126">
        <f t="shared" si="42"/>
        <v>2.9266550947264769E-2</v>
      </c>
      <c r="D384" s="126">
        <f t="shared" si="43"/>
        <v>1.1495704625502097E-2</v>
      </c>
      <c r="E384" s="126">
        <f t="shared" si="44"/>
        <v>-3.2192364834836E-2</v>
      </c>
      <c r="F384" s="126">
        <f t="shared" si="45"/>
        <v>-3.2181250909990897E-2</v>
      </c>
      <c r="G384" s="126">
        <f t="shared" si="46"/>
        <v>0.64384753817779727</v>
      </c>
      <c r="H384" s="126">
        <f t="shared" si="47"/>
        <v>4.0747102178950514E-2</v>
      </c>
      <c r="I384" s="126">
        <f t="shared" si="48"/>
        <v>0.64196419485385836</v>
      </c>
      <c r="J384" s="126">
        <f t="shared" si="49"/>
        <v>-1.775569292794632E-2</v>
      </c>
      <c r="M384" s="5"/>
      <c r="Y384">
        <f>IF($Z$1, D384, -0.2)</f>
        <v>-0.2</v>
      </c>
    </row>
    <row r="385" spans="2:25" x14ac:dyDescent="0.3">
      <c r="B385" s="126">
        <v>0.64584797403343797</v>
      </c>
      <c r="C385" s="126">
        <f t="shared" si="42"/>
        <v>2.9075334834747078E-2</v>
      </c>
      <c r="D385" s="126">
        <f t="shared" si="43"/>
        <v>1.1400991226911877E-2</v>
      </c>
      <c r="E385" s="126">
        <f t="shared" si="44"/>
        <v>-3.2192364834836E-2</v>
      </c>
      <c r="F385" s="126">
        <f t="shared" si="45"/>
        <v>-3.2181250909990897E-2</v>
      </c>
      <c r="G385" s="126">
        <f t="shared" si="46"/>
        <v>0.64678349318379802</v>
      </c>
      <c r="H385" s="126">
        <f t="shared" si="47"/>
        <v>4.0461271674147183E-2</v>
      </c>
      <c r="I385" s="126">
        <f t="shared" si="48"/>
        <v>0.64491245488307791</v>
      </c>
      <c r="J385" s="126">
        <f t="shared" si="49"/>
        <v>-1.7659289220323428E-2</v>
      </c>
      <c r="M385" s="5"/>
      <c r="Y385">
        <f>IF($Z$1, D385, -0.2)</f>
        <v>-0.2</v>
      </c>
    </row>
    <row r="386" spans="2:25" x14ac:dyDescent="0.3">
      <c r="B386" s="126">
        <v>0.64879359091196209</v>
      </c>
      <c r="C386" s="126">
        <f t="shared" ref="C386:C449" si="50">IF(B386&lt;$N$1, ($A$7/0.2)*($O$1*SQRT(B386)+$P$1*B386+$Q$1*(B386^2)+$R$1*(B386^3)), ($A$7/0.2)*($S$1+$T$1*(1-B386)+$U$1*((1-B386)^2)+$V$1*((1-B386)^3)))</f>
        <v>2.8882990574180162E-2</v>
      </c>
      <c r="D386" s="126">
        <f t="shared" ref="D386:D449" si="51" xml:space="preserve"> IF(B386&lt;$A$8, ($A$10/6)*((B386^3)-3*$A$8*(B386^2)+($A$8^2)*(3-$A$8)*B386), (($A$10*($A$8^3))/6)*(1-B386))</f>
        <v>1.1306164853694779E-2</v>
      </c>
      <c r="E386" s="126">
        <f t="shared" ref="E386:E449" si="52">IF(B386&lt;$A$8, ($A$10/6)*(3*(B386^2)-6*$A$8*B386+($A$8^2)*(3-$A$8)), -($A$10*($A$8^3))/6)</f>
        <v>-3.2192364834836E-2</v>
      </c>
      <c r="F386" s="126">
        <f t="shared" ref="F386:F449" si="53" xml:space="preserve"> ATAN(E386)</f>
        <v>-3.2181250909990897E-2</v>
      </c>
      <c r="G386" s="126">
        <f t="shared" ref="G386:G449" si="54">B386-C386*SIN(F386)</f>
        <v>0.64972292125176345</v>
      </c>
      <c r="H386" s="126">
        <f t="shared" ref="H386:H449" si="55">D386+C386*COS(F386)</f>
        <v>4.0174200630790954E-2</v>
      </c>
      <c r="I386" s="126">
        <f t="shared" ref="I386:I449" si="56">B386+C386*SIN(F386)</f>
        <v>0.64786426057216073</v>
      </c>
      <c r="J386" s="126">
        <f t="shared" ref="J386:J449" si="57">D386-C386*COS(F386)</f>
        <v>-1.7561870923401397E-2</v>
      </c>
      <c r="M386" s="5"/>
      <c r="Y386">
        <f>IF($Z$1, D386, -0.2)</f>
        <v>-0.2</v>
      </c>
    </row>
    <row r="387" spans="2:25" x14ac:dyDescent="0.3">
      <c r="B387" s="126">
        <v>0.65174268796271284</v>
      </c>
      <c r="C387" s="126">
        <f t="shared" si="50"/>
        <v>2.8689521726686703E-2</v>
      </c>
      <c r="D387" s="126">
        <f t="shared" si="51"/>
        <v>1.1211226445503672E-2</v>
      </c>
      <c r="E387" s="126">
        <f t="shared" si="52"/>
        <v>-3.2192364834836E-2</v>
      </c>
      <c r="F387" s="126">
        <f t="shared" si="53"/>
        <v>-3.2181250909990897E-2</v>
      </c>
      <c r="G387" s="126">
        <f t="shared" si="54"/>
        <v>0.65266579330758789</v>
      </c>
      <c r="H387" s="126">
        <f t="shared" si="55"/>
        <v>3.9885893547813536E-2</v>
      </c>
      <c r="I387" s="126">
        <f t="shared" si="56"/>
        <v>0.65081958261783779</v>
      </c>
      <c r="J387" s="126">
        <f t="shared" si="57"/>
        <v>-1.746344065680619E-2</v>
      </c>
      <c r="M387" s="5"/>
      <c r="Y387">
        <f>IF($Z$1, D387, -0.2)</f>
        <v>-0.2</v>
      </c>
    </row>
    <row r="388" spans="2:25" x14ac:dyDescent="0.3">
      <c r="B388" s="126">
        <v>0.65469523596251733</v>
      </c>
      <c r="C388" s="126">
        <f t="shared" si="50"/>
        <v>2.8494931921877509E-2</v>
      </c>
      <c r="D388" s="126">
        <f t="shared" si="51"/>
        <v>1.11161769431016E-2</v>
      </c>
      <c r="E388" s="126">
        <f t="shared" si="52"/>
        <v>-3.2192364834836E-2</v>
      </c>
      <c r="F388" s="126">
        <f t="shared" si="53"/>
        <v>-3.2181250909990897E-2</v>
      </c>
      <c r="G388" s="126">
        <f t="shared" si="54"/>
        <v>0.6556120802448836</v>
      </c>
      <c r="H388" s="126">
        <f t="shared" si="55"/>
        <v>3.9596354993709469E-2</v>
      </c>
      <c r="I388" s="126">
        <f t="shared" si="56"/>
        <v>0.65377839168015106</v>
      </c>
      <c r="J388" s="126">
        <f t="shared" si="57"/>
        <v>-1.7364001107506272E-2</v>
      </c>
      <c r="M388" s="5"/>
      <c r="Y388">
        <f>IF($Z$1, D388, -0.2)</f>
        <v>-0.2</v>
      </c>
    </row>
    <row r="389" spans="2:25" x14ac:dyDescent="0.3">
      <c r="B389" s="126">
        <v>0.65765120565400648</v>
      </c>
      <c r="C389" s="126">
        <f t="shared" si="50"/>
        <v>2.8299224857607285E-2</v>
      </c>
      <c r="D389" s="126">
        <f t="shared" si="51"/>
        <v>1.1021017288352463E-2</v>
      </c>
      <c r="E389" s="126">
        <f t="shared" si="52"/>
        <v>-3.2192364834836E-2</v>
      </c>
      <c r="F389" s="126">
        <f t="shared" si="53"/>
        <v>-3.2181250909990897E-2</v>
      </c>
      <c r="G389" s="126">
        <f t="shared" si="54"/>
        <v>0.65856175292526264</v>
      </c>
      <c r="H389" s="126">
        <f t="shared" si="55"/>
        <v>3.9305589606282713E-2</v>
      </c>
      <c r="I389" s="126">
        <f t="shared" si="56"/>
        <v>0.65674065838275031</v>
      </c>
      <c r="J389" s="126">
        <f t="shared" si="57"/>
        <v>-1.7263555029577785E-2</v>
      </c>
      <c r="M389" s="5"/>
      <c r="Y389">
        <f>IF($Z$1, D389, -0.2)</f>
        <v>-0.2</v>
      </c>
    </row>
    <row r="390" spans="2:25" x14ac:dyDescent="0.3">
      <c r="B390" s="126">
        <v>0.6606105677459051</v>
      </c>
      <c r="C390" s="126">
        <f t="shared" si="50"/>
        <v>2.8102404299725065E-2</v>
      </c>
      <c r="D390" s="126">
        <f t="shared" si="51"/>
        <v>1.092574842421168E-2</v>
      </c>
      <c r="E390" s="126">
        <f t="shared" si="52"/>
        <v>-3.2192364834836E-2</v>
      </c>
      <c r="F390" s="126">
        <f t="shared" si="53"/>
        <v>-3.2181250909990897E-2</v>
      </c>
      <c r="G390" s="126">
        <f t="shared" si="54"/>
        <v>0.66151478217861848</v>
      </c>
      <c r="H390" s="126">
        <f t="shared" si="55"/>
        <v>3.901360209238787E-2</v>
      </c>
      <c r="I390" s="126">
        <f t="shared" si="56"/>
        <v>0.65970635331319172</v>
      </c>
      <c r="J390" s="126">
        <f t="shared" si="57"/>
        <v>-1.7162105243964512E-2</v>
      </c>
      <c r="M390" s="5"/>
      <c r="Y390">
        <f>IF($Z$1, D390, -0.2)</f>
        <v>-0.2</v>
      </c>
    </row>
    <row r="391" spans="2:25" x14ac:dyDescent="0.3">
      <c r="B391" s="126">
        <v>0.66357329291332134</v>
      </c>
      <c r="C391" s="126">
        <f t="shared" si="50"/>
        <v>2.7904474081819248E-2</v>
      </c>
      <c r="D391" s="126">
        <f t="shared" si="51"/>
        <v>1.0830371294716866E-2</v>
      </c>
      <c r="E391" s="126">
        <f t="shared" si="52"/>
        <v>-3.2192364834836E-2</v>
      </c>
      <c r="F391" s="126">
        <f t="shared" si="53"/>
        <v>-3.2181250909990897E-2</v>
      </c>
      <c r="G391" s="126">
        <f t="shared" si="54"/>
        <v>0.66447113880340791</v>
      </c>
      <c r="H391" s="126">
        <f t="shared" si="55"/>
        <v>3.8720397227666029E-2</v>
      </c>
      <c r="I391" s="126">
        <f t="shared" si="56"/>
        <v>0.66267544702323478</v>
      </c>
      <c r="J391" s="126">
        <f t="shared" si="57"/>
        <v>-1.7059654638232301E-2</v>
      </c>
      <c r="M391" s="5"/>
      <c r="Y391">
        <f>IF($Z$1, D391, -0.2)</f>
        <v>-0.2</v>
      </c>
    </row>
    <row r="392" spans="2:25" x14ac:dyDescent="0.3">
      <c r="B392" s="126">
        <v>0.66653935179803925</v>
      </c>
      <c r="C392" s="126">
        <f t="shared" si="50"/>
        <v>2.7705438104957261E-2</v>
      </c>
      <c r="D392" s="126">
        <f t="shared" si="51"/>
        <v>1.073488684497842E-2</v>
      </c>
      <c r="E392" s="126">
        <f t="shared" si="52"/>
        <v>-3.2192364834836E-2</v>
      </c>
      <c r="F392" s="126">
        <f t="shared" si="53"/>
        <v>-3.2181250909990897E-2</v>
      </c>
      <c r="G392" s="126">
        <f t="shared" si="54"/>
        <v>0.66743079356693424</v>
      </c>
      <c r="H392" s="126">
        <f t="shared" si="55"/>
        <v>3.8425979856275161E-2</v>
      </c>
      <c r="I392" s="126">
        <f t="shared" si="56"/>
        <v>0.66564791002914425</v>
      </c>
      <c r="J392" s="126">
        <f t="shared" si="57"/>
        <v>-1.6956206166318318E-2</v>
      </c>
      <c r="M392" s="5"/>
      <c r="Y392">
        <f>IF($Z$1, D392, -0.2)</f>
        <v>-0.2</v>
      </c>
    </row>
    <row r="393" spans="2:25" x14ac:dyDescent="0.3">
      <c r="B393" s="126">
        <v>0.66950871500880726</v>
      </c>
      <c r="C393" s="126">
        <f t="shared" si="50"/>
        <v>2.750530033742014E-2</v>
      </c>
      <c r="D393" s="126">
        <f t="shared" si="51"/>
        <v>1.0639296021170235E-2</v>
      </c>
      <c r="E393" s="126">
        <f t="shared" si="52"/>
        <v>-3.2192364834836E-2</v>
      </c>
      <c r="F393" s="126">
        <f t="shared" si="53"/>
        <v>-3.2181250909990897E-2</v>
      </c>
      <c r="G393" s="126">
        <f t="shared" si="54"/>
        <v>0.67039371720562835</v>
      </c>
      <c r="H393" s="126">
        <f t="shared" si="55"/>
        <v>3.8130354890615517E-2</v>
      </c>
      <c r="I393" s="126">
        <f t="shared" si="56"/>
        <v>0.66862371281198618</v>
      </c>
      <c r="J393" s="126">
        <f t="shared" si="57"/>
        <v>-1.685176284827505E-2</v>
      </c>
      <c r="M393" s="5"/>
      <c r="Y393">
        <f>IF($Z$1, D393, -0.2)</f>
        <v>-0.2</v>
      </c>
    </row>
    <row r="394" spans="2:25" x14ac:dyDescent="0.3">
      <c r="B394" s="126">
        <v>0.67248135312163138</v>
      </c>
      <c r="C394" s="126">
        <f t="shared" si="50"/>
        <v>2.7304064814431584E-2</v>
      </c>
      <c r="D394" s="126">
        <f t="shared" si="51"/>
        <v>1.0543599770520263E-2</v>
      </c>
      <c r="E394" s="126">
        <f t="shared" si="52"/>
        <v>-3.2192364834836E-2</v>
      </c>
      <c r="F394" s="126">
        <f t="shared" si="53"/>
        <v>-3.2181250909990897E-2</v>
      </c>
      <c r="G394" s="126">
        <f t="shared" si="54"/>
        <v>0.67335988042533235</v>
      </c>
      <c r="H394" s="126">
        <f t="shared" si="55"/>
        <v>3.7833527311049442E-2</v>
      </c>
      <c r="I394" s="126">
        <f t="shared" si="56"/>
        <v>0.6716028258179304</v>
      </c>
      <c r="J394" s="126">
        <f t="shared" si="57"/>
        <v>-1.6746327770008913E-2</v>
      </c>
      <c r="M394" s="5"/>
      <c r="Y394">
        <f>IF($Z$1, D394, -0.2)</f>
        <v>-0.2</v>
      </c>
    </row>
    <row r="395" spans="2:25" x14ac:dyDescent="0.3">
      <c r="B395" s="126">
        <v>0.6754572366800653</v>
      </c>
      <c r="C395" s="126">
        <f t="shared" si="50"/>
        <v>2.710173563788195E-2</v>
      </c>
      <c r="D395" s="126">
        <f t="shared" si="51"/>
        <v>1.0447799041301168E-2</v>
      </c>
      <c r="E395" s="126">
        <f t="shared" si="52"/>
        <v>-3.2192364834836E-2</v>
      </c>
      <c r="F395" s="126">
        <f t="shared" si="53"/>
        <v>-3.2181250909990897E-2</v>
      </c>
      <c r="G395" s="126">
        <f t="shared" si="54"/>
        <v>0.67632925390158094</v>
      </c>
      <c r="H395" s="126">
        <f t="shared" si="55"/>
        <v>3.7535502165616096E-2</v>
      </c>
      <c r="I395" s="126">
        <f t="shared" si="56"/>
        <v>0.67458521945854966</v>
      </c>
      <c r="J395" s="126">
        <f t="shared" si="57"/>
        <v>-1.663990408301376E-2</v>
      </c>
      <c r="M395" s="5"/>
      <c r="Y395">
        <f>IF($Z$1, D395, -0.2)</f>
        <v>-0.2</v>
      </c>
    </row>
    <row r="396" spans="2:25" x14ac:dyDescent="0.3">
      <c r="B396" s="126">
        <v>0.67843633619550392</v>
      </c>
      <c r="C396" s="126">
        <f t="shared" si="50"/>
        <v>2.6898316976046888E-2</v>
      </c>
      <c r="D396" s="126">
        <f t="shared" si="51"/>
        <v>1.0351894782820885E-2</v>
      </c>
      <c r="E396" s="126">
        <f t="shared" si="52"/>
        <v>-3.2192364834836E-2</v>
      </c>
      <c r="F396" s="126">
        <f t="shared" si="53"/>
        <v>-3.2181250909990897E-2</v>
      </c>
      <c r="G396" s="126">
        <f t="shared" si="54"/>
        <v>0.6793018082798864</v>
      </c>
      <c r="H396" s="126">
        <f t="shared" si="55"/>
        <v>3.723628456974086E-2</v>
      </c>
      <c r="I396" s="126">
        <f t="shared" si="56"/>
        <v>0.67757086411112144</v>
      </c>
      <c r="J396" s="126">
        <f t="shared" si="57"/>
        <v>-1.6532495004099087E-2</v>
      </c>
      <c r="M396" s="5"/>
      <c r="Y396">
        <f>IF($Z$1, D396, -0.2)</f>
        <v>-0.2</v>
      </c>
    </row>
    <row r="397" spans="2:25" x14ac:dyDescent="0.3">
      <c r="B397" s="126">
        <v>0.68141862214747362</v>
      </c>
      <c r="C397" s="126">
        <f t="shared" si="50"/>
        <v>2.6693813063300969E-2</v>
      </c>
      <c r="D397" s="126">
        <f t="shared" si="51"/>
        <v>1.025588794541327E-2</v>
      </c>
      <c r="E397" s="126">
        <f t="shared" si="52"/>
        <v>-3.2192364834836E-2</v>
      </c>
      <c r="F397" s="126">
        <f t="shared" si="53"/>
        <v>-3.2181250909990897E-2</v>
      </c>
      <c r="G397" s="126">
        <f t="shared" si="54"/>
        <v>0.6822775141760189</v>
      </c>
      <c r="H397" s="126">
        <f t="shared" si="55"/>
        <v>3.6935879705939714E-2</v>
      </c>
      <c r="I397" s="126">
        <f t="shared" si="56"/>
        <v>0.68055973011892834</v>
      </c>
      <c r="J397" s="126">
        <f t="shared" si="57"/>
        <v>-1.6424103815113174E-2</v>
      </c>
      <c r="M397" s="5"/>
      <c r="Y397">
        <f>IF($Z$1, D397, -0.2)</f>
        <v>-0.2</v>
      </c>
    </row>
    <row r="398" spans="2:25" x14ac:dyDescent="0.3">
      <c r="B398" s="126">
        <v>0.68440406498392603</v>
      </c>
      <c r="C398" s="126">
        <f t="shared" si="50"/>
        <v>2.6488228199825929E-2</v>
      </c>
      <c r="D398" s="126">
        <f t="shared" si="51"/>
        <v>1.0159779480428647E-2</v>
      </c>
      <c r="E398" s="126">
        <f t="shared" si="52"/>
        <v>-3.2192364834836E-2</v>
      </c>
      <c r="F398" s="126">
        <f t="shared" si="53"/>
        <v>-3.2181250909990897E-2</v>
      </c>
      <c r="G398" s="126">
        <f t="shared" si="54"/>
        <v>0.6852563421762915</v>
      </c>
      <c r="H398" s="126">
        <f t="shared" si="55"/>
        <v>3.6634292823518211E-2</v>
      </c>
      <c r="I398" s="126">
        <f t="shared" si="56"/>
        <v>0.68355178779156056</v>
      </c>
      <c r="J398" s="126">
        <f t="shared" si="57"/>
        <v>-1.6314733862660913E-2</v>
      </c>
      <c r="M398" s="5"/>
      <c r="Y398">
        <f>IF($Z$1, D398, -0.2)</f>
        <v>-0.2</v>
      </c>
    </row>
    <row r="399" spans="2:25" x14ac:dyDescent="0.3">
      <c r="B399" s="126">
        <v>0.68739263512153115</v>
      </c>
      <c r="C399" s="126">
        <f t="shared" si="50"/>
        <v>2.6281566751313899E-2</v>
      </c>
      <c r="D399" s="126">
        <f t="shared" si="51"/>
        <v>1.0063570340224367E-2</v>
      </c>
      <c r="E399" s="126">
        <f t="shared" si="52"/>
        <v>-3.2192364834836E-2</v>
      </c>
      <c r="F399" s="126">
        <f t="shared" si="53"/>
        <v>-3.2181250909990897E-2</v>
      </c>
      <c r="G399" s="126">
        <f t="shared" si="54"/>
        <v>0.6882382628378434</v>
      </c>
      <c r="H399" s="126">
        <f t="shared" si="55"/>
        <v>3.6331529238265395E-2</v>
      </c>
      <c r="I399" s="126">
        <f t="shared" si="56"/>
        <v>0.6865470074052189</v>
      </c>
      <c r="J399" s="126">
        <f t="shared" si="57"/>
        <v>-1.6204388557816661E-2</v>
      </c>
      <c r="M399" s="5"/>
      <c r="Y399">
        <f>IF($Z$1, D399, -0.2)</f>
        <v>-0.2</v>
      </c>
    </row>
    <row r="400" spans="2:25" x14ac:dyDescent="0.3">
      <c r="B400" s="126">
        <v>0.6903843029459692</v>
      </c>
      <c r="C400" s="126">
        <f t="shared" si="50"/>
        <v>2.6073833148665567E-2</v>
      </c>
      <c r="D400" s="126">
        <f t="shared" si="51"/>
        <v>9.9672614781554179E-3</v>
      </c>
      <c r="E400" s="126">
        <f t="shared" si="52"/>
        <v>-3.2192364834836E-2</v>
      </c>
      <c r="F400" s="126">
        <f t="shared" si="53"/>
        <v>-3.2181250909990897E-2</v>
      </c>
      <c r="G400" s="126">
        <f t="shared" si="54"/>
        <v>0.69122324668892199</v>
      </c>
      <c r="H400" s="126">
        <f t="shared" si="55"/>
        <v>3.6027594332142754E-2</v>
      </c>
      <c r="I400" s="126">
        <f t="shared" si="56"/>
        <v>0.68954535920301641</v>
      </c>
      <c r="J400" s="126">
        <f t="shared" si="57"/>
        <v>-1.6093071375831915E-2</v>
      </c>
      <c r="M400" s="5"/>
      <c r="Y400">
        <f>IF($Z$1, D400, -0.2)</f>
        <v>-0.2</v>
      </c>
    </row>
    <row r="401" spans="2:25" x14ac:dyDescent="0.3">
      <c r="B401" s="126">
        <v>0.69337903881222562</v>
      </c>
      <c r="C401" s="126">
        <f t="shared" si="50"/>
        <v>2.5865031887683097E-2</v>
      </c>
      <c r="D401" s="126">
        <f t="shared" si="51"/>
        <v>9.8708538485649221E-3</v>
      </c>
      <c r="E401" s="126">
        <f t="shared" si="52"/>
        <v>-3.2192364834836E-2</v>
      </c>
      <c r="F401" s="126">
        <f t="shared" si="53"/>
        <v>-3.2181250909990897E-2</v>
      </c>
      <c r="G401" s="126">
        <f t="shared" si="54"/>
        <v>0.69421126422916846</v>
      </c>
      <c r="H401" s="126">
        <f t="shared" si="55"/>
        <v>3.572249355296777E-2</v>
      </c>
      <c r="I401" s="126">
        <f t="shared" si="56"/>
        <v>0.69254681339528279</v>
      </c>
      <c r="J401" s="126">
        <f t="shared" si="57"/>
        <v>-1.5980785855837926E-2</v>
      </c>
      <c r="M401" s="5"/>
      <c r="Y401">
        <f>IF($Z$1, D401, -0.2)</f>
        <v>-0.2</v>
      </c>
    </row>
    <row r="402" spans="2:25" x14ac:dyDescent="0.3">
      <c r="B402" s="126">
        <v>0.69637681304488286</v>
      </c>
      <c r="C402" s="126">
        <f t="shared" si="50"/>
        <v>2.5655167528758217E-2</v>
      </c>
      <c r="D402" s="126">
        <f t="shared" si="51"/>
        <v>9.7743484067747497E-3</v>
      </c>
      <c r="E402" s="126">
        <f t="shared" si="52"/>
        <v>-3.2192364834836E-2</v>
      </c>
      <c r="F402" s="126">
        <f t="shared" si="53"/>
        <v>-3.2181250909990897E-2</v>
      </c>
      <c r="G402" s="126">
        <f t="shared" si="54"/>
        <v>0.69720228592989897</v>
      </c>
      <c r="H402" s="126">
        <f t="shared" si="55"/>
        <v>3.5416232414092801E-2</v>
      </c>
      <c r="I402" s="126">
        <f t="shared" si="56"/>
        <v>0.69555134015986675</v>
      </c>
      <c r="J402" s="126">
        <f t="shared" si="57"/>
        <v>-1.5867535600543298E-2</v>
      </c>
      <c r="M402" s="5"/>
      <c r="Y402">
        <f>IF($Z$1, D402, -0.2)</f>
        <v>-0.2</v>
      </c>
    </row>
    <row r="403" spans="2:25" x14ac:dyDescent="0.3">
      <c r="B403" s="126">
        <v>0.69937759593841675</v>
      </c>
      <c r="C403" s="126">
        <f t="shared" si="50"/>
        <v>2.5444244696555009E-2</v>
      </c>
      <c r="D403" s="126">
        <f t="shared" si="51"/>
        <v>9.6777461090759714E-3</v>
      </c>
      <c r="E403" s="126">
        <f t="shared" si="52"/>
        <v>-3.2192364834836E-2</v>
      </c>
      <c r="F403" s="126">
        <f t="shared" si="53"/>
        <v>-3.2181250909990897E-2</v>
      </c>
      <c r="G403" s="126">
        <f t="shared" si="54"/>
        <v>0.70019628223439112</v>
      </c>
      <c r="H403" s="126">
        <f t="shared" si="55"/>
        <v>3.5108816494078474E-2</v>
      </c>
      <c r="I403" s="126">
        <f t="shared" si="56"/>
        <v>0.69855890964244238</v>
      </c>
      <c r="J403" s="126">
        <f t="shared" si="57"/>
        <v>-1.5753324275926534E-2</v>
      </c>
      <c r="M403" s="5"/>
      <c r="Y403">
        <f>IF($Z$1, D403, -0.2)</f>
        <v>-0.2</v>
      </c>
    </row>
    <row r="404" spans="2:25" x14ac:dyDescent="0.3">
      <c r="B404" s="126">
        <v>0.70238135775748911</v>
      </c>
      <c r="C404" s="126">
        <f t="shared" si="50"/>
        <v>2.5232268079687967E-2</v>
      </c>
      <c r="D404" s="126">
        <f t="shared" si="51"/>
        <v>9.5810479127194439E-3</v>
      </c>
      <c r="E404" s="126">
        <f t="shared" si="52"/>
        <v>-3.2192364834836E-2</v>
      </c>
      <c r="F404" s="126">
        <f t="shared" si="53"/>
        <v>-3.2181250909990897E-2</v>
      </c>
      <c r="G404" s="126">
        <f t="shared" si="54"/>
        <v>0.70319322355816616</v>
      </c>
      <c r="H404" s="126">
        <f t="shared" si="55"/>
        <v>3.480025143636252E-2</v>
      </c>
      <c r="I404" s="126">
        <f t="shared" si="56"/>
        <v>0.70156949195681206</v>
      </c>
      <c r="J404" s="126">
        <f t="shared" si="57"/>
        <v>-1.5638155610923632E-2</v>
      </c>
      <c r="M404" s="5"/>
      <c r="Y404">
        <f>IF($Z$1, D404, -0.2)</f>
        <v>-0.2</v>
      </c>
    </row>
    <row r="405" spans="2:25" x14ac:dyDescent="0.3">
      <c r="B405" s="126">
        <v>0.70538806873724358</v>
      </c>
      <c r="C405" s="126">
        <f t="shared" si="50"/>
        <v>2.501924243039488E-2</v>
      </c>
      <c r="D405" s="126">
        <f t="shared" si="51"/>
        <v>9.4842547759062812E-3</v>
      </c>
      <c r="E405" s="126">
        <f t="shared" si="52"/>
        <v>-3.2192364834836E-2</v>
      </c>
      <c r="F405" s="126">
        <f t="shared" si="53"/>
        <v>-3.2181250909990897E-2</v>
      </c>
      <c r="G405" s="126">
        <f t="shared" si="54"/>
        <v>0.70619308028927441</v>
      </c>
      <c r="H405" s="126">
        <f t="shared" si="55"/>
        <v>3.4490542948923258E-2</v>
      </c>
      <c r="I405" s="126">
        <f t="shared" si="56"/>
        <v>0.70458305718521275</v>
      </c>
      <c r="J405" s="126">
        <f t="shared" si="57"/>
        <v>-1.5522033397110693E-2</v>
      </c>
      <c r="M405" s="5"/>
      <c r="Y405">
        <f>IF($Z$1, D405, -0.2)</f>
        <v>-0.2</v>
      </c>
    </row>
    <row r="406" spans="2:25" x14ac:dyDescent="0.3">
      <c r="B406" s="126">
        <v>0.70839769908359895</v>
      </c>
      <c r="C406" s="126">
        <f t="shared" si="50"/>
        <v>2.4805172564204999E-2</v>
      </c>
      <c r="D406" s="126">
        <f t="shared" si="51"/>
        <v>9.387367657778414E-3</v>
      </c>
      <c r="E406" s="126">
        <f t="shared" si="52"/>
        <v>-3.2192364834836E-2</v>
      </c>
      <c r="F406" s="126">
        <f t="shared" si="53"/>
        <v>-3.2181250909990897E-2</v>
      </c>
      <c r="G406" s="126">
        <f t="shared" si="54"/>
        <v>0.70919582278857751</v>
      </c>
      <c r="H406" s="126">
        <f t="shared" si="55"/>
        <v>3.4179696803938515E-2</v>
      </c>
      <c r="I406" s="126">
        <f t="shared" si="56"/>
        <v>0.70759957537862039</v>
      </c>
      <c r="J406" s="126">
        <f t="shared" si="57"/>
        <v>-1.5404961488381689E-2</v>
      </c>
      <c r="M406" s="5"/>
      <c r="Y406">
        <f>IF($Z$1, D406, -0.2)</f>
        <v>-0.2</v>
      </c>
    </row>
    <row r="407" spans="2:25" x14ac:dyDescent="0.3">
      <c r="B407" s="126">
        <v>0.71141021897354673</v>
      </c>
      <c r="C407" s="126">
        <f t="shared" si="50"/>
        <v>2.4590063359601989E-2</v>
      </c>
      <c r="D407" s="126">
        <f t="shared" si="51"/>
        <v>9.290387518409016E-3</v>
      </c>
      <c r="E407" s="126">
        <f t="shared" si="52"/>
        <v>-3.2192364834836E-2</v>
      </c>
      <c r="F407" s="126">
        <f t="shared" si="53"/>
        <v>-3.2181250909990897E-2</v>
      </c>
      <c r="G407" s="126">
        <f t="shared" si="54"/>
        <v>0.71220142139003562</v>
      </c>
      <c r="H407" s="126">
        <f t="shared" si="55"/>
        <v>3.3867718837439213E-2</v>
      </c>
      <c r="I407" s="126">
        <f t="shared" si="56"/>
        <v>0.71061901655705784</v>
      </c>
      <c r="J407" s="126">
        <f t="shared" si="57"/>
        <v>-1.5286943800621179E-2</v>
      </c>
      <c r="M407" s="5"/>
      <c r="Y407">
        <f>IF($Z$1, D407, -0.2)</f>
        <v>-0.2</v>
      </c>
    </row>
    <row r="408" spans="2:25" x14ac:dyDescent="0.3">
      <c r="B408" s="126">
        <v>0.71442559855544452</v>
      </c>
      <c r="C408" s="126">
        <f t="shared" si="50"/>
        <v>2.4373919757682352E-2</v>
      </c>
      <c r="D408" s="126">
        <f t="shared" si="51"/>
        <v>9.1933153187930463E-3</v>
      </c>
      <c r="E408" s="126">
        <f t="shared" si="52"/>
        <v>-3.2192364834836E-2</v>
      </c>
      <c r="F408" s="126">
        <f t="shared" si="53"/>
        <v>-3.2181250909990897E-2</v>
      </c>
      <c r="G408" s="126">
        <f t="shared" si="54"/>
        <v>0.71520984640098961</v>
      </c>
      <c r="H408" s="126">
        <f t="shared" si="55"/>
        <v>3.3554614948958429E-2</v>
      </c>
      <c r="I408" s="126">
        <f t="shared" si="56"/>
        <v>0.71364135070989942</v>
      </c>
      <c r="J408" s="126">
        <f t="shared" si="57"/>
        <v>-1.5167984311372338E-2</v>
      </c>
      <c r="M408" s="5"/>
      <c r="Y408">
        <f>IF($Z$1, D408, -0.2)</f>
        <v>-0.2</v>
      </c>
    </row>
    <row r="409" spans="2:25" x14ac:dyDescent="0.3">
      <c r="B409" s="126">
        <v>0.71744380794931262</v>
      </c>
      <c r="C409" s="126">
        <f t="shared" si="50"/>
        <v>2.4156746761808782E-2</v>
      </c>
      <c r="D409" s="126">
        <f t="shared" si="51"/>
        <v>9.0961520208377167E-3</v>
      </c>
      <c r="E409" s="126">
        <f t="shared" si="52"/>
        <v>-3.2192364834836E-2</v>
      </c>
      <c r="F409" s="126">
        <f t="shared" si="53"/>
        <v>-3.2181250909990897E-2</v>
      </c>
      <c r="G409" s="126">
        <f t="shared" si="54"/>
        <v>0.71822106810244635</v>
      </c>
      <c r="H409" s="126">
        <f t="shared" si="55"/>
        <v>3.3240391101175486E-2</v>
      </c>
      <c r="I409" s="126">
        <f t="shared" si="56"/>
        <v>0.71666654779617889</v>
      </c>
      <c r="J409" s="126">
        <f t="shared" si="57"/>
        <v>-1.5048087059500052E-2</v>
      </c>
      <c r="M409" s="5"/>
      <c r="Y409">
        <f>IF($Z$1, D409, -0.2)</f>
        <v>-0.2</v>
      </c>
    </row>
    <row r="410" spans="2:25" x14ac:dyDescent="0.3">
      <c r="B410" s="126">
        <v>0.72046481724713085</v>
      </c>
      <c r="C410" s="126">
        <f t="shared" si="50"/>
        <v>2.3938549437258708E-2</v>
      </c>
      <c r="D410" s="126">
        <f t="shared" si="51"/>
        <v>8.9988985873529197E-3</v>
      </c>
      <c r="E410" s="126">
        <f t="shared" si="52"/>
        <v>-3.2192364834836E-2</v>
      </c>
      <c r="F410" s="126">
        <f t="shared" si="53"/>
        <v>-3.2181250909990897E-2</v>
      </c>
      <c r="G410" s="126">
        <f t="shared" si="54"/>
        <v>0.72123505674936461</v>
      </c>
      <c r="H410" s="126">
        <f t="shared" si="55"/>
        <v>3.2925053319555038E-2</v>
      </c>
      <c r="I410" s="126">
        <f t="shared" si="56"/>
        <v>0.71969457774489709</v>
      </c>
      <c r="J410" s="126">
        <f t="shared" si="57"/>
        <v>-1.49272561448492E-2</v>
      </c>
      <c r="M410" s="5"/>
      <c r="Y410">
        <f>IF($Z$1, D410, -0.2)</f>
        <v>-0.2</v>
      </c>
    </row>
    <row r="411" spans="2:25" x14ac:dyDescent="0.3">
      <c r="B411" s="126">
        <v>0.72348859651313369</v>
      </c>
      <c r="C411" s="126">
        <f t="shared" si="50"/>
        <v>2.371933291086822E-2</v>
      </c>
      <c r="D411" s="126">
        <f t="shared" si="51"/>
        <v>8.9015559820417433E-3</v>
      </c>
      <c r="E411" s="126">
        <f t="shared" si="52"/>
        <v>-3.2192364834836E-2</v>
      </c>
      <c r="F411" s="126">
        <f t="shared" si="53"/>
        <v>-3.2181250909990897E-2</v>
      </c>
      <c r="G411" s="126">
        <f t="shared" si="54"/>
        <v>0.72425178257093836</v>
      </c>
      <c r="H411" s="126">
        <f t="shared" si="55"/>
        <v>3.2608607691981741E-2</v>
      </c>
      <c r="I411" s="126">
        <f t="shared" si="56"/>
        <v>0.72272541045532901</v>
      </c>
      <c r="J411" s="126">
        <f t="shared" si="57"/>
        <v>-1.4805495727898252E-2</v>
      </c>
      <c r="M411" s="5"/>
      <c r="Y411">
        <f>IF($Z$1, D411, -0.2)</f>
        <v>-0.2</v>
      </c>
    </row>
    <row r="412" spans="2:25" x14ac:dyDescent="0.3">
      <c r="B412" s="126">
        <v>0.72651511578410766</v>
      </c>
      <c r="C412" s="126">
        <f t="shared" si="50"/>
        <v>2.3499102370671085E-2</v>
      </c>
      <c r="D412" s="126">
        <f t="shared" si="51"/>
        <v>8.8041251694908878E-3</v>
      </c>
      <c r="E412" s="126">
        <f t="shared" si="52"/>
        <v>-3.2192364834836E-2</v>
      </c>
      <c r="F412" s="126">
        <f t="shared" si="53"/>
        <v>-3.2181250909990897E-2</v>
      </c>
      <c r="G412" s="126">
        <f t="shared" si="54"/>
        <v>0.72727121577088272</v>
      </c>
      <c r="H412" s="126">
        <f t="shared" si="55"/>
        <v>3.2291060368389829E-2</v>
      </c>
      <c r="I412" s="126">
        <f t="shared" si="56"/>
        <v>0.7257590157973326</v>
      </c>
      <c r="J412" s="126">
        <f t="shared" si="57"/>
        <v>-1.4682810029408055E-2</v>
      </c>
      <c r="M412" s="5"/>
      <c r="Y412">
        <f>IF($Z$1, D412, -0.2)</f>
        <v>-0.2</v>
      </c>
    </row>
    <row r="413" spans="2:25" x14ac:dyDescent="0.3">
      <c r="B413" s="126">
        <v>0.72954434506968779</v>
      </c>
      <c r="C413" s="126">
        <f t="shared" si="50"/>
        <v>2.3277863065533144E-2</v>
      </c>
      <c r="D413" s="126">
        <f t="shared" si="51"/>
        <v>8.7066071151611218E-3</v>
      </c>
      <c r="E413" s="126">
        <f t="shared" si="52"/>
        <v>-3.2192364834836E-2</v>
      </c>
      <c r="F413" s="126">
        <f t="shared" si="53"/>
        <v>-3.2181250909990897E-2</v>
      </c>
      <c r="G413" s="126">
        <f t="shared" si="54"/>
        <v>0.73029332652771872</v>
      </c>
      <c r="H413" s="126">
        <f t="shared" si="55"/>
        <v>3.1972417560388211E-2</v>
      </c>
      <c r="I413" s="126">
        <f t="shared" si="56"/>
        <v>0.72879536361165687</v>
      </c>
      <c r="J413" s="126">
        <f t="shared" si="57"/>
        <v>-1.4559203330065971E-2</v>
      </c>
      <c r="M413" s="5"/>
      <c r="Y413">
        <f>IF($Z$1, D413, -0.2)</f>
        <v>-0.2</v>
      </c>
    </row>
    <row r="414" spans="2:25" x14ac:dyDescent="0.3">
      <c r="B414" s="126">
        <v>0.73257625435265572</v>
      </c>
      <c r="C414" s="126">
        <f t="shared" si="50"/>
        <v>2.3055620304781945E-2</v>
      </c>
      <c r="D414" s="126">
        <f t="shared" si="51"/>
        <v>8.6090027853776927E-3</v>
      </c>
      <c r="E414" s="126">
        <f t="shared" si="52"/>
        <v>-3.2192364834836E-2</v>
      </c>
      <c r="F414" s="126">
        <f t="shared" si="53"/>
        <v>-3.2181250909990897E-2</v>
      </c>
      <c r="G414" s="126">
        <f t="shared" si="54"/>
        <v>0.73331808499505913</v>
      </c>
      <c r="H414" s="126">
        <f t="shared" si="55"/>
        <v>3.165268554088066E-2</v>
      </c>
      <c r="I414" s="126">
        <f t="shared" si="56"/>
        <v>0.73183442371025231</v>
      </c>
      <c r="J414" s="126">
        <f t="shared" si="57"/>
        <v>-1.4434679970125276E-2</v>
      </c>
      <c r="M414" s="5"/>
      <c r="Y414">
        <f>IF($Z$1, D414, -0.2)</f>
        <v>-0.2</v>
      </c>
    </row>
    <row r="415" spans="2:25" x14ac:dyDescent="0.3">
      <c r="B415" s="126">
        <v>0.73561081358923541</v>
      </c>
      <c r="C415" s="126">
        <f t="shared" si="50"/>
        <v>2.2832379457831894E-2</v>
      </c>
      <c r="D415" s="126">
        <f t="shared" si="51"/>
        <v>8.5113131473207974E-3</v>
      </c>
      <c r="E415" s="126">
        <f t="shared" si="52"/>
        <v>-3.2192364834836E-2</v>
      </c>
      <c r="F415" s="126">
        <f t="shared" si="53"/>
        <v>-3.2181250909990897E-2</v>
      </c>
      <c r="G415" s="126">
        <f t="shared" si="54"/>
        <v>0.7363454613018926</v>
      </c>
      <c r="H415" s="126">
        <f t="shared" si="55"/>
        <v>3.1331870643681647E-2</v>
      </c>
      <c r="I415" s="126">
        <f t="shared" si="56"/>
        <v>0.73487616587657822</v>
      </c>
      <c r="J415" s="126">
        <f t="shared" si="57"/>
        <v>-1.4309244349040053E-2</v>
      </c>
      <c r="M415" s="5"/>
      <c r="Y415">
        <f>IF($Z$1, D415, -0.2)</f>
        <v>-0.2</v>
      </c>
    </row>
    <row r="416" spans="2:25" x14ac:dyDescent="0.3">
      <c r="B416" s="126">
        <v>0.7386479927093933</v>
      </c>
      <c r="C416" s="126">
        <f t="shared" si="50"/>
        <v>2.2608145953804504E-2</v>
      </c>
      <c r="D416" s="126">
        <f t="shared" si="51"/>
        <v>8.4135391690159291E-3</v>
      </c>
      <c r="E416" s="126">
        <f t="shared" si="52"/>
        <v>-3.2192364834836E-2</v>
      </c>
      <c r="F416" s="126">
        <f t="shared" si="53"/>
        <v>-3.2181250909990897E-2</v>
      </c>
      <c r="G416" s="126">
        <f t="shared" si="54"/>
        <v>0.73937542555287139</v>
      </c>
      <c r="H416" s="126">
        <f t="shared" si="55"/>
        <v>3.1009979263127131E-2</v>
      </c>
      <c r="I416" s="126">
        <f t="shared" si="56"/>
        <v>0.7379205598659152</v>
      </c>
      <c r="J416" s="126">
        <f t="shared" si="57"/>
        <v>-1.4182900925095275E-2</v>
      </c>
      <c r="M416" s="5"/>
      <c r="Y416">
        <f>IF($Z$1, D416, -0.2)</f>
        <v>-0.2</v>
      </c>
    </row>
    <row r="417" spans="2:25" x14ac:dyDescent="0.3">
      <c r="B417" s="126">
        <v>0.74168776161713368</v>
      </c>
      <c r="C417" s="126">
        <f t="shared" si="50"/>
        <v>2.2382925281144442E-2</v>
      </c>
      <c r="D417" s="126">
        <f t="shared" si="51"/>
        <v>8.3156818193243602E-3</v>
      </c>
      <c r="E417" s="126">
        <f t="shared" si="52"/>
        <v>-3.2192364834836E-2</v>
      </c>
      <c r="F417" s="126">
        <f t="shared" si="53"/>
        <v>-3.2181250909990897E-2</v>
      </c>
      <c r="G417" s="126">
        <f t="shared" si="54"/>
        <v>0.74240794782859443</v>
      </c>
      <c r="H417" s="126">
        <f t="shared" si="55"/>
        <v>3.0687017853681293E-2</v>
      </c>
      <c r="I417" s="126">
        <f t="shared" si="56"/>
        <v>0.74096757540567293</v>
      </c>
      <c r="J417" s="126">
        <f t="shared" si="57"/>
        <v>-1.4055654215032572E-2</v>
      </c>
      <c r="M417" s="5"/>
      <c r="Y417">
        <f>IF($Z$1, D417, -0.2)</f>
        <v>-0.2</v>
      </c>
    </row>
    <row r="418" spans="2:25" x14ac:dyDescent="0.3">
      <c r="B418" s="126">
        <v>0.7447300901907985</v>
      </c>
      <c r="C418" s="126">
        <f t="shared" si="50"/>
        <v>2.2156722987230721E-2</v>
      </c>
      <c r="D418" s="126">
        <f t="shared" si="51"/>
        <v>8.2177420679334957E-3</v>
      </c>
      <c r="E418" s="126">
        <f t="shared" si="52"/>
        <v>-3.2192364834836E-2</v>
      </c>
      <c r="F418" s="126">
        <f t="shared" si="53"/>
        <v>-3.2181250909990897E-2</v>
      </c>
      <c r="G418" s="126">
        <f t="shared" si="54"/>
        <v>0.74544299818589421</v>
      </c>
      <c r="H418" s="126">
        <f t="shared" si="55"/>
        <v>3.0362992929538268E-2</v>
      </c>
      <c r="I418" s="126">
        <f t="shared" si="56"/>
        <v>0.74401718219570279</v>
      </c>
      <c r="J418" s="126">
        <f t="shared" si="57"/>
        <v>-1.3927508793671276E-2</v>
      </c>
      <c r="M418" s="5"/>
      <c r="Y418">
        <f>IF($Z$1, D418, -0.2)</f>
        <v>-0.2</v>
      </c>
    </row>
    <row r="419" spans="2:25" x14ac:dyDescent="0.3">
      <c r="B419" s="126">
        <v>0.74777494828336577</v>
      </c>
      <c r="C419" s="126">
        <f t="shared" si="50"/>
        <v>2.1929544677983515E-2</v>
      </c>
      <c r="D419" s="126">
        <f t="shared" si="51"/>
        <v>8.1197208853472681E-3</v>
      </c>
      <c r="E419" s="126">
        <f t="shared" si="52"/>
        <v>-3.2192364834836E-2</v>
      </c>
      <c r="F419" s="126">
        <f t="shared" si="53"/>
        <v>-3.2181250909990897E-2</v>
      </c>
      <c r="G419" s="126">
        <f t="shared" si="54"/>
        <v>0.74848054665812336</v>
      </c>
      <c r="H419" s="126">
        <f t="shared" si="55"/>
        <v>3.0037911064219578E-2</v>
      </c>
      <c r="I419" s="126">
        <f t="shared" si="56"/>
        <v>0.74706934990860818</v>
      </c>
      <c r="J419" s="126">
        <f t="shared" si="57"/>
        <v>-1.3798469293525042E-2</v>
      </c>
      <c r="M419" s="5"/>
      <c r="Y419">
        <f>IF($Z$1, D419, -0.2)</f>
        <v>-0.2</v>
      </c>
    </row>
    <row r="420" spans="2:25" x14ac:dyDescent="0.3">
      <c r="B420" s="126">
        <v>0.75082230572274766</v>
      </c>
      <c r="C420" s="126">
        <f t="shared" si="50"/>
        <v>2.1701396017466523E-2</v>
      </c>
      <c r="D420" s="126">
        <f t="shared" si="51"/>
        <v>8.0216192428765338E-3</v>
      </c>
      <c r="E420" s="126">
        <f t="shared" si="52"/>
        <v>-3.2192364834836E-2</v>
      </c>
      <c r="F420" s="126">
        <f t="shared" si="53"/>
        <v>-3.2181250909990897E-2</v>
      </c>
      <c r="G420" s="126">
        <f t="shared" si="54"/>
        <v>0.75152056325543903</v>
      </c>
      <c r="H420" s="126">
        <f t="shared" si="55"/>
        <v>2.9711778890167087E-2</v>
      </c>
      <c r="I420" s="126">
        <f t="shared" si="56"/>
        <v>0.75012404819005629</v>
      </c>
      <c r="J420" s="126">
        <f t="shared" si="57"/>
        <v>-1.3668540404414021E-2</v>
      </c>
      <c r="M420" s="5"/>
      <c r="Y420">
        <f>IF($Z$1, D420, -0.2)</f>
        <v>-0.2</v>
      </c>
    </row>
    <row r="421" spans="2:25" x14ac:dyDescent="0.3">
      <c r="B421" s="126">
        <v>0.75387213231209049</v>
      </c>
      <c r="C421" s="126">
        <f t="shared" si="50"/>
        <v>2.1472282727484797E-2</v>
      </c>
      <c r="D421" s="126">
        <f t="shared" si="51"/>
        <v>7.9234381126294263E-3</v>
      </c>
      <c r="E421" s="126">
        <f t="shared" si="52"/>
        <v>-3.2192364834836E-2</v>
      </c>
      <c r="F421" s="126">
        <f t="shared" si="53"/>
        <v>-3.2181250909990897E-2</v>
      </c>
      <c r="G421" s="126">
        <f t="shared" si="54"/>
        <v>0.75456301796509084</v>
      </c>
      <c r="H421" s="126">
        <f t="shared" si="55"/>
        <v>2.9384603098331401E-2</v>
      </c>
      <c r="I421" s="126">
        <f t="shared" si="56"/>
        <v>0.75318124665909014</v>
      </c>
      <c r="J421" s="126">
        <f t="shared" si="57"/>
        <v>-1.3537726873072546E-2</v>
      </c>
      <c r="M421" s="5"/>
      <c r="Y421">
        <f>IF($Z$1, D421, -0.2)</f>
        <v>-0.2</v>
      </c>
    </row>
    <row r="422" spans="2:25" x14ac:dyDescent="0.3">
      <c r="B422" s="126">
        <v>0.75692439783007204</v>
      </c>
      <c r="C422" s="126">
        <f t="shared" si="50"/>
        <v>2.124221058717838E-2</v>
      </c>
      <c r="D422" s="126">
        <f t="shared" si="51"/>
        <v>7.8251784675017737E-3</v>
      </c>
      <c r="E422" s="126">
        <f t="shared" si="52"/>
        <v>-3.2192364834836E-2</v>
      </c>
      <c r="F422" s="126">
        <f t="shared" si="53"/>
        <v>-3.2181250909990897E-2</v>
      </c>
      <c r="G422" s="126">
        <f t="shared" si="54"/>
        <v>0.75760788075170415</v>
      </c>
      <c r="H422" s="126">
        <f t="shared" si="55"/>
        <v>2.9056390437756097E-2</v>
      </c>
      <c r="I422" s="126">
        <f t="shared" si="56"/>
        <v>0.75624091490843992</v>
      </c>
      <c r="J422" s="126">
        <f t="shared" si="57"/>
        <v>-1.3406033502752547E-2</v>
      </c>
      <c r="M422" s="5"/>
      <c r="Y422">
        <f>IF($Z$1, D422, -0.2)</f>
        <v>-0.2</v>
      </c>
    </row>
    <row r="423" spans="2:25" x14ac:dyDescent="0.3">
      <c r="B423" s="126">
        <v>0.75997907203120352</v>
      </c>
      <c r="C423" s="126">
        <f t="shared" si="50"/>
        <v>2.1011185432611258E-2</v>
      </c>
      <c r="D423" s="126">
        <f t="shared" si="51"/>
        <v>7.7268412811673888E-3</v>
      </c>
      <c r="E423" s="126">
        <f t="shared" si="52"/>
        <v>-3.2192364834836E-2</v>
      </c>
      <c r="F423" s="126">
        <f t="shared" si="53"/>
        <v>-3.2181250909990897E-2</v>
      </c>
      <c r="G423" s="126">
        <f t="shared" si="54"/>
        <v>0.76065512155756987</v>
      </c>
      <c r="H423" s="126">
        <f t="shared" si="55"/>
        <v>2.8727147715157237E-2</v>
      </c>
      <c r="I423" s="126">
        <f t="shared" si="56"/>
        <v>0.75930302250483717</v>
      </c>
      <c r="J423" s="126">
        <f t="shared" si="57"/>
        <v>-1.3273465152822458E-2</v>
      </c>
      <c r="M423" s="5"/>
      <c r="Y423">
        <f>IF($Z$1, D423, -0.2)</f>
        <v>-0.2</v>
      </c>
    </row>
    <row r="424" spans="2:25" x14ac:dyDescent="0.3">
      <c r="B424" s="126">
        <v>0.76303612464612713</v>
      </c>
      <c r="C424" s="126">
        <f t="shared" si="50"/>
        <v>2.0779213156356335E-2</v>
      </c>
      <c r="D424" s="126">
        <f t="shared" si="51"/>
        <v>7.628427528068478E-3</v>
      </c>
      <c r="E424" s="126">
        <f t="shared" si="52"/>
        <v>-3.2192364834836E-2</v>
      </c>
      <c r="F424" s="126">
        <f t="shared" si="53"/>
        <v>-3.2181250909990897E-2</v>
      </c>
      <c r="G424" s="126">
        <f t="shared" si="54"/>
        <v>0.76370471030292764</v>
      </c>
      <c r="H424" s="126">
        <f t="shared" si="55"/>
        <v>2.839688179449892E-2</v>
      </c>
      <c r="I424" s="126">
        <f t="shared" si="56"/>
        <v>0.76236753898932663</v>
      </c>
      <c r="J424" s="126">
        <f t="shared" si="57"/>
        <v>-1.3140026738361964E-2</v>
      </c>
      <c r="M424" s="5"/>
      <c r="Y424">
        <f>IF($Z$1, D424, -0.2)</f>
        <v>-0.2</v>
      </c>
    </row>
    <row r="425" spans="2:25" x14ac:dyDescent="0.3">
      <c r="B425" s="126">
        <v>0.76609552538191783</v>
      </c>
      <c r="C425" s="126">
        <f t="shared" si="50"/>
        <v>2.0546299707075808E-2</v>
      </c>
      <c r="D425" s="126">
        <f t="shared" si="51"/>
        <v>7.5299381834059379E-3</v>
      </c>
      <c r="E425" s="126">
        <f t="shared" si="52"/>
        <v>-3.2192364834836E-2</v>
      </c>
      <c r="F425" s="126">
        <f t="shared" si="53"/>
        <v>-3.2181250909990897E-2</v>
      </c>
      <c r="G425" s="126">
        <f t="shared" si="54"/>
        <v>0.76675661688625485</v>
      </c>
      <c r="H425" s="126">
        <f t="shared" si="55"/>
        <v>2.8065599596564191E-2</v>
      </c>
      <c r="I425" s="126">
        <f t="shared" si="56"/>
        <v>0.76543443387758081</v>
      </c>
      <c r="J425" s="126">
        <f t="shared" si="57"/>
        <v>-1.3005723229752316E-2</v>
      </c>
      <c r="M425" s="5"/>
      <c r="Y425">
        <f>IF($Z$1, D425, -0.2)</f>
        <v>-0.2</v>
      </c>
    </row>
    <row r="426" spans="2:25" x14ac:dyDescent="0.3">
      <c r="B426" s="126">
        <v>0.76915724392238149</v>
      </c>
      <c r="C426" s="126">
        <f t="shared" si="50"/>
        <v>2.0312451089097617E-2</v>
      </c>
      <c r="D426" s="126">
        <f t="shared" si="51"/>
        <v>7.4313742231297501E-3</v>
      </c>
      <c r="E426" s="126">
        <f t="shared" si="52"/>
        <v>-3.2192364834836E-2</v>
      </c>
      <c r="F426" s="126">
        <f t="shared" si="53"/>
        <v>-3.2181250909990897E-2</v>
      </c>
      <c r="G426" s="126">
        <f t="shared" si="54"/>
        <v>0.76981081118455086</v>
      </c>
      <c r="H426" s="126">
        <f t="shared" si="55"/>
        <v>2.7733308098522098E-2</v>
      </c>
      <c r="I426" s="126">
        <f t="shared" si="56"/>
        <v>0.76850367666021213</v>
      </c>
      <c r="J426" s="126">
        <f t="shared" si="57"/>
        <v>-1.28705596522626E-2</v>
      </c>
      <c r="M426" s="5"/>
      <c r="Y426">
        <f>IF($Z$1, D426, -0.2)</f>
        <v>-0.2</v>
      </c>
    </row>
    <row r="427" spans="2:25" x14ac:dyDescent="0.3">
      <c r="B427" s="126">
        <v>0.77222124992835761</v>
      </c>
      <c r="C427" s="126">
        <f t="shared" si="50"/>
        <v>2.0077673361987312E-2</v>
      </c>
      <c r="D427" s="126">
        <f t="shared" si="51"/>
        <v>7.3327366239292384E-3</v>
      </c>
      <c r="E427" s="126">
        <f t="shared" si="52"/>
        <v>-3.2192364834836E-2</v>
      </c>
      <c r="F427" s="126">
        <f t="shared" si="53"/>
        <v>-3.2181250909990897E-2</v>
      </c>
      <c r="G427" s="126">
        <f t="shared" si="54"/>
        <v>0.77286726305362574</v>
      </c>
      <c r="H427" s="126">
        <f t="shared" si="55"/>
        <v>2.7400014333490048E-2</v>
      </c>
      <c r="I427" s="126">
        <f t="shared" si="56"/>
        <v>0.77157523680308948</v>
      </c>
      <c r="J427" s="126">
        <f t="shared" si="57"/>
        <v>-1.2734541085631573E-2</v>
      </c>
      <c r="M427" s="5"/>
      <c r="Y427">
        <f>IF($Z$1, D427, -0.2)</f>
        <v>-0.2</v>
      </c>
    </row>
    <row r="428" spans="2:25" x14ac:dyDescent="0.3">
      <c r="B428" s="126">
        <v>0.77528751303801791</v>
      </c>
      <c r="C428" s="126">
        <f t="shared" si="50"/>
        <v>1.9841972640116126E-2</v>
      </c>
      <c r="D428" s="126">
        <f t="shared" si="51"/>
        <v>7.2340263632234558E-3</v>
      </c>
      <c r="E428" s="126">
        <f t="shared" si="52"/>
        <v>-3.2192364834836E-2</v>
      </c>
      <c r="F428" s="126">
        <f t="shared" si="53"/>
        <v>-3.2181250909990897E-2</v>
      </c>
      <c r="G428" s="126">
        <f t="shared" si="54"/>
        <v>0.77592594232838552</v>
      </c>
      <c r="H428" s="126">
        <f t="shared" si="55"/>
        <v>2.7065725390092474E-2</v>
      </c>
      <c r="I428" s="126">
        <f t="shared" si="56"/>
        <v>0.77464908374765029</v>
      </c>
      <c r="J428" s="126">
        <f t="shared" si="57"/>
        <v>-1.2597672663645563E-2</v>
      </c>
      <c r="M428" s="5"/>
      <c r="Y428">
        <f>IF($Z$1, D428, -0.2)</f>
        <v>-0.2</v>
      </c>
    </row>
    <row r="429" spans="2:25" x14ac:dyDescent="0.3">
      <c r="B429" s="126">
        <v>0.77835600286716788</v>
      </c>
      <c r="C429" s="126">
        <f t="shared" si="50"/>
        <v>1.960535509222466E-2</v>
      </c>
      <c r="D429" s="126">
        <f t="shared" si="51"/>
        <v>7.1352444191514755E-3</v>
      </c>
      <c r="E429" s="126">
        <f t="shared" si="52"/>
        <v>-3.2192364834836E-2</v>
      </c>
      <c r="F429" s="126">
        <f t="shared" si="53"/>
        <v>-3.2181250909990897E-2</v>
      </c>
      <c r="G429" s="126">
        <f t="shared" si="54"/>
        <v>0.77898681882311915</v>
      </c>
      <c r="H429" s="126">
        <f t="shared" si="55"/>
        <v>2.6730448412015054E-2</v>
      </c>
      <c r="I429" s="126">
        <f t="shared" si="56"/>
        <v>0.77772518691121661</v>
      </c>
      <c r="J429" s="126">
        <f t="shared" si="57"/>
        <v>-1.2459959573712102E-2</v>
      </c>
      <c r="M429" s="5"/>
      <c r="Y429">
        <f>IF($Z$1, D429, -0.2)</f>
        <v>-0.2</v>
      </c>
    </row>
    <row r="430" spans="2:25" x14ac:dyDescent="0.3">
      <c r="B430" s="126">
        <v>0.78142668900954892</v>
      </c>
      <c r="C430" s="126">
        <f t="shared" si="50"/>
        <v>1.9367826940982488E-2</v>
      </c>
      <c r="D430" s="126">
        <f t="shared" si="51"/>
        <v>7.0363917705626704E-3</v>
      </c>
      <c r="E430" s="126">
        <f t="shared" si="52"/>
        <v>-3.2192364834836E-2</v>
      </c>
      <c r="F430" s="126">
        <f t="shared" si="53"/>
        <v>-3.2181250909990897E-2</v>
      </c>
      <c r="G430" s="126">
        <f t="shared" si="54"/>
        <v>0.78204986233178686</v>
      </c>
      <c r="H430" s="126">
        <f t="shared" si="55"/>
        <v>2.6394190597554802E-2</v>
      </c>
      <c r="I430" s="126">
        <f t="shared" si="56"/>
        <v>0.78080351568731099</v>
      </c>
      <c r="J430" s="126">
        <f t="shared" si="57"/>
        <v>-1.2321407056429463E-2</v>
      </c>
      <c r="M430" s="5"/>
      <c r="Y430">
        <f>IF($Z$1, D430, -0.2)</f>
        <v>-0.2</v>
      </c>
    </row>
    <row r="431" spans="2:25" x14ac:dyDescent="0.3">
      <c r="B431" s="126">
        <v>0.78449954103713782</v>
      </c>
      <c r="C431" s="126">
        <f t="shared" si="50"/>
        <v>1.91293944625439E-2</v>
      </c>
      <c r="D431" s="126">
        <f t="shared" si="51"/>
        <v>6.9374693970070634E-3</v>
      </c>
      <c r="E431" s="126">
        <f t="shared" si="52"/>
        <v>-3.2192364834836E-2</v>
      </c>
      <c r="F431" s="126">
        <f t="shared" si="53"/>
        <v>-3.2181250909990897E-2</v>
      </c>
      <c r="G431" s="126">
        <f t="shared" si="54"/>
        <v>0.78511504262830489</v>
      </c>
      <c r="H431" s="126">
        <f t="shared" si="55"/>
        <v>2.6056959199166434E-2</v>
      </c>
      <c r="I431" s="126">
        <f t="shared" si="56"/>
        <v>0.78388403944597074</v>
      </c>
      <c r="J431" s="126">
        <f t="shared" si="57"/>
        <v>-1.2182020405152306E-2</v>
      </c>
      <c r="M431" s="5"/>
      <c r="Y431">
        <f>IF($Z$1, D431, -0.2)</f>
        <v>-0.2</v>
      </c>
    </row>
    <row r="432" spans="2:25" x14ac:dyDescent="0.3">
      <c r="B432" s="126">
        <v>0.78757452850045018</v>
      </c>
      <c r="C432" s="126">
        <f t="shared" si="50"/>
        <v>1.8890063986099354E-2</v>
      </c>
      <c r="D432" s="126">
        <f t="shared" si="51"/>
        <v>6.8384782787255646E-3</v>
      </c>
      <c r="E432" s="126">
        <f t="shared" si="52"/>
        <v>-3.2192364834836E-2</v>
      </c>
      <c r="F432" s="126">
        <f t="shared" si="53"/>
        <v>-3.2181250909990897E-2</v>
      </c>
      <c r="G432" s="126">
        <f t="shared" si="54"/>
        <v>0.78818232946683509</v>
      </c>
      <c r="H432" s="126">
        <f t="shared" si="55"/>
        <v>2.5718761523004223E-2</v>
      </c>
      <c r="I432" s="126">
        <f t="shared" si="56"/>
        <v>0.78696672753406527</v>
      </c>
      <c r="J432" s="126">
        <f t="shared" si="57"/>
        <v>-1.2041804965553092E-2</v>
      </c>
      <c r="M432" s="5"/>
      <c r="Y432">
        <f>IF($Z$1, D432, -0.2)</f>
        <v>-0.2</v>
      </c>
    </row>
    <row r="433" spans="2:25" x14ac:dyDescent="0.3">
      <c r="B433" s="126">
        <v>0.79065162092883967</v>
      </c>
      <c r="C433" s="126">
        <f t="shared" si="50"/>
        <v>1.8649841893423294E-2</v>
      </c>
      <c r="D433" s="126">
        <f t="shared" si="51"/>
        <v>6.7394193966403386E-3</v>
      </c>
      <c r="E433" s="126">
        <f t="shared" si="52"/>
        <v>-3.2192364834836E-2</v>
      </c>
      <c r="F433" s="126">
        <f t="shared" si="53"/>
        <v>-3.2181250909990897E-2</v>
      </c>
      <c r="G433" s="126">
        <f t="shared" si="54"/>
        <v>0.79125169258206907</v>
      </c>
      <c r="H433" s="126">
        <f t="shared" si="55"/>
        <v>2.5379604928460486E-2</v>
      </c>
      <c r="I433" s="126">
        <f t="shared" si="56"/>
        <v>0.79005154927561028</v>
      </c>
      <c r="J433" s="126">
        <f t="shared" si="57"/>
        <v>-1.1900766135179808E-2</v>
      </c>
      <c r="M433" s="5"/>
      <c r="Y433">
        <f>IF($Z$1, D433, -0.2)</f>
        <v>-0.2</v>
      </c>
    </row>
    <row r="434" spans="2:25" x14ac:dyDescent="0.3">
      <c r="B434" s="126">
        <v>0.79373078783080309</v>
      </c>
      <c r="C434" s="126">
        <f t="shared" si="50"/>
        <v>1.8408734618417615E-2</v>
      </c>
      <c r="D434" s="126">
        <f t="shared" si="51"/>
        <v>6.6402937323449809E-3</v>
      </c>
      <c r="E434" s="126">
        <f t="shared" si="52"/>
        <v>-3.2192364834836E-2</v>
      </c>
      <c r="F434" s="126">
        <f t="shared" si="53"/>
        <v>-3.2181250909990897E-2</v>
      </c>
      <c r="G434" s="126">
        <f t="shared" si="54"/>
        <v>0.79432310168951903</v>
      </c>
      <c r="H434" s="126">
        <f t="shared" si="55"/>
        <v>2.5039496827699417E-2</v>
      </c>
      <c r="I434" s="126">
        <f t="shared" si="56"/>
        <v>0.79313847397208714</v>
      </c>
      <c r="J434" s="126">
        <f t="shared" si="57"/>
        <v>-1.1758909363009454E-2</v>
      </c>
      <c r="M434" s="5"/>
      <c r="Y434">
        <f>IF($Z$1, D434, -0.2)</f>
        <v>-0.2</v>
      </c>
    </row>
    <row r="435" spans="2:25" x14ac:dyDescent="0.3">
      <c r="B435" s="126">
        <v>0.79681199869427966</v>
      </c>
      <c r="C435" s="126">
        <f t="shared" si="50"/>
        <v>1.8166748646651652E-2</v>
      </c>
      <c r="D435" s="126">
        <f t="shared" si="51"/>
        <v>6.5411022680948831E-3</v>
      </c>
      <c r="E435" s="126">
        <f t="shared" si="52"/>
        <v>-3.2192364834836E-2</v>
      </c>
      <c r="F435" s="126">
        <f t="shared" si="53"/>
        <v>-3.2181250909990897E-2</v>
      </c>
      <c r="G435" s="126">
        <f t="shared" si="54"/>
        <v>0.79739652648580173</v>
      </c>
      <c r="H435" s="126">
        <f t="shared" si="55"/>
        <v>2.4698444685187698E-2</v>
      </c>
      <c r="I435" s="126">
        <f t="shared" si="56"/>
        <v>0.79622747090275758</v>
      </c>
      <c r="J435" s="126">
        <f t="shared" si="57"/>
        <v>-1.1616240148997932E-2</v>
      </c>
      <c r="M435" s="5"/>
      <c r="Y435">
        <f>IF($Z$1, D435, -0.2)</f>
        <v>-0.2</v>
      </c>
    </row>
    <row r="436" spans="2:25" x14ac:dyDescent="0.3">
      <c r="B436" s="126">
        <v>0.79989522298695537</v>
      </c>
      <c r="C436" s="126">
        <f t="shared" si="50"/>
        <v>1.7923890514898008E-2</v>
      </c>
      <c r="D436" s="126">
        <f t="shared" si="51"/>
        <v>6.441845986797437E-3</v>
      </c>
      <c r="E436" s="126">
        <f t="shared" si="52"/>
        <v>-3.2192364834836E-2</v>
      </c>
      <c r="F436" s="126">
        <f t="shared" si="53"/>
        <v>-3.2181250909990897E-2</v>
      </c>
      <c r="G436" s="126">
        <f t="shared" si="54"/>
        <v>0.80047193664892857</v>
      </c>
      <c r="H436" s="126">
        <f t="shared" si="55"/>
        <v>2.4356456017220769E-2</v>
      </c>
      <c r="I436" s="126">
        <f t="shared" si="56"/>
        <v>0.79931850932498216</v>
      </c>
      <c r="J436" s="126">
        <f t="shared" si="57"/>
        <v>-1.1472764043625894E-2</v>
      </c>
      <c r="M436" s="5"/>
      <c r="Y436">
        <f>IF($Z$1, D436, -0.2)</f>
        <v>-0.2</v>
      </c>
    </row>
    <row r="437" spans="2:25" x14ac:dyDescent="0.3">
      <c r="B437" s="126">
        <v>0.80298043015656417</v>
      </c>
      <c r="C437" s="126">
        <f t="shared" si="50"/>
        <v>1.7680166810664786E-2</v>
      </c>
      <c r="D437" s="126">
        <f t="shared" si="51"/>
        <v>6.3425258720023392E-3</v>
      </c>
      <c r="E437" s="126">
        <f t="shared" si="52"/>
        <v>-3.2192364834836E-2</v>
      </c>
      <c r="F437" s="126">
        <f t="shared" si="53"/>
        <v>-3.2181250909990897E-2</v>
      </c>
      <c r="G437" s="126">
        <f t="shared" si="54"/>
        <v>0.80354930183859108</v>
      </c>
      <c r="H437" s="126">
        <f t="shared" si="55"/>
        <v>2.4013538391445603E-2</v>
      </c>
      <c r="I437" s="126">
        <f t="shared" si="56"/>
        <v>0.80241155847453727</v>
      </c>
      <c r="J437" s="126">
        <f t="shared" si="57"/>
        <v>-1.1328486647440923E-2</v>
      </c>
      <c r="M437" s="5"/>
      <c r="Y437">
        <f>IF($Z$1, D437, -0.2)</f>
        <v>-0.2</v>
      </c>
    </row>
    <row r="438" spans="2:25" x14ac:dyDescent="0.3">
      <c r="B438" s="126">
        <v>0.80606758963119207</v>
      </c>
      <c r="C438" s="126">
        <f t="shared" si="50"/>
        <v>1.7435584171723847E-2</v>
      </c>
      <c r="D438" s="126">
        <f t="shared" si="51"/>
        <v>6.2431429078917966E-3</v>
      </c>
      <c r="E438" s="126">
        <f t="shared" si="52"/>
        <v>-3.2192364834836E-2</v>
      </c>
      <c r="F438" s="126">
        <f t="shared" si="53"/>
        <v>-3.2181250909990897E-2</v>
      </c>
      <c r="G438" s="126">
        <f t="shared" si="54"/>
        <v>0.80662859169645007</v>
      </c>
      <c r="H438" s="126">
        <f t="shared" si="55"/>
        <v>2.3669699426379417E-2</v>
      </c>
      <c r="I438" s="126">
        <f t="shared" si="56"/>
        <v>0.80550658756593407</v>
      </c>
      <c r="J438" s="126">
        <f t="shared" si="57"/>
        <v>-1.1183413610595824E-2</v>
      </c>
      <c r="M438" s="5"/>
      <c r="Y438">
        <f>IF($Z$1, D438, -0.2)</f>
        <v>-0.2</v>
      </c>
    </row>
    <row r="439" spans="2:25" x14ac:dyDescent="0.3">
      <c r="B439" s="126">
        <v>0.80915667081957843</v>
      </c>
      <c r="C439" s="126">
        <f t="shared" si="50"/>
        <v>1.7190149285635625E-2</v>
      </c>
      <c r="D439" s="126">
        <f t="shared" si="51"/>
        <v>6.1436980792708342E-3</v>
      </c>
      <c r="E439" s="126">
        <f t="shared" si="52"/>
        <v>-3.2192364834836E-2</v>
      </c>
      <c r="F439" s="126">
        <f t="shared" si="53"/>
        <v>-3.2181250909990897E-2</v>
      </c>
      <c r="G439" s="126">
        <f t="shared" si="54"/>
        <v>0.80970977584642201</v>
      </c>
      <c r="H439" s="126">
        <f t="shared" si="55"/>
        <v>2.332494679092504E-2</v>
      </c>
      <c r="I439" s="126">
        <f t="shared" si="56"/>
        <v>0.80860356579273485</v>
      </c>
      <c r="J439" s="126">
        <f t="shared" si="57"/>
        <v>-1.1037550632383373E-2</v>
      </c>
      <c r="M439" s="5"/>
      <c r="Y439">
        <f>IF($Z$1, D439, -0.2)</f>
        <v>-0.2</v>
      </c>
    </row>
    <row r="440" spans="2:25" x14ac:dyDescent="0.3">
      <c r="B440" s="126">
        <v>0.81224764311142017</v>
      </c>
      <c r="C440" s="126">
        <f t="shared" si="50"/>
        <v>1.6943868889269957E-2</v>
      </c>
      <c r="D440" s="126">
        <f t="shared" si="51"/>
        <v>6.044192371557496E-3</v>
      </c>
      <c r="E440" s="126">
        <f t="shared" si="52"/>
        <v>-3.2192364834836E-2</v>
      </c>
      <c r="F440" s="126">
        <f t="shared" si="53"/>
        <v>-3.2181250909990897E-2</v>
      </c>
      <c r="G440" s="126">
        <f t="shared" si="54"/>
        <v>0.81279282389496732</v>
      </c>
      <c r="H440" s="126">
        <f t="shared" si="55"/>
        <v>2.2979288203882193E-2</v>
      </c>
      <c r="I440" s="126">
        <f t="shared" si="56"/>
        <v>0.81170246232787302</v>
      </c>
      <c r="J440" s="126">
        <f t="shared" si="57"/>
        <v>-1.0890903460767199E-2</v>
      </c>
      <c r="M440" s="5"/>
      <c r="Y440">
        <f>IF($Z$1, D440, -0.2)</f>
        <v>-0.2</v>
      </c>
    </row>
    <row r="441" spans="2:25" x14ac:dyDescent="0.3">
      <c r="B441" s="126">
        <v>0.81534047587767555</v>
      </c>
      <c r="C441" s="126">
        <f t="shared" si="50"/>
        <v>1.6696749768323419E-2</v>
      </c>
      <c r="D441" s="126">
        <f t="shared" si="51"/>
        <v>5.9446267707730675E-3</v>
      </c>
      <c r="E441" s="126">
        <f t="shared" si="52"/>
        <v>-3.2192364834836E-2</v>
      </c>
      <c r="F441" s="126">
        <f t="shared" si="53"/>
        <v>-3.2181250909990897E-2</v>
      </c>
      <c r="G441" s="126">
        <f t="shared" si="54"/>
        <v>0.8158777054313785</v>
      </c>
      <c r="H441" s="126">
        <f t="shared" si="55"/>
        <v>2.2632731433455296E-2</v>
      </c>
      <c r="I441" s="126">
        <f t="shared" si="56"/>
        <v>0.81480324632397261</v>
      </c>
      <c r="J441" s="126">
        <f t="shared" si="57"/>
        <v>-1.0743477891909159E-2</v>
      </c>
      <c r="M441" s="5"/>
      <c r="Y441">
        <f>IF($Z$1, D441, -0.2)</f>
        <v>-0.2</v>
      </c>
    </row>
    <row r="442" spans="2:25" x14ac:dyDescent="0.3">
      <c r="B442" s="126">
        <v>0.81843513847086635</v>
      </c>
      <c r="C442" s="126">
        <f t="shared" si="50"/>
        <v>1.6448798756833135E-2</v>
      </c>
      <c r="D442" s="126">
        <f t="shared" si="51"/>
        <v>5.8450022635323498E-3</v>
      </c>
      <c r="E442" s="126">
        <f t="shared" si="52"/>
        <v>-3.2192364834836E-2</v>
      </c>
      <c r="F442" s="126">
        <f t="shared" si="53"/>
        <v>-3.2181250909990897E-2</v>
      </c>
      <c r="G442" s="126">
        <f t="shared" si="54"/>
        <v>0.81896439002806753</v>
      </c>
      <c r="H442" s="126">
        <f t="shared" si="55"/>
        <v>2.2285284296757798E-2</v>
      </c>
      <c r="I442" s="126">
        <f t="shared" si="56"/>
        <v>0.81790588691366517</v>
      </c>
      <c r="J442" s="126">
        <f t="shared" si="57"/>
        <v>-1.0595279769693097E-2</v>
      </c>
      <c r="M442" s="5"/>
      <c r="Y442">
        <f>IF($Z$1, D442, -0.2)</f>
        <v>-0.2</v>
      </c>
    </row>
    <row r="443" spans="2:25" x14ac:dyDescent="0.3">
      <c r="B443" s="126">
        <v>0.82153160022538252</v>
      </c>
      <c r="C443" s="126">
        <f t="shared" si="50"/>
        <v>1.6200022736686883E-2</v>
      </c>
      <c r="D443" s="126">
        <f t="shared" si="51"/>
        <v>5.745319837033849E-3</v>
      </c>
      <c r="E443" s="126">
        <f t="shared" si="52"/>
        <v>-3.2192364834836E-2</v>
      </c>
      <c r="F443" s="126">
        <f t="shared" si="53"/>
        <v>-3.2181250909990897E-2</v>
      </c>
      <c r="G443" s="126">
        <f t="shared" si="54"/>
        <v>0.8220528472408537</v>
      </c>
      <c r="H443" s="126">
        <f t="shared" si="55"/>
        <v>2.1936954659312738E-2</v>
      </c>
      <c r="I443" s="126">
        <f t="shared" si="56"/>
        <v>0.82101035320991134</v>
      </c>
      <c r="J443" s="126">
        <f t="shared" si="57"/>
        <v>-1.0446314985245042E-2</v>
      </c>
      <c r="M443" s="5"/>
      <c r="Y443">
        <f>IF($Z$1, D443, -0.2)</f>
        <v>-0.2</v>
      </c>
    </row>
    <row r="444" spans="2:25" x14ac:dyDescent="0.3">
      <c r="B444" s="126">
        <v>0.82462983045778548</v>
      </c>
      <c r="C444" s="126">
        <f t="shared" si="50"/>
        <v>1.5950428637129824E-2</v>
      </c>
      <c r="D444" s="126">
        <f t="shared" si="51"/>
        <v>5.6455804790500139E-3</v>
      </c>
      <c r="E444" s="126">
        <f t="shared" si="52"/>
        <v>-3.2192364834836E-2</v>
      </c>
      <c r="F444" s="126">
        <f t="shared" si="53"/>
        <v>-3.2181250909990897E-2</v>
      </c>
      <c r="G444" s="126">
        <f t="shared" si="54"/>
        <v>0.82514304660925186</v>
      </c>
      <c r="H444" s="126">
        <f t="shared" si="55"/>
        <v>2.1587750434549961E-2</v>
      </c>
      <c r="I444" s="126">
        <f t="shared" si="56"/>
        <v>0.82411661430631911</v>
      </c>
      <c r="J444" s="126">
        <f t="shared" si="57"/>
        <v>-1.0296589476449932E-2</v>
      </c>
      <c r="M444" s="5"/>
      <c r="Y444">
        <f>IF($Z$1, D444, -0.2)</f>
        <v>-0.2</v>
      </c>
    </row>
    <row r="445" spans="2:25" x14ac:dyDescent="0.3">
      <c r="B445" s="126">
        <v>0.82772979846711325</v>
      </c>
      <c r="C445" s="126">
        <f t="shared" si="50"/>
        <v>1.5700023434267605E-2</v>
      </c>
      <c r="D445" s="126">
        <f t="shared" si="51"/>
        <v>5.5457851779174144E-3</v>
      </c>
      <c r="E445" s="126">
        <f t="shared" si="52"/>
        <v>-3.2192364834836E-2</v>
      </c>
      <c r="F445" s="126">
        <f t="shared" si="53"/>
        <v>-3.2181250909990897E-2</v>
      </c>
      <c r="G445" s="126">
        <f t="shared" si="54"/>
        <v>0.82823495765676103</v>
      </c>
      <c r="H445" s="126">
        <f t="shared" si="55"/>
        <v>2.1237679583299651E-2</v>
      </c>
      <c r="I445" s="126">
        <f t="shared" si="56"/>
        <v>0.82722463927746548</v>
      </c>
      <c r="J445" s="126">
        <f t="shared" si="57"/>
        <v>-1.0146109227464822E-2</v>
      </c>
      <c r="M445" s="5"/>
      <c r="Y445">
        <f>IF($Z$1, D445, -0.2)</f>
        <v>-0.2</v>
      </c>
    </row>
    <row r="446" spans="2:25" x14ac:dyDescent="0.3">
      <c r="B446" s="126">
        <v>0.8308314735351825</v>
      </c>
      <c r="C446" s="126">
        <f t="shared" si="50"/>
        <v>1.5448814150566309E-2</v>
      </c>
      <c r="D446" s="126">
        <f t="shared" si="51"/>
        <v>5.4459349225270143E-3</v>
      </c>
      <c r="E446" s="126">
        <f t="shared" si="52"/>
        <v>-3.2192364834836E-2</v>
      </c>
      <c r="F446" s="126">
        <f t="shared" si="53"/>
        <v>-3.2181250909990897E-2</v>
      </c>
      <c r="G446" s="126">
        <f t="shared" si="54"/>
        <v>0.83132854989115057</v>
      </c>
      <c r="H446" s="126">
        <f t="shared" si="55"/>
        <v>2.0886750113282823E-2</v>
      </c>
      <c r="I446" s="126">
        <f t="shared" si="56"/>
        <v>0.83033439717921442</v>
      </c>
      <c r="J446" s="126">
        <f t="shared" si="57"/>
        <v>-9.9948802682287945E-3</v>
      </c>
      <c r="M446" s="5"/>
      <c r="Y446">
        <f>IF($Z$1, D446, -0.2)</f>
        <v>-0.2</v>
      </c>
    </row>
    <row r="447" spans="2:25" x14ac:dyDescent="0.3">
      <c r="B447" s="126">
        <v>0.83393482492689608</v>
      </c>
      <c r="C447" s="126">
        <f t="shared" si="50"/>
        <v>1.5196807854348638E-2</v>
      </c>
      <c r="D447" s="126">
        <f t="shared" si="51"/>
        <v>5.3460307023142743E-3</v>
      </c>
      <c r="E447" s="126">
        <f t="shared" si="52"/>
        <v>-3.2192364834836E-2</v>
      </c>
      <c r="F447" s="126">
        <f t="shared" si="53"/>
        <v>-3.2181250909990897E-2</v>
      </c>
      <c r="G447" s="126">
        <f t="shared" si="54"/>
        <v>0.83442379280475165</v>
      </c>
      <c r="H447" s="126">
        <f t="shared" si="55"/>
        <v>2.0534970078597857E-2</v>
      </c>
      <c r="I447" s="126">
        <f t="shared" si="56"/>
        <v>0.83344585704904051</v>
      </c>
      <c r="J447" s="126">
        <f t="shared" si="57"/>
        <v>-9.8429086739693101E-3</v>
      </c>
      <c r="M447" s="5"/>
      <c r="Y447">
        <f>IF($Z$1, D447, -0.2)</f>
        <v>-0.2</v>
      </c>
    </row>
    <row r="448" spans="2:25" x14ac:dyDescent="0.3">
      <c r="B448" s="126">
        <v>0.83703982189054416</v>
      </c>
      <c r="C448" s="126">
        <f t="shared" si="50"/>
        <v>1.4944011659287213E-2</v>
      </c>
      <c r="D448" s="126">
        <f t="shared" si="51"/>
        <v>5.2460735072494573E-3</v>
      </c>
      <c r="E448" s="126">
        <f t="shared" si="52"/>
        <v>-3.2192364834836E-2</v>
      </c>
      <c r="F448" s="126">
        <f t="shared" si="53"/>
        <v>-3.2181250909990897E-2</v>
      </c>
      <c r="G448" s="126">
        <f t="shared" si="54"/>
        <v>0.83752065587474167</v>
      </c>
      <c r="H448" s="126">
        <f t="shared" si="55"/>
        <v>2.0182347579204382E-2</v>
      </c>
      <c r="I448" s="126">
        <f t="shared" si="56"/>
        <v>0.83655898790634664</v>
      </c>
      <c r="J448" s="126">
        <f t="shared" si="57"/>
        <v>-9.6902005647054694E-3</v>
      </c>
      <c r="M448" s="5"/>
      <c r="Y448">
        <f>IF($Z$1, D448, -0.2)</f>
        <v>-0.2</v>
      </c>
    </row>
    <row r="449" spans="2:25" x14ac:dyDescent="0.3">
      <c r="B449" s="126">
        <v>0.8401464336581117</v>
      </c>
      <c r="C449" s="126">
        <f t="shared" si="50"/>
        <v>1.4690432723894205E-2</v>
      </c>
      <c r="D449" s="126">
        <f t="shared" si="51"/>
        <v>5.1460643278277282E-3</v>
      </c>
      <c r="E449" s="126">
        <f t="shared" si="52"/>
        <v>-3.2192364834836E-2</v>
      </c>
      <c r="F449" s="126">
        <f t="shared" si="53"/>
        <v>-3.2181250909990897E-2</v>
      </c>
      <c r="G449" s="126">
        <f t="shared" si="54"/>
        <v>0.8406191085634358</v>
      </c>
      <c r="H449" s="126">
        <f t="shared" si="55"/>
        <v>1.9828890760403256E-2</v>
      </c>
      <c r="I449" s="126">
        <f t="shared" si="56"/>
        <v>0.8396737587527876</v>
      </c>
      <c r="J449" s="126">
        <f t="shared" si="57"/>
        <v>-9.5367621047478014E-3</v>
      </c>
      <c r="M449" s="5"/>
      <c r="Y449">
        <f>IF($Z$1, D449, -0.2)</f>
        <v>-0.2</v>
      </c>
    </row>
    <row r="450" spans="2:25" x14ac:dyDescent="0.3">
      <c r="B450" s="126">
        <v>0.84325462944558205</v>
      </c>
      <c r="C450" s="126">
        <f t="shared" ref="C450:C500" si="58">IF(B450&lt;$N$1, ($A$7/0.2)*($O$1*SQRT(B450)+$P$1*B450+$Q$1*(B450^2)+$R$1*(B450^3)), ($A$7/0.2)*($S$1+$T$1*(1-B450)+$U$1*((1-B450)^2)+$V$1*((1-B450)^3)))</f>
        <v>1.4436078251007928E-2</v>
      </c>
      <c r="D450" s="126">
        <f t="shared" ref="D450:D500" si="59" xml:space="preserve"> IF(B450&lt;$A$8, ($A$10/6)*((B450^3)-3*$A$8*(B450^2)+($A$8^2)*(3-$A$8)*B450), (($A$10*($A$8^3))/6)*(1-B450))</f>
        <v>5.0460041550593826E-3</v>
      </c>
      <c r="E450" s="126">
        <f t="shared" ref="E450:E500" si="60">IF(B450&lt;$A$8, ($A$10/6)*(3*(B450^2)-6*$A$8*B450+($A$8^2)*(3-$A$8)), -($A$10*($A$8^3))/6)</f>
        <v>-3.2192364834836E-2</v>
      </c>
      <c r="F450" s="126">
        <f t="shared" ref="F450:F500" si="61" xml:space="preserve"> ATAN(E450)</f>
        <v>-3.2181250909990897E-2</v>
      </c>
      <c r="G450" s="126">
        <f t="shared" ref="G450:G500" si="62">B450-C450*SIN(F450)</f>
        <v>0.84371912031857366</v>
      </c>
      <c r="H450" s="126">
        <f t="shared" ref="H450:H500" si="63">D450+C450*COS(F450)</f>
        <v>1.9474607812313666E-2</v>
      </c>
      <c r="I450" s="126">
        <f t="shared" ref="I450:I500" si="64">B450+C450*SIN(F450)</f>
        <v>0.84279013857259044</v>
      </c>
      <c r="J450" s="126">
        <f t="shared" ref="J450:J500" si="65">D450-C450*COS(F450)</f>
        <v>-9.3825995021948987E-3</v>
      </c>
      <c r="M450" s="5"/>
      <c r="Y450">
        <f>IF($Z$1, D450, -0.2)</f>
        <v>-0.2</v>
      </c>
    </row>
    <row r="451" spans="2:25" x14ac:dyDescent="0.3">
      <c r="B451" s="126">
        <v>0.84636437845324164</v>
      </c>
      <c r="C451" s="126">
        <f t="shared" si="58"/>
        <v>1.4180955487276256E-2</v>
      </c>
      <c r="D451" s="126">
        <f t="shared" si="59"/>
        <v>4.9458939804600359E-3</v>
      </c>
      <c r="E451" s="126">
        <f t="shared" si="60"/>
        <v>-3.2192364834836E-2</v>
      </c>
      <c r="F451" s="126">
        <f t="shared" si="61"/>
        <v>-3.2181250909990897E-2</v>
      </c>
      <c r="G451" s="126">
        <f t="shared" si="62"/>
        <v>0.84682066057360761</v>
      </c>
      <c r="H451" s="126">
        <f t="shared" si="63"/>
        <v>1.9119506969346986E-2</v>
      </c>
      <c r="I451" s="126">
        <f t="shared" si="64"/>
        <v>0.84590809633287567</v>
      </c>
      <c r="J451" s="126">
        <f t="shared" si="65"/>
        <v>-9.2277190084269142E-3</v>
      </c>
      <c r="M451" s="5"/>
      <c r="Y451">
        <f>IF($Z$1, D451, -0.2)</f>
        <v>-0.2</v>
      </c>
    </row>
    <row r="452" spans="2:25" x14ac:dyDescent="0.3">
      <c r="B452" s="126">
        <v>0.84947564986598656</v>
      </c>
      <c r="C452" s="126">
        <f t="shared" si="58"/>
        <v>1.3925071722636699E-2</v>
      </c>
      <c r="D452" s="126">
        <f t="shared" si="59"/>
        <v>4.8457347960407559E-3</v>
      </c>
      <c r="E452" s="126">
        <f t="shared" si="60"/>
        <v>-3.2192364834836E-2</v>
      </c>
      <c r="F452" s="126">
        <f t="shared" si="61"/>
        <v>-3.2181250909990897E-2</v>
      </c>
      <c r="G452" s="126">
        <f t="shared" si="62"/>
        <v>0.84992369874799278</v>
      </c>
      <c r="H452" s="126">
        <f t="shared" si="63"/>
        <v>1.8763596509677273E-2</v>
      </c>
      <c r="I452" s="126">
        <f t="shared" si="64"/>
        <v>0.84902760098398034</v>
      </c>
      <c r="J452" s="126">
        <f t="shared" si="65"/>
        <v>-9.0721269175957631E-3</v>
      </c>
      <c r="M452" s="5"/>
      <c r="Y452">
        <f>IF($Z$1, D452, -0.2)</f>
        <v>-0.2</v>
      </c>
    </row>
    <row r="453" spans="2:25" x14ac:dyDescent="0.3">
      <c r="B453" s="126">
        <v>0.85258841285362663</v>
      </c>
      <c r="C453" s="126">
        <f t="shared" si="58"/>
        <v>1.3668434289793604E-2</v>
      </c>
      <c r="D453" s="126">
        <f t="shared" si="59"/>
        <v>4.7455275942982723E-3</v>
      </c>
      <c r="E453" s="126">
        <f t="shared" si="60"/>
        <v>-3.2192364834836E-2</v>
      </c>
      <c r="F453" s="126">
        <f t="shared" si="61"/>
        <v>-3.2181250909990897E-2</v>
      </c>
      <c r="G453" s="126">
        <f t="shared" si="62"/>
        <v>0.85302820424747361</v>
      </c>
      <c r="H453" s="126">
        <f t="shared" si="63"/>
        <v>1.840688475470894E-2</v>
      </c>
      <c r="I453" s="126">
        <f t="shared" si="64"/>
        <v>0.85214862145977965</v>
      </c>
      <c r="J453" s="126">
        <f t="shared" si="65"/>
        <v>-8.9158295661123932E-3</v>
      </c>
      <c r="M453" s="5"/>
      <c r="Y453">
        <f>IF($Z$1, D453, -0.2)</f>
        <v>-0.2</v>
      </c>
    </row>
    <row r="454" spans="2:25" x14ac:dyDescent="0.3">
      <c r="B454" s="126">
        <v>0.85570263657119128</v>
      </c>
      <c r="C454" s="126">
        <f t="shared" si="58"/>
        <v>1.3411050563692179E-2</v>
      </c>
      <c r="D454" s="126">
        <f t="shared" si="59"/>
        <v>4.6452733682051323E-3</v>
      </c>
      <c r="E454" s="126">
        <f t="shared" si="60"/>
        <v>-3.2192364834836E-2</v>
      </c>
      <c r="F454" s="126">
        <f t="shared" si="61"/>
        <v>-3.2181250909990897E-2</v>
      </c>
      <c r="G454" s="126">
        <f t="shared" si="62"/>
        <v>0.85613414646437358</v>
      </c>
      <c r="H454" s="126">
        <f t="shared" si="63"/>
        <v>1.8049380068541194E-2</v>
      </c>
      <c r="I454" s="126">
        <f t="shared" si="64"/>
        <v>0.85527112667800897</v>
      </c>
      <c r="J454" s="126">
        <f t="shared" si="65"/>
        <v>-8.758833332130931E-3</v>
      </c>
      <c r="M454" s="5"/>
      <c r="Y454">
        <f>IF($Z$1, D454, -0.2)</f>
        <v>-0.2</v>
      </c>
    </row>
    <row r="455" spans="2:25" x14ac:dyDescent="0.3">
      <c r="B455" s="126">
        <v>0.85881829015923528</v>
      </c>
      <c r="C455" s="126">
        <f t="shared" si="58"/>
        <v>1.3152927960989514E-2</v>
      </c>
      <c r="D455" s="126">
        <f t="shared" si="59"/>
        <v>4.5449731111998539E-3</v>
      </c>
      <c r="E455" s="126">
        <f t="shared" si="60"/>
        <v>-3.2192364834836E-2</v>
      </c>
      <c r="F455" s="126">
        <f t="shared" si="61"/>
        <v>-3.2181250909990897E-2</v>
      </c>
      <c r="G455" s="126">
        <f t="shared" si="62"/>
        <v>0.85924149477788359</v>
      </c>
      <c r="H455" s="126">
        <f t="shared" si="63"/>
        <v>1.7691090857429516E-2</v>
      </c>
      <c r="I455" s="126">
        <f t="shared" si="64"/>
        <v>0.85839508554058697</v>
      </c>
      <c r="J455" s="126">
        <f t="shared" si="65"/>
        <v>-8.6011446350298098E-3</v>
      </c>
      <c r="M455" s="5"/>
      <c r="Y455">
        <f>IF($Z$1, D455, -0.2)</f>
        <v>-0.2</v>
      </c>
    </row>
    <row r="456" spans="2:25" x14ac:dyDescent="0.3">
      <c r="B456" s="126">
        <v>0.86193534274414518</v>
      </c>
      <c r="C456" s="126">
        <f t="shared" si="58"/>
        <v>1.2894073939522578E-2</v>
      </c>
      <c r="D456" s="126">
        <f t="shared" si="59"/>
        <v>4.4446278171770652E-3</v>
      </c>
      <c r="E456" s="126">
        <f t="shared" si="60"/>
        <v>-3.2192364834836E-2</v>
      </c>
      <c r="F456" s="126">
        <f t="shared" si="61"/>
        <v>-3.2181250909990897E-2</v>
      </c>
      <c r="G456" s="126">
        <f t="shared" si="62"/>
        <v>0.86235021855435134</v>
      </c>
      <c r="H456" s="126">
        <f t="shared" si="63"/>
        <v>1.7332025569244049E-2</v>
      </c>
      <c r="I456" s="126">
        <f t="shared" si="64"/>
        <v>0.86152046693393902</v>
      </c>
      <c r="J456" s="126">
        <f t="shared" si="65"/>
        <v>-8.4427699348899165E-3</v>
      </c>
      <c r="M456" s="5"/>
      <c r="Y456">
        <f>IF($Z$1, D456, -0.2)</f>
        <v>-0.2</v>
      </c>
    </row>
    <row r="457" spans="2:25" x14ac:dyDescent="0.3">
      <c r="B457" s="126">
        <v>0.86505376343844365</v>
      </c>
      <c r="C457" s="126">
        <f t="shared" si="58"/>
        <v>1.2634495997773538E-2</v>
      </c>
      <c r="D457" s="126">
        <f t="shared" si="59"/>
        <v>4.3442384804777065E-3</v>
      </c>
      <c r="E457" s="126">
        <f t="shared" si="60"/>
        <v>-3.2192364834836E-2</v>
      </c>
      <c r="F457" s="126">
        <f t="shared" si="61"/>
        <v>-3.2181250909990897E-2</v>
      </c>
      <c r="G457" s="126">
        <f t="shared" si="62"/>
        <v>0.8654602871475684</v>
      </c>
      <c r="H457" s="126">
        <f t="shared" si="63"/>
        <v>1.6972192692925384E-2</v>
      </c>
      <c r="I457" s="126">
        <f t="shared" si="64"/>
        <v>0.86464723972931889</v>
      </c>
      <c r="J457" s="126">
        <f t="shared" si="65"/>
        <v>-8.2837157319699713E-3</v>
      </c>
      <c r="M457" s="5"/>
      <c r="Y457">
        <f>IF($Z$1, D457, -0.2)</f>
        <v>-0.2</v>
      </c>
    </row>
    <row r="458" spans="2:25" x14ac:dyDescent="0.3">
      <c r="B458" s="126">
        <v>0.86817352134109738</v>
      </c>
      <c r="C458" s="126">
        <f t="shared" si="58"/>
        <v>1.2374201674331859E-2</v>
      </c>
      <c r="D458" s="126">
        <f t="shared" si="59"/>
        <v>4.2438060958791156E-3</v>
      </c>
      <c r="E458" s="126">
        <f t="shared" si="60"/>
        <v>-3.2192364834836E-2</v>
      </c>
      <c r="F458" s="126">
        <f t="shared" si="61"/>
        <v>-3.2181250909990897E-2</v>
      </c>
      <c r="G458" s="126">
        <f t="shared" si="62"/>
        <v>0.86857166989906065</v>
      </c>
      <c r="H458" s="126">
        <f t="shared" si="63"/>
        <v>1.6611600757937064E-2</v>
      </c>
      <c r="I458" s="126">
        <f t="shared" si="64"/>
        <v>0.8677753727831341</v>
      </c>
      <c r="J458" s="126">
        <f t="shared" si="65"/>
        <v>-8.1239885661788351E-3</v>
      </c>
      <c r="M458" s="5"/>
      <c r="Y458">
        <f>IF($Z$1, D458, -0.2)</f>
        <v>-0.2</v>
      </c>
    </row>
    <row r="459" spans="2:25" x14ac:dyDescent="0.3">
      <c r="B459" s="126">
        <v>0.87129458553782158</v>
      </c>
      <c r="C459" s="126">
        <f t="shared" si="58"/>
        <v>1.2113198547353932E-2</v>
      </c>
      <c r="D459" s="126">
        <f t="shared" si="59"/>
        <v>4.1433316585852255E-3</v>
      </c>
      <c r="E459" s="126">
        <f t="shared" si="60"/>
        <v>-3.2192364834836E-2</v>
      </c>
      <c r="F459" s="126">
        <f t="shared" si="61"/>
        <v>-3.2181250909990897E-2</v>
      </c>
      <c r="G459" s="126">
        <f t="shared" si="62"/>
        <v>0.87168433613837604</v>
      </c>
      <c r="H459" s="126">
        <f t="shared" si="63"/>
        <v>1.6250258333715659E-2</v>
      </c>
      <c r="I459" s="126">
        <f t="shared" si="64"/>
        <v>0.87090483493726711</v>
      </c>
      <c r="J459" s="126">
        <f t="shared" si="65"/>
        <v>-7.96359501654521E-3</v>
      </c>
      <c r="M459" s="5"/>
      <c r="Y459">
        <f>IF($Z$1, D459, -0.2)</f>
        <v>-0.2</v>
      </c>
    </row>
    <row r="460" spans="2:25" x14ac:dyDescent="0.3">
      <c r="B460" s="126">
        <v>0.87441692510138791</v>
      </c>
      <c r="C460" s="126">
        <f t="shared" si="58"/>
        <v>1.1851494234019605E-2</v>
      </c>
      <c r="D460" s="126">
        <f t="shared" si="59"/>
        <v>4.0428161642166553E-3</v>
      </c>
      <c r="E460" s="126">
        <f t="shared" si="60"/>
        <v>-3.2192364834836E-2</v>
      </c>
      <c r="F460" s="126">
        <f t="shared" si="61"/>
        <v>-3.2181250909990897E-2</v>
      </c>
      <c r="G460" s="126">
        <f t="shared" si="62"/>
        <v>0.87479825518337395</v>
      </c>
      <c r="H460" s="126">
        <f t="shared" si="63"/>
        <v>1.5888174029117675E-2</v>
      </c>
      <c r="I460" s="126">
        <f t="shared" si="64"/>
        <v>0.87403559501940187</v>
      </c>
      <c r="J460" s="126">
        <f t="shared" si="65"/>
        <v>-7.8025417006843643E-3</v>
      </c>
      <c r="M460" s="5"/>
      <c r="Y460">
        <f>IF($Z$1, D460, -0.2)</f>
        <v>-0.2</v>
      </c>
    </row>
    <row r="461" spans="2:25" x14ac:dyDescent="0.3">
      <c r="B461" s="126">
        <v>0.87754050909192971</v>
      </c>
      <c r="C461" s="126">
        <f t="shared" si="58"/>
        <v>1.1589096389986278E-2</v>
      </c>
      <c r="D461" s="126">
        <f t="shared" si="59"/>
        <v>3.9422606088008808E-3</v>
      </c>
      <c r="E461" s="126">
        <f t="shared" si="60"/>
        <v>-3.2192364834836E-2</v>
      </c>
      <c r="F461" s="126">
        <f t="shared" si="61"/>
        <v>-3.2181250909990897E-2</v>
      </c>
      <c r="G461" s="126">
        <f t="shared" si="62"/>
        <v>0.87791339634051413</v>
      </c>
      <c r="H461" s="126">
        <f t="shared" si="63"/>
        <v>1.55253564918641E-2</v>
      </c>
      <c r="I461" s="126">
        <f t="shared" si="64"/>
        <v>0.87716762184334529</v>
      </c>
      <c r="J461" s="126">
        <f t="shared" si="65"/>
        <v>-7.6408352742623389E-3</v>
      </c>
      <c r="M461" s="5"/>
      <c r="Y461">
        <f>IF($Z$1, D461, -0.2)</f>
        <v>-0.2</v>
      </c>
    </row>
    <row r="462" spans="2:25" x14ac:dyDescent="0.3">
      <c r="B462" s="126">
        <v>0.88066530655724884</v>
      </c>
      <c r="C462" s="126">
        <f t="shared" si="58"/>
        <v>1.132601270884015E-2</v>
      </c>
      <c r="D462" s="126">
        <f t="shared" si="59"/>
        <v>3.8416659887623565E-3</v>
      </c>
      <c r="E462" s="126">
        <f t="shared" si="60"/>
        <v>-3.2192364834836E-2</v>
      </c>
      <c r="F462" s="126">
        <f t="shared" si="61"/>
        <v>-3.2181250909990897E-2</v>
      </c>
      <c r="G462" s="126">
        <f t="shared" si="62"/>
        <v>0.88102972890514486</v>
      </c>
      <c r="H462" s="126">
        <f t="shared" si="63"/>
        <v>1.5161814407982069E-2</v>
      </c>
      <c r="I462" s="126">
        <f t="shared" si="64"/>
        <v>0.88030088420935282</v>
      </c>
      <c r="J462" s="126">
        <f t="shared" si="65"/>
        <v>-7.4784824304573571E-3</v>
      </c>
      <c r="M462" s="5"/>
      <c r="Y462">
        <f>IF($Z$1, D462, -0.2)</f>
        <v>-0.2</v>
      </c>
    </row>
    <row r="463" spans="2:25" x14ac:dyDescent="0.3">
      <c r="B463" s="126">
        <v>0.88379128653312367</v>
      </c>
      <c r="C463" s="126">
        <f t="shared" si="58"/>
        <v>1.1062250921544768E-2</v>
      </c>
      <c r="D463" s="126">
        <f t="shared" si="59"/>
        <v>3.7410333009126025E-3</v>
      </c>
      <c r="E463" s="126">
        <f t="shared" si="60"/>
        <v>-3.2192364834836E-2</v>
      </c>
      <c r="F463" s="126">
        <f t="shared" si="61"/>
        <v>-3.2181250909990897E-2</v>
      </c>
      <c r="G463" s="126">
        <f t="shared" si="62"/>
        <v>0.88414722216179353</v>
      </c>
      <c r="H463" s="126">
        <f t="shared" si="63"/>
        <v>1.4797556501243776E-2</v>
      </c>
      <c r="I463" s="126">
        <f t="shared" si="64"/>
        <v>0.8834353509044538</v>
      </c>
      <c r="J463" s="126">
        <f t="shared" si="65"/>
        <v>-7.3154898994185697E-3</v>
      </c>
      <c r="M463" s="5"/>
      <c r="Y463">
        <f>IF($Z$1, D463, -0.2)</f>
        <v>-0.2</v>
      </c>
    </row>
    <row r="464" spans="2:25" x14ac:dyDescent="0.3">
      <c r="B464" s="126">
        <v>0.88691841804361304</v>
      </c>
      <c r="C464" s="126">
        <f t="shared" si="58"/>
        <v>1.0797818795887353E-2</v>
      </c>
      <c r="D464" s="126">
        <f t="shared" si="59"/>
        <v>3.6403635424404166E-3</v>
      </c>
      <c r="E464" s="126">
        <f t="shared" si="60"/>
        <v>-3.2192364834836E-2</v>
      </c>
      <c r="F464" s="126">
        <f t="shared" si="61"/>
        <v>-3.2181250909990897E-2</v>
      </c>
      <c r="G464" s="126">
        <f t="shared" si="62"/>
        <v>0.88726584538445308</v>
      </c>
      <c r="H464" s="126">
        <f t="shared" si="63"/>
        <v>1.4432591532603293E-2</v>
      </c>
      <c r="I464" s="126">
        <f t="shared" si="64"/>
        <v>0.88657099070277301</v>
      </c>
      <c r="J464" s="126">
        <f t="shared" si="65"/>
        <v>-7.1518644477224606E-3</v>
      </c>
      <c r="M464" s="5"/>
      <c r="Y464">
        <f>IF($Z$1, D464, -0.2)</f>
        <v>-0.2</v>
      </c>
    </row>
    <row r="465" spans="2:25" x14ac:dyDescent="0.3">
      <c r="B465" s="126">
        <v>0.89004667010136695</v>
      </c>
      <c r="C465" s="126">
        <f t="shared" si="58"/>
        <v>1.0532724135922048E-2</v>
      </c>
      <c r="D465" s="126">
        <f t="shared" si="59"/>
        <v>3.5396577109018763E-3</v>
      </c>
      <c r="E465" s="126">
        <f t="shared" si="60"/>
        <v>-3.2192364834836E-2</v>
      </c>
      <c r="F465" s="126">
        <f t="shared" si="61"/>
        <v>-3.2181250909990897E-2</v>
      </c>
      <c r="G465" s="126">
        <f t="shared" si="62"/>
        <v>0.89038556783687428</v>
      </c>
      <c r="H465" s="126">
        <f t="shared" si="63"/>
        <v>1.4066928299630126E-2</v>
      </c>
      <c r="I465" s="126">
        <f t="shared" si="64"/>
        <v>0.88970777236585963</v>
      </c>
      <c r="J465" s="126">
        <f t="shared" si="65"/>
        <v>-6.9876128778263739E-3</v>
      </c>
      <c r="M465" s="5"/>
      <c r="Y465">
        <f>IF($Z$1, D465, -0.2)</f>
        <v>-0.2</v>
      </c>
    </row>
    <row r="466" spans="2:25" x14ac:dyDescent="0.3">
      <c r="B466" s="126">
        <v>0.89317601170793026</v>
      </c>
      <c r="C466" s="126">
        <f t="shared" si="58"/>
        <v>1.0266974781411215E-2</v>
      </c>
      <c r="D466" s="126">
        <f t="shared" si="59"/>
        <v>3.4389168042105586E-3</v>
      </c>
      <c r="E466" s="126">
        <f t="shared" si="60"/>
        <v>-3.2192364834836E-2</v>
      </c>
      <c r="F466" s="126">
        <f t="shared" si="61"/>
        <v>-3.2181250909990897E-2</v>
      </c>
      <c r="G466" s="126">
        <f t="shared" si="62"/>
        <v>0.89350635877285189</v>
      </c>
      <c r="H466" s="126">
        <f t="shared" si="63"/>
        <v>1.3700575635941008E-2</v>
      </c>
      <c r="I466" s="126">
        <f t="shared" si="64"/>
        <v>0.89284566464300863</v>
      </c>
      <c r="J466" s="126">
        <f t="shared" si="65"/>
        <v>-6.8227420275198897E-3</v>
      </c>
      <c r="M466" s="5"/>
      <c r="Y466">
        <f>IF($Z$1, D466, -0.2)</f>
        <v>-0.2</v>
      </c>
    </row>
    <row r="467" spans="2:25" x14ac:dyDescent="0.3">
      <c r="B467" s="126">
        <v>0.89630641185405224</v>
      </c>
      <c r="C467" s="126">
        <f t="shared" si="58"/>
        <v>1.0000578607263928E-2</v>
      </c>
      <c r="D467" s="126">
        <f t="shared" si="59"/>
        <v>3.3381418206275756E-3</v>
      </c>
      <c r="E467" s="126">
        <f t="shared" si="60"/>
        <v>-3.2192364834836E-2</v>
      </c>
      <c r="F467" s="126">
        <f t="shared" si="61"/>
        <v>-3.2181250909990897E-2</v>
      </c>
      <c r="G467" s="126">
        <f t="shared" si="62"/>
        <v>0.89662818743651584</v>
      </c>
      <c r="H467" s="126">
        <f t="shared" si="63"/>
        <v>1.3333542410628714E-2</v>
      </c>
      <c r="I467" s="126">
        <f t="shared" si="64"/>
        <v>0.89598463627158864</v>
      </c>
      <c r="J467" s="126">
        <f t="shared" si="65"/>
        <v>-6.6572587693735624E-3</v>
      </c>
      <c r="M467" s="5"/>
      <c r="Y467">
        <f>IF($Z$1, D467, -0.2)</f>
        <v>-0.2</v>
      </c>
    </row>
    <row r="468" spans="2:25" x14ac:dyDescent="0.3">
      <c r="B468" s="126">
        <v>0.8994378395199919</v>
      </c>
      <c r="C468" s="126">
        <f t="shared" si="58"/>
        <v>9.7335435229723398E-3</v>
      </c>
      <c r="D468" s="126">
        <f t="shared" si="59"/>
        <v>3.2373337587517474E-3</v>
      </c>
      <c r="E468" s="126">
        <f t="shared" si="60"/>
        <v>-3.2192364834836E-2</v>
      </c>
      <c r="F468" s="126">
        <f t="shared" si="61"/>
        <v>-3.2181250909990897E-2</v>
      </c>
      <c r="G468" s="126">
        <f t="shared" si="62"/>
        <v>0.89975102306261856</v>
      </c>
      <c r="H468" s="126">
        <f t="shared" si="63"/>
        <v>1.2965837527688911E-2</v>
      </c>
      <c r="I468" s="126">
        <f t="shared" si="64"/>
        <v>0.89912465597736524</v>
      </c>
      <c r="J468" s="126">
        <f t="shared" si="65"/>
        <v>-6.491170010185416E-3</v>
      </c>
      <c r="M468" s="5"/>
      <c r="Y468">
        <f>IF($Z$1, D468, -0.2)</f>
        <v>-0.2</v>
      </c>
    </row>
    <row r="469" spans="2:25" x14ac:dyDescent="0.3">
      <c r="B469" s="126">
        <v>0.9025702636758276</v>
      </c>
      <c r="C469" s="126">
        <f t="shared" si="58"/>
        <v>9.4658774720454177E-3</v>
      </c>
      <c r="D469" s="126">
        <f t="shared" si="59"/>
        <v>3.1364936175096313E-3</v>
      </c>
      <c r="E469" s="126">
        <f t="shared" si="60"/>
        <v>-3.2192364834836E-2</v>
      </c>
      <c r="F469" s="126">
        <f t="shared" si="61"/>
        <v>-3.2181250909990897E-2</v>
      </c>
      <c r="G469" s="126">
        <f t="shared" si="62"/>
        <v>0.9028748348768264</v>
      </c>
      <c r="H469" s="126">
        <f t="shared" si="63"/>
        <v>1.2597469925444194E-2</v>
      </c>
      <c r="I469" s="126">
        <f t="shared" si="64"/>
        <v>0.9022656924748288</v>
      </c>
      <c r="J469" s="126">
        <f t="shared" si="65"/>
        <v>-6.3244826904249318E-3</v>
      </c>
      <c r="M469" s="5"/>
      <c r="Y469">
        <f>IF($Z$1, D469, -0.2)</f>
        <v>-0.2</v>
      </c>
    </row>
    <row r="470" spans="2:25" x14ac:dyDescent="0.3">
      <c r="B470" s="126">
        <v>0.90570365328176206</v>
      </c>
      <c r="C470" s="126">
        <f t="shared" si="58"/>
        <v>9.197588431440808E-3</v>
      </c>
      <c r="D470" s="126">
        <f t="shared" si="59"/>
        <v>3.0356223961457061E-3</v>
      </c>
      <c r="E470" s="126">
        <f t="shared" si="60"/>
        <v>-3.2192364834836E-2</v>
      </c>
      <c r="F470" s="126">
        <f t="shared" si="61"/>
        <v>-3.2181250909990897E-2</v>
      </c>
      <c r="G470" s="126">
        <f t="shared" si="62"/>
        <v>0.90599959209600611</v>
      </c>
      <c r="H470" s="126">
        <f t="shared" si="63"/>
        <v>1.2228448575966449E-2</v>
      </c>
      <c r="I470" s="126">
        <f t="shared" si="64"/>
        <v>0.905407714467518</v>
      </c>
      <c r="J470" s="126">
        <f t="shared" si="65"/>
        <v>-6.1572037836750363E-3</v>
      </c>
      <c r="M470" s="5"/>
      <c r="Y470">
        <f>IF($Z$1, D470, -0.2)</f>
        <v>-0.2</v>
      </c>
    </row>
    <row r="471" spans="2:25" x14ac:dyDescent="0.3">
      <c r="B471" s="126">
        <v>0.90883797728843208</v>
      </c>
      <c r="C471" s="126">
        <f t="shared" si="58"/>
        <v>8.9286844109940106E-3</v>
      </c>
      <c r="D471" s="126">
        <f t="shared" si="59"/>
        <v>2.9347210942124E-3</v>
      </c>
      <c r="E471" s="126">
        <f t="shared" si="60"/>
        <v>-3.2192364834836E-2</v>
      </c>
      <c r="F471" s="126">
        <f t="shared" si="61"/>
        <v>-3.2181250909990897E-2</v>
      </c>
      <c r="G471" s="126">
        <f t="shared" si="62"/>
        <v>0.90912526392851656</v>
      </c>
      <c r="H471" s="126">
        <f t="shared" si="63"/>
        <v>1.1858782484496334E-2</v>
      </c>
      <c r="I471" s="126">
        <f t="shared" si="64"/>
        <v>0.90855069064834759</v>
      </c>
      <c r="J471" s="126">
        <f t="shared" si="65"/>
        <v>-5.9893402960715346E-3</v>
      </c>
      <c r="M471" s="5"/>
      <c r="Y471">
        <f>IF($Z$1, D471, -0.2)</f>
        <v>-0.2</v>
      </c>
    </row>
    <row r="472" spans="2:25" x14ac:dyDescent="0.3">
      <c r="B472" s="126">
        <v>0.91197320463721476</v>
      </c>
      <c r="C472" s="126">
        <f t="shared" si="58"/>
        <v>8.6591734528457462E-3</v>
      </c>
      <c r="D472" s="126">
        <f t="shared" si="59"/>
        <v>2.8337907115602323E-3</v>
      </c>
      <c r="E472" s="126">
        <f t="shared" si="60"/>
        <v>-3.2192364834836E-2</v>
      </c>
      <c r="F472" s="126">
        <f t="shared" si="61"/>
        <v>-3.2181250909990897E-2</v>
      </c>
      <c r="G472" s="126">
        <f t="shared" si="62"/>
        <v>0.91225181957449641</v>
      </c>
      <c r="H472" s="126">
        <f t="shared" si="63"/>
        <v>1.1488480688861097E-2</v>
      </c>
      <c r="I472" s="126">
        <f t="shared" si="64"/>
        <v>0.91169458969993311</v>
      </c>
      <c r="J472" s="126">
        <f t="shared" si="65"/>
        <v>-5.8208992657406335E-3</v>
      </c>
      <c r="M472" s="5"/>
      <c r="Y472">
        <f>IF($Z$1, D472, -0.2)</f>
        <v>-0.2</v>
      </c>
    </row>
    <row r="473" spans="2:25" x14ac:dyDescent="0.3">
      <c r="B473" s="126">
        <v>0.91510930426053605</v>
      </c>
      <c r="C473" s="126">
        <f t="shared" si="58"/>
        <v>8.3890636308669563E-3</v>
      </c>
      <c r="D473" s="126">
        <f t="shared" si="59"/>
        <v>2.7328322483278814E-3</v>
      </c>
      <c r="E473" s="126">
        <f t="shared" si="60"/>
        <v>-3.2192364834836E-2</v>
      </c>
      <c r="F473" s="126">
        <f t="shared" si="61"/>
        <v>-3.2181250909990897E-2</v>
      </c>
      <c r="G473" s="126">
        <f t="shared" si="62"/>
        <v>0.91537922822615403</v>
      </c>
      <c r="H473" s="126">
        <f t="shared" si="63"/>
        <v>1.1117552258889938E-2</v>
      </c>
      <c r="I473" s="126">
        <f t="shared" si="64"/>
        <v>0.91483938029491807</v>
      </c>
      <c r="J473" s="126">
        <f t="shared" si="65"/>
        <v>-5.6518877622341746E-3</v>
      </c>
      <c r="M473" s="5"/>
      <c r="Y473">
        <f>IF($Z$1, D473, -0.2)</f>
        <v>-0.2</v>
      </c>
    </row>
    <row r="474" spans="2:25" x14ac:dyDescent="0.3">
      <c r="B474" s="126">
        <v>0.91824624508217823</v>
      </c>
      <c r="C474" s="126">
        <f t="shared" si="58"/>
        <v>8.1183630500818189E-3</v>
      </c>
      <c r="D474" s="126">
        <f t="shared" si="59"/>
        <v>2.6318467049322863E-3</v>
      </c>
      <c r="E474" s="126">
        <f t="shared" si="60"/>
        <v>-3.2192364834836E-2</v>
      </c>
      <c r="F474" s="126">
        <f t="shared" si="61"/>
        <v>-3.2181250909990897E-2</v>
      </c>
      <c r="G474" s="126">
        <f t="shared" si="62"/>
        <v>0.91850745906805642</v>
      </c>
      <c r="H474" s="126">
        <f t="shared" si="63"/>
        <v>1.0746006295827415E-2</v>
      </c>
      <c r="I474" s="126">
        <f t="shared" si="64"/>
        <v>0.91798503109630003</v>
      </c>
      <c r="J474" s="126">
        <f t="shared" si="65"/>
        <v>-5.4823128859628426E-3</v>
      </c>
      <c r="M474" s="5"/>
      <c r="Y474">
        <f>IF($Z$1, D474, -0.2)</f>
        <v>-0.2</v>
      </c>
    </row>
    <row r="475" spans="2:25" x14ac:dyDescent="0.3">
      <c r="B475" s="126">
        <v>0.92138399601758791</v>
      </c>
      <c r="C475" s="126">
        <f t="shared" si="58"/>
        <v>7.8470798460887354E-3</v>
      </c>
      <c r="D475" s="126">
        <f t="shared" si="59"/>
        <v>2.53083508205873E-3</v>
      </c>
      <c r="E475" s="126">
        <f t="shared" si="60"/>
        <v>-3.2192364834836E-2</v>
      </c>
      <c r="F475" s="126">
        <f t="shared" si="61"/>
        <v>-3.2181250909990897E-2</v>
      </c>
      <c r="G475" s="126">
        <f t="shared" si="62"/>
        <v>0.92163648127741882</v>
      </c>
      <c r="H475" s="126">
        <f t="shared" si="63"/>
        <v>1.0373851931744836E-2</v>
      </c>
      <c r="I475" s="126">
        <f t="shared" si="64"/>
        <v>0.92113151075775701</v>
      </c>
      <c r="J475" s="126">
        <f t="shared" si="65"/>
        <v>-5.3121817676273757E-3</v>
      </c>
      <c r="M475" s="5"/>
      <c r="Y475">
        <f>IF($Z$1, D475, -0.2)</f>
        <v>-0.2</v>
      </c>
    </row>
    <row r="476" spans="2:25" x14ac:dyDescent="0.3">
      <c r="B476" s="126">
        <v>0.92452252597418461</v>
      </c>
      <c r="C476" s="126">
        <f t="shared" si="58"/>
        <v>7.575222184479237E-3</v>
      </c>
      <c r="D476" s="126">
        <f t="shared" si="59"/>
        <v>2.429798380650907E-3</v>
      </c>
      <c r="E476" s="126">
        <f t="shared" si="60"/>
        <v>-3.2192364834836E-2</v>
      </c>
      <c r="F476" s="126">
        <f t="shared" si="61"/>
        <v>-3.2181250909990897E-2</v>
      </c>
      <c r="G476" s="126">
        <f t="shared" si="62"/>
        <v>0.92476626402439421</v>
      </c>
      <c r="H476" s="126">
        <f t="shared" si="63"/>
        <v>1.000109832894951E-2</v>
      </c>
      <c r="I476" s="126">
        <f t="shared" si="64"/>
        <v>0.924278787923975</v>
      </c>
      <c r="J476" s="126">
        <f t="shared" si="65"/>
        <v>-5.1415015676476951E-3</v>
      </c>
      <c r="M476" s="5"/>
      <c r="Y476">
        <f>IF($Z$1, D476, -0.2)</f>
        <v>-0.2</v>
      </c>
    </row>
    <row r="477" spans="2:25" x14ac:dyDescent="0.3">
      <c r="B477" s="126">
        <v>0.92766180385166763</v>
      </c>
      <c r="C477" s="126">
        <f t="shared" si="58"/>
        <v>7.3027982602551543E-3</v>
      </c>
      <c r="D477" s="126">
        <f t="shared" si="59"/>
        <v>2.3287376019010438E-3</v>
      </c>
      <c r="E477" s="126">
        <f t="shared" si="60"/>
        <v>-3.2192364834836E-2</v>
      </c>
      <c r="F477" s="126">
        <f t="shared" si="61"/>
        <v>-3.2181250909990897E-2</v>
      </c>
      <c r="G477" s="126">
        <f t="shared" si="62"/>
        <v>0.92789677647236191</v>
      </c>
      <c r="H477" s="126">
        <f t="shared" si="63"/>
        <v>9.6277546793923537E-3</v>
      </c>
      <c r="I477" s="126">
        <f t="shared" si="64"/>
        <v>0.92742683123097336</v>
      </c>
      <c r="J477" s="126">
        <f t="shared" si="65"/>
        <v>-4.9702794755902653E-3</v>
      </c>
      <c r="M477" s="5"/>
      <c r="Y477">
        <f>IF($Z$1, D477, -0.2)</f>
        <v>-0.2</v>
      </c>
    </row>
    <row r="478" spans="2:25" x14ac:dyDescent="0.3">
      <c r="B478" s="126">
        <v>0.93080179854232581</v>
      </c>
      <c r="C478" s="126">
        <f t="shared" si="58"/>
        <v>7.0298162972436528E-3</v>
      </c>
      <c r="D478" s="126">
        <f t="shared" si="59"/>
        <v>2.2276537472399279E-3</v>
      </c>
      <c r="E478" s="126">
        <f t="shared" si="60"/>
        <v>-3.2192364834836E-2</v>
      </c>
      <c r="F478" s="126">
        <f t="shared" si="61"/>
        <v>-3.2181250909990897E-2</v>
      </c>
      <c r="G478" s="126">
        <f t="shared" si="62"/>
        <v>0.93102798777821816</v>
      </c>
      <c r="H478" s="126">
        <f t="shared" si="63"/>
        <v>9.2538302040732542E-3</v>
      </c>
      <c r="I478" s="126">
        <f t="shared" si="64"/>
        <v>0.93057560930643346</v>
      </c>
      <c r="J478" s="126">
        <f t="shared" si="65"/>
        <v>-4.7985227095933992E-3</v>
      </c>
      <c r="M478" s="5"/>
      <c r="Y478">
        <f>IF($Z$1, D478, -0.2)</f>
        <v>-0.2</v>
      </c>
    </row>
    <row r="479" spans="2:25" x14ac:dyDescent="0.3">
      <c r="B479" s="126">
        <v>0.93394247893134419</v>
      </c>
      <c r="C479" s="126">
        <f t="shared" si="58"/>
        <v>6.7562845475107021E-3</v>
      </c>
      <c r="D479" s="126">
        <f t="shared" si="59"/>
        <v>2.1265478183270336E-3</v>
      </c>
      <c r="E479" s="126">
        <f t="shared" si="60"/>
        <v>-3.2192364834836E-2</v>
      </c>
      <c r="F479" s="126">
        <f t="shared" si="61"/>
        <v>-3.2181250909990897E-2</v>
      </c>
      <c r="G479" s="126">
        <f t="shared" si="62"/>
        <v>0.93415986709266385</v>
      </c>
      <c r="H479" s="126">
        <f t="shared" si="63"/>
        <v>8.8793341524449707E-3</v>
      </c>
      <c r="I479" s="126">
        <f t="shared" si="64"/>
        <v>0.93372509077002452</v>
      </c>
      <c r="J479" s="126">
        <f t="shared" si="65"/>
        <v>-4.6262385157909043E-3</v>
      </c>
      <c r="M479" s="5"/>
      <c r="Y479">
        <f>IF($Z$1, D479, -0.2)</f>
        <v>-0.2</v>
      </c>
    </row>
    <row r="480" spans="2:25" x14ac:dyDescent="0.3">
      <c r="B480" s="126">
        <v>0.9370838138971137</v>
      </c>
      <c r="C480" s="126">
        <f t="shared" si="58"/>
        <v>6.4822112907725387E-3</v>
      </c>
      <c r="D480" s="126">
        <f t="shared" si="59"/>
        <v>2.0254208170405541E-3</v>
      </c>
      <c r="E480" s="126">
        <f t="shared" si="60"/>
        <v>-3.2192364834836E-2</v>
      </c>
      <c r="F480" s="126">
        <f t="shared" si="61"/>
        <v>-3.2181250909990897E-2</v>
      </c>
      <c r="G480" s="126">
        <f t="shared" si="62"/>
        <v>0.9372923835604956</v>
      </c>
      <c r="H480" s="126">
        <f t="shared" si="63"/>
        <v>8.5042758018149291E-3</v>
      </c>
      <c r="I480" s="126">
        <f t="shared" si="64"/>
        <v>0.93687524423373181</v>
      </c>
      <c r="J480" s="126">
        <f t="shared" si="65"/>
        <v>-4.4534341677338208E-3</v>
      </c>
      <c r="M480" s="5"/>
      <c r="Y480">
        <f>IF($Z$1, D480, -0.2)</f>
        <v>-0.2</v>
      </c>
    </row>
    <row r="481" spans="2:25" x14ac:dyDescent="0.3">
      <c r="B481" s="126">
        <v>0.94022577231153837</v>
      </c>
      <c r="C481" s="126">
        <f t="shared" si="58"/>
        <v>6.2076048338056012E-3</v>
      </c>
      <c r="D481" s="126">
        <f t="shared" si="59"/>
        <v>1.9242737454675126E-3</v>
      </c>
      <c r="E481" s="126">
        <f t="shared" si="60"/>
        <v>-3.2192364834836E-2</v>
      </c>
      <c r="F481" s="126">
        <f t="shared" si="61"/>
        <v>-3.2181250909990897E-2</v>
      </c>
      <c r="G481" s="126">
        <f t="shared" si="62"/>
        <v>0.94042550632089372</v>
      </c>
      <c r="H481" s="126">
        <f t="shared" si="63"/>
        <v>8.1286644567455761E-3</v>
      </c>
      <c r="I481" s="126">
        <f t="shared" si="64"/>
        <v>0.94002603830218301</v>
      </c>
      <c r="J481" s="126">
        <f t="shared" si="65"/>
        <v>-4.2801169658105501E-3</v>
      </c>
      <c r="M481" s="5"/>
      <c r="Y481">
        <f>IF($Z$1, D481, -0.2)</f>
        <v>-0.2</v>
      </c>
    </row>
    <row r="482" spans="2:25" x14ac:dyDescent="0.3">
      <c r="B482" s="126">
        <v>0.94336832304034501</v>
      </c>
      <c r="C482" s="126">
        <f t="shared" si="58"/>
        <v>5.9324735098545828E-3</v>
      </c>
      <c r="D482" s="126">
        <f t="shared" si="59"/>
        <v>1.8231076058937894E-3</v>
      </c>
      <c r="E482" s="126">
        <f t="shared" si="60"/>
        <v>-3.2192364834836E-2</v>
      </c>
      <c r="F482" s="126">
        <f t="shared" si="61"/>
        <v>-3.2181250909990897E-2</v>
      </c>
      <c r="G482" s="126">
        <f t="shared" si="62"/>
        <v>0.94355920450771302</v>
      </c>
      <c r="H482" s="126">
        <f t="shared" si="63"/>
        <v>7.7525094484527666E-3</v>
      </c>
      <c r="I482" s="126">
        <f t="shared" si="64"/>
        <v>0.943177441572977</v>
      </c>
      <c r="J482" s="126">
        <f t="shared" si="65"/>
        <v>-4.1062942366651882E-3</v>
      </c>
      <c r="M482" s="5"/>
      <c r="Y482">
        <f>IF($Z$1, D482, -0.2)</f>
        <v>-0.2</v>
      </c>
    </row>
    <row r="483" spans="2:25" x14ac:dyDescent="0.3">
      <c r="B483" s="126">
        <v>0.94651143494339052</v>
      </c>
      <c r="C483" s="126">
        <f t="shared" si="58"/>
        <v>5.6568256780390978E-3</v>
      </c>
      <c r="D483" s="126">
        <f t="shared" si="59"/>
        <v>1.7219234007942329E-3</v>
      </c>
      <c r="E483" s="126">
        <f t="shared" si="60"/>
        <v>-3.2192364834836E-2</v>
      </c>
      <c r="F483" s="126">
        <f t="shared" si="61"/>
        <v>-3.2181250909990897E-2</v>
      </c>
      <c r="G483" s="126">
        <f t="shared" si="62"/>
        <v>0.94669344724977089</v>
      </c>
      <c r="H483" s="126">
        <f t="shared" si="63"/>
        <v>7.3758201342028476E-3</v>
      </c>
      <c r="I483" s="126">
        <f t="shared" si="64"/>
        <v>0.94632942263701014</v>
      </c>
      <c r="J483" s="126">
        <f t="shared" si="65"/>
        <v>-3.9319733326143814E-3</v>
      </c>
      <c r="M483" s="5"/>
      <c r="Y483">
        <f>IF($Z$1, D483, -0.2)</f>
        <v>-0.2</v>
      </c>
    </row>
    <row r="484" spans="2:25" x14ac:dyDescent="0.3">
      <c r="B484" s="126">
        <v>0.9496550768749713</v>
      </c>
      <c r="C484" s="126">
        <f t="shared" si="58"/>
        <v>5.3806697227585616E-3</v>
      </c>
      <c r="D484" s="126">
        <f t="shared" si="59"/>
        <v>1.6207221328226956E-3</v>
      </c>
      <c r="E484" s="126">
        <f t="shared" si="60"/>
        <v>-3.2192364834836E-2</v>
      </c>
      <c r="F484" s="126">
        <f t="shared" si="61"/>
        <v>-3.2181250909990897E-2</v>
      </c>
      <c r="G484" s="126">
        <f t="shared" si="62"/>
        <v>0.94982820367113763</v>
      </c>
      <c r="H484" s="126">
        <f t="shared" si="63"/>
        <v>6.9986058967078796E-3</v>
      </c>
      <c r="I484" s="126">
        <f t="shared" si="64"/>
        <v>0.94948195007880498</v>
      </c>
      <c r="J484" s="126">
        <f t="shared" si="65"/>
        <v>-3.7571616310624889E-3</v>
      </c>
      <c r="M484" s="5"/>
      <c r="Y484">
        <f>IF($Z$1, D484, -0.2)</f>
        <v>-0.2</v>
      </c>
    </row>
    <row r="485" spans="2:25" x14ac:dyDescent="0.3">
      <c r="B485" s="126">
        <v>0.95279921768413134</v>
      </c>
      <c r="C485" s="126">
        <f t="shared" si="58"/>
        <v>5.1040140530957158E-3</v>
      </c>
      <c r="D485" s="126">
        <f t="shared" si="59"/>
        <v>1.5195048048021191E-3</v>
      </c>
      <c r="E485" s="126">
        <f t="shared" si="60"/>
        <v>-3.2192364834836E-2</v>
      </c>
      <c r="F485" s="126">
        <f t="shared" si="61"/>
        <v>-3.2181250909990897E-2</v>
      </c>
      <c r="G485" s="126">
        <f t="shared" si="62"/>
        <v>0.95296344289142532</v>
      </c>
      <c r="H485" s="126">
        <f t="shared" si="63"/>
        <v>6.6208761435195638E-3</v>
      </c>
      <c r="I485" s="126">
        <f t="shared" si="64"/>
        <v>0.95263499247683736</v>
      </c>
      <c r="J485" s="126">
        <f t="shared" si="65"/>
        <v>-3.5818665339153251E-3</v>
      </c>
      <c r="M485" s="5"/>
      <c r="Y485">
        <f>IF($Z$1, D485, -0.2)</f>
        <v>-0.2</v>
      </c>
    </row>
    <row r="486" spans="2:25" x14ac:dyDescent="0.3">
      <c r="B486" s="126">
        <v>0.9559438262149712</v>
      </c>
      <c r="C486" s="126">
        <f t="shared" si="58"/>
        <v>4.8268671022185647E-3</v>
      </c>
      <c r="D486" s="126">
        <f t="shared" si="59"/>
        <v>1.4182724197145846E-3</v>
      </c>
      <c r="E486" s="126">
        <f t="shared" si="60"/>
        <v>-3.2192364834836E-2</v>
      </c>
      <c r="F486" s="126">
        <f t="shared" si="61"/>
        <v>-3.2181250909990897E-2</v>
      </c>
      <c r="G486" s="126">
        <f t="shared" si="62"/>
        <v>0.95609913402607749</v>
      </c>
      <c r="H486" s="126">
        <f t="shared" si="63"/>
        <v>6.242640306421526E-3</v>
      </c>
      <c r="I486" s="126">
        <f t="shared" si="64"/>
        <v>0.95578851840386492</v>
      </c>
      <c r="J486" s="126">
        <f t="shared" si="65"/>
        <v>-3.4060954669923572E-3</v>
      </c>
      <c r="M486" s="5"/>
      <c r="Y486">
        <f>IF($Z$1, D486, -0.2)</f>
        <v>-0.2</v>
      </c>
    </row>
    <row r="487" spans="2:25" x14ac:dyDescent="0.3">
      <c r="B487" s="126">
        <v>0.95908887130695719</v>
      </c>
      <c r="C487" s="126">
        <f t="shared" si="58"/>
        <v>4.5492373267809394E-3</v>
      </c>
      <c r="D487" s="126">
        <f t="shared" si="59"/>
        <v>1.3170259806913613E-3</v>
      </c>
      <c r="E487" s="126">
        <f t="shared" si="60"/>
        <v>-3.2192364834836E-2</v>
      </c>
      <c r="F487" s="126">
        <f t="shared" si="61"/>
        <v>-3.2181250909990897E-2</v>
      </c>
      <c r="G487" s="126">
        <f t="shared" si="62"/>
        <v>0.95923524618665934</v>
      </c>
      <c r="H487" s="126">
        <f t="shared" si="63"/>
        <v>5.8639078408202518E-3</v>
      </c>
      <c r="I487" s="126">
        <f t="shared" si="64"/>
        <v>0.95894249642725504</v>
      </c>
      <c r="J487" s="126">
        <f t="shared" si="65"/>
        <v>-3.2298558794375295E-3</v>
      </c>
      <c r="M487" s="5"/>
      <c r="Y487">
        <f>IF($Z$1, D487, -0.2)</f>
        <v>-0.2</v>
      </c>
    </row>
    <row r="488" spans="2:25" x14ac:dyDescent="0.3">
      <c r="B488" s="126">
        <v>0.96223432179522894</v>
      </c>
      <c r="C488" s="126">
        <f t="shared" si="58"/>
        <v>4.2711332063217929E-3</v>
      </c>
      <c r="D488" s="126">
        <f t="shared" si="59"/>
        <v>1.2157664910030042E-3</v>
      </c>
      <c r="E488" s="126">
        <f t="shared" si="60"/>
        <v>-3.2192364834836E-2</v>
      </c>
      <c r="F488" s="126">
        <f t="shared" si="61"/>
        <v>-3.2181250909990897E-2</v>
      </c>
      <c r="G488" s="126">
        <f t="shared" si="62"/>
        <v>0.96237174848114548</v>
      </c>
      <c r="H488" s="126">
        <f t="shared" si="63"/>
        <v>5.4846882251347838E-3</v>
      </c>
      <c r="I488" s="126">
        <f t="shared" si="64"/>
        <v>0.9620968951093124</v>
      </c>
      <c r="J488" s="126">
        <f t="shared" si="65"/>
        <v>-3.0531552431287759E-3</v>
      </c>
      <c r="M488" s="5"/>
      <c r="Y488">
        <f>IF($Z$1, D488, -0.2)</f>
        <v>-0.2</v>
      </c>
    </row>
    <row r="489" spans="2:25" x14ac:dyDescent="0.3">
      <c r="B489" s="126">
        <v>0.96538014651090975</v>
      </c>
      <c r="C489" s="126">
        <f t="shared" si="58"/>
        <v>3.9925632426629836E-3</v>
      </c>
      <c r="D489" s="126">
        <f t="shared" si="59"/>
        <v>1.1144949540493633E-3</v>
      </c>
      <c r="E489" s="126">
        <f t="shared" si="60"/>
        <v>-3.2192364834836E-2</v>
      </c>
      <c r="F489" s="126">
        <f t="shared" si="61"/>
        <v>-3.2181250909990897E-2</v>
      </c>
      <c r="G489" s="126">
        <f t="shared" si="62"/>
        <v>0.96550861001421118</v>
      </c>
      <c r="H489" s="126">
        <f t="shared" si="63"/>
        <v>5.104990960184826E-3</v>
      </c>
      <c r="I489" s="126">
        <f t="shared" si="64"/>
        <v>0.96525168300760833</v>
      </c>
      <c r="J489" s="126">
        <f t="shared" si="65"/>
        <v>-2.8760010520860989E-3</v>
      </c>
      <c r="M489" s="5"/>
      <c r="Y489">
        <f>IF($Z$1, D489, -0.2)</f>
        <v>-0.2</v>
      </c>
    </row>
    <row r="490" spans="2:25" x14ac:dyDescent="0.3">
      <c r="B490" s="126">
        <v>0.96852631428141356</v>
      </c>
      <c r="C490" s="126">
        <f t="shared" si="58"/>
        <v>3.7135359593060829E-3</v>
      </c>
      <c r="D490" s="126">
        <f t="shared" si="59"/>
        <v>1.0132123733497022E-3</v>
      </c>
      <c r="E490" s="126">
        <f t="shared" si="60"/>
        <v>-3.2192364834836E-2</v>
      </c>
      <c r="F490" s="126">
        <f t="shared" si="61"/>
        <v>-3.2181250909990897E-2</v>
      </c>
      <c r="G490" s="126">
        <f t="shared" si="62"/>
        <v>0.96864579988752009</v>
      </c>
      <c r="H490" s="126">
        <f t="shared" si="63"/>
        <v>4.7248255685779835E-3</v>
      </c>
      <c r="I490" s="126">
        <f t="shared" si="64"/>
        <v>0.96840682867530703</v>
      </c>
      <c r="J490" s="126">
        <f t="shared" si="65"/>
        <v>-2.6984008218785796E-3</v>
      </c>
      <c r="M490" s="5"/>
      <c r="Y490">
        <f>IF($Z$1, D490, -0.2)</f>
        <v>-0.2</v>
      </c>
    </row>
    <row r="491" spans="2:25" x14ac:dyDescent="0.3">
      <c r="B491" s="126">
        <v>0.9716727939307559</v>
      </c>
      <c r="C491" s="126">
        <f t="shared" si="58"/>
        <v>3.434059900827637E-3</v>
      </c>
      <c r="D491" s="126">
        <f t="shared" si="59"/>
        <v>9.1191975253268685E-4</v>
      </c>
      <c r="E491" s="126">
        <f t="shared" si="60"/>
        <v>-3.2192364834836E-2</v>
      </c>
      <c r="F491" s="126">
        <f t="shared" si="61"/>
        <v>-3.2181250909990897E-2</v>
      </c>
      <c r="G491" s="126">
        <f t="shared" si="62"/>
        <v>0.9717832872000155</v>
      </c>
      <c r="H491" s="126">
        <f t="shared" si="63"/>
        <v>4.3442015940953309E-3</v>
      </c>
      <c r="I491" s="126">
        <f t="shared" si="64"/>
        <v>0.97156230066149629</v>
      </c>
      <c r="J491" s="126">
        <f t="shared" si="65"/>
        <v>-2.520362089029957E-3</v>
      </c>
      <c r="M491" s="5"/>
      <c r="Y491">
        <f>IF($Z$1, D491, -0.2)</f>
        <v>-0.2</v>
      </c>
    </row>
    <row r="492" spans="2:25" x14ac:dyDescent="0.3">
      <c r="B492" s="126">
        <v>0.97481955427986144</v>
      </c>
      <c r="C492" s="126">
        <f t="shared" si="58"/>
        <v>3.1541436322735763E-3</v>
      </c>
      <c r="D492" s="126">
        <f t="shared" si="59"/>
        <v>8.1061809532648513E-4</v>
      </c>
      <c r="E492" s="126">
        <f t="shared" si="60"/>
        <v>-3.2192364834836E-2</v>
      </c>
      <c r="F492" s="126">
        <f t="shared" si="61"/>
        <v>-3.2181250909990897E-2</v>
      </c>
      <c r="G492" s="126">
        <f t="shared" si="62"/>
        <v>0.9749210410482082</v>
      </c>
      <c r="H492" s="126">
        <f t="shared" si="63"/>
        <v>3.963128601076225E-3</v>
      </c>
      <c r="I492" s="126">
        <f t="shared" si="64"/>
        <v>0.97471806751151469</v>
      </c>
      <c r="J492" s="126">
        <f t="shared" si="65"/>
        <v>-2.3418924104232552E-3</v>
      </c>
      <c r="M492" s="5"/>
      <c r="Y492">
        <f>IF($Z$1, D492, -0.2)</f>
        <v>-0.2</v>
      </c>
    </row>
    <row r="493" spans="2:25" x14ac:dyDescent="0.3">
      <c r="B493" s="126">
        <v>0.977966564146873</v>
      </c>
      <c r="C493" s="126">
        <f t="shared" si="58"/>
        <v>2.8737957385524095E-3</v>
      </c>
      <c r="D493" s="126">
        <f t="shared" si="59"/>
        <v>7.0930840554882051E-4</v>
      </c>
      <c r="E493" s="126">
        <f t="shared" si="60"/>
        <v>-3.2192364834836E-2</v>
      </c>
      <c r="F493" s="126">
        <f t="shared" si="61"/>
        <v>-3.2181250909990897E-2</v>
      </c>
      <c r="G493" s="126">
        <f t="shared" si="62"/>
        <v>0.97805903052646648</v>
      </c>
      <c r="H493" s="126">
        <f t="shared" si="63"/>
        <v>3.5816161738018767E-3</v>
      </c>
      <c r="I493" s="126">
        <f t="shared" si="64"/>
        <v>0.97787409776727952</v>
      </c>
      <c r="J493" s="126">
        <f t="shared" si="65"/>
        <v>-2.1629993627042361E-3</v>
      </c>
      <c r="M493" s="5"/>
      <c r="Y493">
        <f>IF($Z$1, D493, -0.2)</f>
        <v>-0.2</v>
      </c>
    </row>
    <row r="494" spans="2:25" x14ac:dyDescent="0.3">
      <c r="B494" s="126">
        <v>0.98111379234746177</v>
      </c>
      <c r="C494" s="126">
        <f t="shared" si="58"/>
        <v>2.5930248238272497E-3</v>
      </c>
      <c r="D494" s="126">
        <f t="shared" si="59"/>
        <v>6.0799168709698239E-4</v>
      </c>
      <c r="E494" s="126">
        <f t="shared" si="60"/>
        <v>-3.2192364834836E-2</v>
      </c>
      <c r="F494" s="126">
        <f t="shared" si="61"/>
        <v>-3.2181250909990897E-2</v>
      </c>
      <c r="G494" s="126">
        <f t="shared" si="62"/>
        <v>0.98119722472730664</v>
      </c>
      <c r="H494" s="126">
        <f t="shared" si="63"/>
        <v>3.199673915877695E-3</v>
      </c>
      <c r="I494" s="126">
        <f t="shared" si="64"/>
        <v>0.98103035996761689</v>
      </c>
      <c r="J494" s="126">
        <f t="shared" si="65"/>
        <v>-1.9836905416837297E-3</v>
      </c>
      <c r="M494" s="5"/>
      <c r="Y494">
        <f>IF($Z$1, D494, -0.2)</f>
        <v>-0.2</v>
      </c>
    </row>
    <row r="495" spans="2:25" x14ac:dyDescent="0.3">
      <c r="B495" s="126">
        <v>0.98426120769513414</v>
      </c>
      <c r="C495" s="126">
        <f t="shared" si="58"/>
        <v>2.3118395109071651E-3</v>
      </c>
      <c r="D495" s="126">
        <f t="shared" si="59"/>
        <v>5.0666894393795107E-4</v>
      </c>
      <c r="E495" s="126">
        <f t="shared" si="60"/>
        <v>-3.2192364834836E-2</v>
      </c>
      <c r="F495" s="126">
        <f t="shared" si="61"/>
        <v>-3.2181250909990897E-2</v>
      </c>
      <c r="G495" s="126">
        <f t="shared" si="62"/>
        <v>0.98433559274167981</v>
      </c>
      <c r="H495" s="126">
        <f t="shared" si="63"/>
        <v>2.8173114496150807E-3</v>
      </c>
      <c r="I495" s="126">
        <f t="shared" si="64"/>
        <v>0.98418682264858848</v>
      </c>
      <c r="J495" s="126">
        <f t="shared" si="65"/>
        <v>-1.8039735617391783E-3</v>
      </c>
      <c r="M495" s="5"/>
      <c r="Y495">
        <f>IF($Z$1, D495, -0.2)</f>
        <v>-0.2</v>
      </c>
    </row>
    <row r="496" spans="2:25" x14ac:dyDescent="0.3">
      <c r="B496" s="126">
        <v>0.98740877900154345</v>
      </c>
      <c r="C496" s="126">
        <f t="shared" si="58"/>
        <v>2.0302484406371502E-3</v>
      </c>
      <c r="D496" s="126">
        <f t="shared" si="59"/>
        <v>4.0534118009836139E-4</v>
      </c>
      <c r="E496" s="126">
        <f t="shared" si="60"/>
        <v>-3.2192364834836E-2</v>
      </c>
      <c r="F496" s="126">
        <f t="shared" si="61"/>
        <v>-3.2181250909990897E-2</v>
      </c>
      <c r="G496" s="126">
        <f t="shared" si="62"/>
        <v>0.98747410365926447</v>
      </c>
      <c r="H496" s="126">
        <f t="shared" si="63"/>
        <v>2.4345384154116781E-3</v>
      </c>
      <c r="I496" s="126">
        <f t="shared" si="64"/>
        <v>0.98734345434382242</v>
      </c>
      <c r="J496" s="126">
        <f t="shared" si="65"/>
        <v>-1.6238560552149556E-3</v>
      </c>
      <c r="M496" s="5"/>
      <c r="Y496">
        <f>IF($Z$1, D496, -0.2)</f>
        <v>-0.2</v>
      </c>
    </row>
    <row r="497" spans="2:25" x14ac:dyDescent="0.3">
      <c r="B497" s="126">
        <v>0.99055647507679634</v>
      </c>
      <c r="C497" s="126">
        <f t="shared" si="58"/>
        <v>1.7482602712876785E-3</v>
      </c>
      <c r="D497" s="126">
        <f t="shared" si="59"/>
        <v>3.0400939965463886E-4</v>
      </c>
      <c r="E497" s="126">
        <f t="shared" si="60"/>
        <v>-3.2192364834836E-2</v>
      </c>
      <c r="F497" s="126">
        <f t="shared" si="61"/>
        <v>-3.2181250909990897E-2</v>
      </c>
      <c r="G497" s="126">
        <f t="shared" si="62"/>
        <v>0.99061272656875332</v>
      </c>
      <c r="H497" s="126">
        <f t="shared" si="63"/>
        <v>2.0513644711313782E-3</v>
      </c>
      <c r="I497" s="126">
        <f t="shared" si="64"/>
        <v>0.99050022358483936</v>
      </c>
      <c r="J497" s="126">
        <f t="shared" si="65"/>
        <v>-1.4433456718221005E-3</v>
      </c>
      <c r="M497" s="5"/>
      <c r="Y497">
        <f>IF($Z$1, D497, -0.2)</f>
        <v>-0.2</v>
      </c>
    </row>
    <row r="498" spans="2:25" x14ac:dyDescent="0.3">
      <c r="B498" s="126">
        <v>0.99370426472976414</v>
      </c>
      <c r="C498" s="126">
        <f t="shared" si="58"/>
        <v>1.465883677942995E-3</v>
      </c>
      <c r="D498" s="126">
        <f t="shared" si="59"/>
        <v>2.0267460672297757E-4</v>
      </c>
      <c r="E498" s="126">
        <f t="shared" si="60"/>
        <v>-3.2192364834836E-2</v>
      </c>
      <c r="F498" s="126">
        <f t="shared" si="61"/>
        <v>-3.2181250909990897E-2</v>
      </c>
      <c r="G498" s="126">
        <f t="shared" si="62"/>
        <v>0.99375143055814441</v>
      </c>
      <c r="H498" s="126">
        <f t="shared" si="63"/>
        <v>1.6677992914829064E-3</v>
      </c>
      <c r="I498" s="126">
        <f t="shared" si="64"/>
        <v>0.99365709890138387</v>
      </c>
      <c r="J498" s="126">
        <f t="shared" si="65"/>
        <v>-1.2624500780369513E-3</v>
      </c>
      <c r="M498" s="5"/>
      <c r="Y498">
        <f>IF($Z$1, D498, -0.2)</f>
        <v>-0.2</v>
      </c>
    </row>
    <row r="499" spans="2:25" x14ac:dyDescent="0.3">
      <c r="B499" s="126">
        <v>0.99685211676839014</v>
      </c>
      <c r="C499" s="126">
        <f t="shared" si="58"/>
        <v>1.1831273518889789E-3</v>
      </c>
      <c r="D499" s="126">
        <f t="shared" si="59"/>
        <v>1.0133780544944718E-4</v>
      </c>
      <c r="E499" s="126">
        <f t="shared" si="60"/>
        <v>-3.2192364834836E-2</v>
      </c>
      <c r="F499" s="126">
        <f t="shared" si="61"/>
        <v>-3.2181250909990897E-2</v>
      </c>
      <c r="G499" s="126">
        <f t="shared" si="62"/>
        <v>0.99689018471502933</v>
      </c>
      <c r="H499" s="126">
        <f t="shared" si="63"/>
        <v>1.283852567398109E-3</v>
      </c>
      <c r="I499" s="126">
        <f t="shared" si="64"/>
        <v>0.99681404882175095</v>
      </c>
      <c r="J499" s="126">
        <f t="shared" si="65"/>
        <v>-1.0811769564992148E-3</v>
      </c>
      <c r="M499" s="5"/>
      <c r="Y499">
        <f>IF($Z$1, D499, -0.2)</f>
        <v>-0.2</v>
      </c>
    </row>
    <row r="500" spans="2:25" x14ac:dyDescent="0.3">
      <c r="B500" s="126">
        <v>0.99999999999999989</v>
      </c>
      <c r="C500" s="126">
        <f t="shared" si="58"/>
        <v>9.0000000000000984E-4</v>
      </c>
      <c r="D500" s="126">
        <f t="shared" si="59"/>
        <v>3.5740704656768152E-18</v>
      </c>
      <c r="E500" s="126">
        <f t="shared" si="60"/>
        <v>-3.2192364834836E-2</v>
      </c>
      <c r="F500" s="126">
        <f t="shared" si="61"/>
        <v>-3.2181250909990897E-2</v>
      </c>
      <c r="G500" s="126">
        <f t="shared" si="62"/>
        <v>1.0000289581268833</v>
      </c>
      <c r="H500" s="126">
        <f t="shared" si="63"/>
        <v>8.9953400540914786E-4</v>
      </c>
      <c r="I500" s="126">
        <f t="shared" si="64"/>
        <v>0.99997104187311636</v>
      </c>
      <c r="J500" s="126">
        <f t="shared" si="65"/>
        <v>-8.995340054091407E-4</v>
      </c>
      <c r="M500" s="5"/>
      <c r="Y500">
        <f>IF($Z$1, D500, -0.2)</f>
        <v>-0.2</v>
      </c>
    </row>
  </sheetData>
  <sheetProtection algorithmName="SHA-512" hashValue="86sCigUFbGdx1S7MqDc/J+EmEV5jhErqsz0U9zez6txCE4CW0xICTjg6omQTSp49JEfpjCPuggA5wfs1MGt9rg==" saltValue="pp9c4eH40oauwMCa/yQYSw==" spinCount="100000" sheet="1" objects="1" scenarios="1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9038-884D-4D04-A5FD-AE9176065A52}">
  <dimension ref="A1:I6"/>
  <sheetViews>
    <sheetView showGridLines="0" showRowColHeaders="0" zoomScale="130" zoomScaleNormal="130" workbookViewId="0"/>
  </sheetViews>
  <sheetFormatPr defaultRowHeight="14.4" x14ac:dyDescent="0.3"/>
  <cols>
    <col min="1" max="1" width="7.109375" customWidth="1"/>
    <col min="2" max="2" width="8.109375" customWidth="1"/>
    <col min="3" max="3" width="24.5546875" customWidth="1"/>
    <col min="4" max="4" width="22.88671875" customWidth="1"/>
    <col min="5" max="5" width="8.88671875" customWidth="1"/>
    <col min="6" max="6" width="22.77734375" customWidth="1"/>
    <col min="7" max="7" width="21.88671875" customWidth="1"/>
    <col min="8" max="8" width="8.21875" customWidth="1"/>
    <col min="9" max="9" width="24.88671875" customWidth="1"/>
  </cols>
  <sheetData>
    <row r="1" spans="1:9" ht="21.6" customHeight="1" x14ac:dyDescent="0.3">
      <c r="A1" s="131" t="s">
        <v>16</v>
      </c>
      <c r="B1" s="21"/>
      <c r="C1" s="26" t="s">
        <v>4</v>
      </c>
      <c r="D1" s="128">
        <f>Data4!A2*10^6+Data4!A3*10^5+Data4!A4*100+Data4!M1*10+Data4!N2</f>
        <v>2500972</v>
      </c>
      <c r="E1" s="55"/>
      <c r="F1" s="56"/>
      <c r="G1" s="56"/>
      <c r="I1" s="93"/>
    </row>
    <row r="2" spans="1:9" ht="27" customHeight="1" x14ac:dyDescent="0.3">
      <c r="B2" s="20"/>
      <c r="C2" s="73" t="s">
        <v>14</v>
      </c>
      <c r="D2" s="77">
        <f>Data4!A6</f>
        <v>0.02</v>
      </c>
      <c r="E2" s="20"/>
      <c r="F2" s="71" t="s">
        <v>0</v>
      </c>
      <c r="G2" s="58">
        <f>Data4!$AA$2</f>
        <v>1.2148118128124994E-2</v>
      </c>
      <c r="H2" s="91"/>
      <c r="I2" s="95"/>
    </row>
    <row r="3" spans="1:9" ht="27.6" customHeight="1" x14ac:dyDescent="0.3">
      <c r="B3" s="20"/>
      <c r="C3" s="74" t="s">
        <v>10</v>
      </c>
      <c r="D3" s="78">
        <f>Data4!A5</f>
        <v>0.25</v>
      </c>
      <c r="E3" s="21"/>
      <c r="F3" s="72" t="s">
        <v>13</v>
      </c>
      <c r="G3" s="144">
        <f>DEGREES(2*ATAN(Data4!$T$1*(D4/0.2)))</f>
        <v>10.285529115768483</v>
      </c>
      <c r="H3" s="92"/>
      <c r="I3" s="94"/>
    </row>
    <row r="4" spans="1:9" ht="26.4" customHeight="1" x14ac:dyDescent="0.3">
      <c r="B4" s="20"/>
      <c r="C4" s="75" t="s">
        <v>9</v>
      </c>
      <c r="D4" s="81">
        <f>Data4!A7</f>
        <v>0.09</v>
      </c>
      <c r="E4" s="121"/>
      <c r="F4" s="118"/>
      <c r="G4" s="118"/>
      <c r="H4" s="158"/>
    </row>
    <row r="5" spans="1:9" ht="26.4" customHeight="1" x14ac:dyDescent="0.3">
      <c r="B5" s="20"/>
      <c r="C5" s="75" t="s">
        <v>15</v>
      </c>
      <c r="D5" s="79">
        <f>Data4!M1</f>
        <v>7</v>
      </c>
      <c r="E5" s="121"/>
    </row>
    <row r="6" spans="1:9" ht="27" customHeight="1" x14ac:dyDescent="0.3">
      <c r="B6" s="20"/>
      <c r="C6" s="76" t="s">
        <v>7</v>
      </c>
      <c r="D6" s="80">
        <f>Data4!N1</f>
        <v>0.2</v>
      </c>
    </row>
  </sheetData>
  <sheetProtection algorithmName="SHA-512" hashValue="8+U5WOZlgNikscbsirl9HIbF2U3Chffcr0RXjutelZL249ks72qMMrpk4fzgpPxhbCdDrcELav/tTib6rZg0tg==" saltValue="IvoIl9Y2PmqmICoJ5o9t0A==" spinCount="100000" sheet="1" objects="1" scenarios="1"/>
  <hyperlinks>
    <hyperlink ref="A1" location="Start_page!A1" display="BACK" xr:uid="{B7FF6F5F-F6E4-463B-BB9E-E93F79F7CBB4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43" r:id="rId4" name="Spinner 11">
              <controlPr locked="0" defaultSize="0" autoPict="0">
                <anchor moveWithCells="1" sizeWithCells="1">
                  <from>
                    <xdr:col>4</xdr:col>
                    <xdr:colOff>0</xdr:colOff>
                    <xdr:row>5</xdr:row>
                    <xdr:rowOff>30480</xdr:rowOff>
                  </from>
                  <to>
                    <xdr:col>4</xdr:col>
                    <xdr:colOff>144780</xdr:colOff>
                    <xdr:row>5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4" r:id="rId5" name="Spinner 12">
              <controlPr locked="0" defaultSize="0" autoPict="0">
                <anchor moveWithCells="1" sizeWithCells="1">
                  <from>
                    <xdr:col>4</xdr:col>
                    <xdr:colOff>0</xdr:colOff>
                    <xdr:row>4</xdr:row>
                    <xdr:rowOff>15240</xdr:rowOff>
                  </from>
                  <to>
                    <xdr:col>4</xdr:col>
                    <xdr:colOff>144780</xdr:colOff>
                    <xdr:row>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5" r:id="rId6" name="Spinner 13">
              <controlPr locked="0" defaultSize="0" autoPict="0">
                <anchor moveWithCells="1" sizeWithCells="1">
                  <from>
                    <xdr:col>4</xdr:col>
                    <xdr:colOff>0</xdr:colOff>
                    <xdr:row>1</xdr:row>
                    <xdr:rowOff>7620</xdr:rowOff>
                  </from>
                  <to>
                    <xdr:col>4</xdr:col>
                    <xdr:colOff>144780</xdr:colOff>
                    <xdr:row>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6" r:id="rId7" name="Spinner 14">
              <controlPr locked="0" defaultSize="0" autoPict="0">
                <anchor moveWithCells="1" sizeWithCells="1">
                  <from>
                    <xdr:col>4</xdr:col>
                    <xdr:colOff>0</xdr:colOff>
                    <xdr:row>2</xdr:row>
                    <xdr:rowOff>15240</xdr:rowOff>
                  </from>
                  <to>
                    <xdr:col>4</xdr:col>
                    <xdr:colOff>144780</xdr:colOff>
                    <xdr:row>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7" r:id="rId8" name="Spinner 15">
              <controlPr locked="0" defaultSize="0" autoPict="0">
                <anchor moveWithCells="1" sizeWithCells="1">
                  <from>
                    <xdr:col>4</xdr:col>
                    <xdr:colOff>0</xdr:colOff>
                    <xdr:row>3</xdr:row>
                    <xdr:rowOff>15240</xdr:rowOff>
                  </from>
                  <to>
                    <xdr:col>4</xdr:col>
                    <xdr:colOff>144780</xdr:colOff>
                    <xdr:row>3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9" r:id="rId9" name="Check Box 17">
              <controlPr locked="0" defaultSize="0" autoFill="0" autoLine="0" autoPict="0">
                <anchor moveWithCells="1">
                  <from>
                    <xdr:col>8</xdr:col>
                    <xdr:colOff>129540</xdr:colOff>
                    <xdr:row>1</xdr:row>
                    <xdr:rowOff>15240</xdr:rowOff>
                  </from>
                  <to>
                    <xdr:col>8</xdr:col>
                    <xdr:colOff>1059180</xdr:colOff>
                    <xdr:row>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0" r:id="rId10" name="Check Box 18">
              <controlPr locked="0" defaultSize="0" autoFill="0" autoLine="0" autoPict="0">
                <anchor moveWithCells="1">
                  <from>
                    <xdr:col>8</xdr:col>
                    <xdr:colOff>129540</xdr:colOff>
                    <xdr:row>1</xdr:row>
                    <xdr:rowOff>320040</xdr:rowOff>
                  </from>
                  <to>
                    <xdr:col>8</xdr:col>
                    <xdr:colOff>1592580</xdr:colOff>
                    <xdr:row>2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6031-0AE5-472D-BAAD-7D922E74477A}">
  <dimension ref="A1:AD1000"/>
  <sheetViews>
    <sheetView zoomScale="70" zoomScaleNormal="70" workbookViewId="0">
      <selection activeCell="U18" sqref="U18"/>
    </sheetView>
  </sheetViews>
  <sheetFormatPr defaultRowHeight="14.4" x14ac:dyDescent="0.3"/>
  <cols>
    <col min="2" max="2" width="9" style="122" bestFit="1" customWidth="1"/>
    <col min="3" max="3" width="9.21875" style="126" bestFit="1" customWidth="1"/>
    <col min="4" max="4" width="8.88671875" style="126"/>
    <col min="5" max="7" width="9.44140625" style="126" bestFit="1" customWidth="1"/>
    <col min="8" max="9" width="8.88671875" style="126"/>
    <col min="10" max="10" width="9.44140625" style="126" bestFit="1" customWidth="1"/>
    <col min="11" max="11" width="8.88671875" style="126"/>
    <col min="12" max="13" width="9.21875" bestFit="1" customWidth="1"/>
    <col min="14" max="14" width="10.109375" customWidth="1"/>
    <col min="15" max="15" width="9.5546875" customWidth="1"/>
    <col min="16" max="16" width="10.21875" customWidth="1"/>
    <col min="17" max="17" width="10.5546875" customWidth="1"/>
    <col min="18" max="18" width="10.44140625" customWidth="1"/>
    <col min="19" max="19" width="10.33203125" customWidth="1"/>
    <col min="20" max="21" width="10.21875" customWidth="1"/>
    <col min="22" max="22" width="9.5546875" customWidth="1"/>
    <col min="23" max="23" width="9.88671875" customWidth="1"/>
    <col min="25" max="25" width="8.88671875" style="126"/>
    <col min="28" max="30" width="8.88671875" style="5"/>
  </cols>
  <sheetData>
    <row r="1" spans="1:30" x14ac:dyDescent="0.3">
      <c r="A1" s="40">
        <f>0.005*A4</f>
        <v>2.5000000000000001E-2</v>
      </c>
      <c r="B1" s="122" cm="1">
        <f t="array" ref="B1:B500">0.5*(1-COS((_xlfn.SEQUENCE(500,1,0,1)*PI())/(500-1)))</f>
        <v>0</v>
      </c>
      <c r="C1" s="122">
        <f t="shared" ref="C1:C64" si="0">IF($A$1=0, 0, IF(B1&lt;=$A$2, ($A$1/$A$2^2)*(2*$A$2*B1-B1^2), ($A$1/(1-$A$2)^2)*((1-2*$A$2)+2*$A$2*B1-B1^2)))</f>
        <v>0</v>
      </c>
      <c r="D1" s="126">
        <f t="shared" ref="D1:D64" si="1">IF(B1&lt;$N$1, ($A$3/0.2)*($O$1*SQRT(B1)+$P$1*B1+$Q$1*(B1^2)+$R$1*(B1^3)), ($A$3/0.2)*($S$1+$T$1*(1-B1)+$U$1*((1-B1)^2)+$V$1*((1-B1)^3)))</f>
        <v>0</v>
      </c>
      <c r="E1" s="122">
        <f t="shared" ref="E1:E64" si="2">IF($A$1=0, 0, IF(B1&lt;=$A$2, ($A$1/$A$2^2) *(2*$A$2-2*B1), ($A$1/(1-$A$2)^2)*(2*$A$2-2*B1)))</f>
        <v>0.1</v>
      </c>
      <c r="F1" s="122">
        <f t="shared" ref="F1:F64" si="3">IF($A$1=0, 0,  ATAN(E1))</f>
        <v>9.9668652491162038E-2</v>
      </c>
      <c r="G1" s="122">
        <f t="shared" ref="G1:G64" si="4">B1-D1*SIN(F1)</f>
        <v>0</v>
      </c>
      <c r="H1" s="122">
        <f t="shared" ref="H1:H64" si="5">C1+D1*COS(F1)</f>
        <v>0</v>
      </c>
      <c r="I1" s="122">
        <f t="shared" ref="I1:I64" si="6">B1+D1*SIN(F1)</f>
        <v>0</v>
      </c>
      <c r="J1" s="122">
        <f t="shared" ref="J1:J64" si="7">C1-D1*COS(F1)</f>
        <v>0</v>
      </c>
      <c r="K1" s="122">
        <f t="shared" ref="K1:K64" si="8">2*D1*COS(F1)</f>
        <v>0</v>
      </c>
      <c r="L1">
        <f>A4/10</f>
        <v>0.5</v>
      </c>
      <c r="M1" s="133">
        <v>4</v>
      </c>
      <c r="N1" s="29">
        <f>0.5</f>
        <v>0.5</v>
      </c>
      <c r="O1" s="28">
        <f>IF($M$1=9, 0.2969*SQRT(3),0.2969*(M1/6))</f>
        <v>0.19793333333333332</v>
      </c>
      <c r="P1" s="28">
        <f>(0.3/N1)-1.875*(O1/SQRT(N1))-0.1*(N1/W1)</f>
        <v>-4.7850008335714789E-2</v>
      </c>
      <c r="Q1" s="28">
        <f>-(0.3/(N1^2))+1.25*(O1/POWER(N1, 3/2))+(0.2/W1)</f>
        <v>-8.199988885713716E-3</v>
      </c>
      <c r="R1" s="28">
        <f>(0.1/N1^3)-0.375*(O1/POWER(N1, 5/2))-(0.1/(W1*N1))</f>
        <v>-0.11188000666857156</v>
      </c>
      <c r="S1" s="28">
        <v>2E-3</v>
      </c>
      <c r="T1" s="28">
        <f>IF(N1=0.2, 0.2, IF(N1=0.3, 0.234, IF(N1=0.4, 0.315, IF(N1=0.5, 0.465, 0.7))))</f>
        <v>0.46500000000000002</v>
      </c>
      <c r="U1" s="28">
        <f>(0.294-2*(1-N1)*T1)/((1-N1)^2)</f>
        <v>-0.68400000000000016</v>
      </c>
      <c r="V1" s="28">
        <f>(-0.196+(1-N1)*T1)/((1-N1)^3)</f>
        <v>0.29200000000000004</v>
      </c>
      <c r="W1" s="27">
        <f>0.2*((1-N1)^2/(0.588-2*T1*(1-N1)))</f>
        <v>0.40650406504065062</v>
      </c>
      <c r="Y1" s="126">
        <f>IF($Z$1, C1, -0.2)</f>
        <v>-0.2</v>
      </c>
      <c r="Z1" s="19" t="b">
        <v>0</v>
      </c>
      <c r="AA1" s="126">
        <f>$F$1</f>
        <v>9.9668652491162038E-2</v>
      </c>
      <c r="AB1" s="5" cm="1">
        <f t="array" ref="AB1:AB50">_xlfn.SEQUENCE(50, 1, 0, (2*PI())/(50-1))</f>
        <v>0</v>
      </c>
      <c r="AC1" s="5">
        <f t="shared" ref="AC1:AC32" si="9">$AA$2*(COS($AA$1)+COS(AB1))</f>
        <v>7.9137787613627834E-3</v>
      </c>
      <c r="AD1" s="5">
        <f>IF($Z$2, $AA$2*(SIN($AA$1)+SIN(AB1)), -0.2)</f>
        <v>-0.2</v>
      </c>
    </row>
    <row r="2" spans="1:30" x14ac:dyDescent="0.3">
      <c r="A2" s="134">
        <f>0.5</f>
        <v>0.5</v>
      </c>
      <c r="B2" s="122">
        <v>9.9091688398611488E-6</v>
      </c>
      <c r="C2" s="122">
        <f t="shared" si="0"/>
        <v>9.9090706482340508E-7</v>
      </c>
      <c r="D2" s="126">
        <f t="shared" si="1"/>
        <v>2.8016858986205044E-4</v>
      </c>
      <c r="E2" s="122">
        <f t="shared" si="2"/>
        <v>9.9998018166232036E-2</v>
      </c>
      <c r="F2" s="122">
        <f t="shared" si="3"/>
        <v>9.9666690279125558E-2</v>
      </c>
      <c r="G2" s="122">
        <f t="shared" si="4"/>
        <v>-1.7968100782354441E-5</v>
      </c>
      <c r="H2" s="122">
        <f t="shared" si="5"/>
        <v>2.7976912820790363E-4</v>
      </c>
      <c r="I2" s="122">
        <f t="shared" si="6"/>
        <v>3.7786438462076739E-5</v>
      </c>
      <c r="J2" s="122">
        <f t="shared" si="7"/>
        <v>-2.7778731407825683E-4</v>
      </c>
      <c r="K2" s="122">
        <f t="shared" si="8"/>
        <v>5.5755644228616045E-4</v>
      </c>
      <c r="M2" s="27"/>
      <c r="N2" s="133"/>
      <c r="O2" s="27"/>
      <c r="P2" s="27"/>
      <c r="Q2" s="27"/>
      <c r="R2" s="27"/>
      <c r="S2" s="27"/>
      <c r="T2" s="27"/>
      <c r="U2" s="27"/>
      <c r="V2" s="27"/>
      <c r="W2" s="27"/>
      <c r="Y2" s="126">
        <f>IF($Z$1, C2, -0.2)</f>
        <v>-0.2</v>
      </c>
      <c r="Z2" s="19" t="b">
        <v>0</v>
      </c>
      <c r="AA2">
        <f>0.5*(0.2969*($M$1/6)*($A$3/0.2))^2</f>
        <v>3.9667324499999988E-3</v>
      </c>
      <c r="AB2" s="5">
        <v>0.12822827157509359</v>
      </c>
      <c r="AC2" s="5">
        <f t="shared" si="9"/>
        <v>7.8812119427814024E-3</v>
      </c>
      <c r="AD2" s="5">
        <f>IF($Z$2, $AA$2*(SIN($AA$1)+SIN(AB2)), -0.2)</f>
        <v>-0.2</v>
      </c>
    </row>
    <row r="3" spans="1:30" x14ac:dyDescent="0.3">
      <c r="A3">
        <f>A5/100</f>
        <v>0.09</v>
      </c>
      <c r="B3" s="122">
        <v>3.9636282592903083E-5</v>
      </c>
      <c r="C3" s="122">
        <f t="shared" si="0"/>
        <v>3.9634711558005299E-6</v>
      </c>
      <c r="D3" s="126">
        <f t="shared" si="1"/>
        <v>5.5990766631613151E-4</v>
      </c>
      <c r="E3" s="122">
        <f t="shared" si="2"/>
        <v>9.999207274348143E-2</v>
      </c>
      <c r="F3" s="122">
        <f t="shared" si="3"/>
        <v>9.96608037161716E-2</v>
      </c>
      <c r="G3" s="122">
        <f t="shared" si="4"/>
        <v>-1.6072239732426887E-5</v>
      </c>
      <c r="H3" s="122">
        <f t="shared" si="5"/>
        <v>5.6109285948485342E-4</v>
      </c>
      <c r="I3" s="122">
        <f t="shared" si="6"/>
        <v>9.5344804918233059E-5</v>
      </c>
      <c r="J3" s="122">
        <f t="shared" si="7"/>
        <v>-5.5316591717325238E-4</v>
      </c>
      <c r="K3" s="122">
        <f t="shared" si="8"/>
        <v>1.1142587766581058E-3</v>
      </c>
      <c r="Y3" s="126">
        <f>IF($Z$1, C3, -0.2)</f>
        <v>-0.2</v>
      </c>
      <c r="AB3" s="5">
        <v>0.25645654315018718</v>
      </c>
      <c r="AC3" s="5">
        <f t="shared" si="9"/>
        <v>7.784046233298007E-3</v>
      </c>
      <c r="AD3" s="5">
        <f>IF($Z$2, $AA$2*(SIN($AA$1)+SIN(AB3)), -0.2)</f>
        <v>-0.2</v>
      </c>
    </row>
    <row r="4" spans="1:30" x14ac:dyDescent="0.3">
      <c r="A4" s="19">
        <v>5</v>
      </c>
      <c r="B4" s="122">
        <v>8.9180162975155408E-5</v>
      </c>
      <c r="C4" s="122">
        <f t="shared" si="0"/>
        <v>8.9172209873687134E-6</v>
      </c>
      <c r="D4" s="126">
        <f t="shared" si="1"/>
        <v>8.3921446333329059E-4</v>
      </c>
      <c r="E4" s="122">
        <f t="shared" si="2"/>
        <v>9.9982163967404974E-2</v>
      </c>
      <c r="F4" s="122">
        <f t="shared" si="3"/>
        <v>9.9650993021765333E-2</v>
      </c>
      <c r="G4" s="122">
        <f t="shared" si="4"/>
        <v>5.6899493631851038E-6</v>
      </c>
      <c r="H4" s="122">
        <f t="shared" si="5"/>
        <v>8.4396829708919044E-4</v>
      </c>
      <c r="I4" s="122">
        <f t="shared" si="6"/>
        <v>1.7267037658712573E-4</v>
      </c>
      <c r="J4" s="122">
        <f t="shared" si="7"/>
        <v>-8.2613385511445304E-4</v>
      </c>
      <c r="K4" s="122">
        <f t="shared" si="8"/>
        <v>1.6701021522036435E-3</v>
      </c>
      <c r="Y4" s="126">
        <f>IF($Z$1, C4, -0.2)</f>
        <v>-0.2</v>
      </c>
      <c r="AB4" s="5">
        <v>0.38468481472528077</v>
      </c>
      <c r="AC4" s="5">
        <f t="shared" si="9"/>
        <v>7.6238770911760236E-3</v>
      </c>
      <c r="AD4" s="5">
        <f>IF($Z$2, $AA$2*(SIN($AA$1)+SIN(AB4)), -0.2)</f>
        <v>-0.2</v>
      </c>
    </row>
    <row r="5" spans="1:30" x14ac:dyDescent="0.3">
      <c r="A5" s="19">
        <v>9</v>
      </c>
      <c r="B5" s="122">
        <v>1.5853884623195924E-4</v>
      </c>
      <c r="C5" s="122">
        <f t="shared" si="0"/>
        <v>1.5851371166619471E-5</v>
      </c>
      <c r="D5" s="126">
        <f t="shared" si="1"/>
        <v>1.1180862230842543E-3</v>
      </c>
      <c r="E5" s="122">
        <f t="shared" si="2"/>
        <v>9.9968292230753611E-2</v>
      </c>
      <c r="F5" s="122">
        <f t="shared" si="3"/>
        <v>9.9637258561677752E-2</v>
      </c>
      <c r="G5" s="122">
        <f t="shared" si="4"/>
        <v>4.7320035823615261E-5</v>
      </c>
      <c r="H5" s="122">
        <f t="shared" si="5"/>
        <v>1.128392237140614E-3</v>
      </c>
      <c r="I5" s="122">
        <f t="shared" si="6"/>
        <v>2.6975765664030325E-4</v>
      </c>
      <c r="J5" s="122">
        <f t="shared" si="7"/>
        <v>-1.0966894948073751E-3</v>
      </c>
      <c r="K5" s="122">
        <f t="shared" si="8"/>
        <v>2.225081731947989E-3</v>
      </c>
      <c r="Y5" s="126">
        <f>IF($Z$1, C5, -0.2)</f>
        <v>-0.2</v>
      </c>
      <c r="AB5" s="5">
        <v>0.51291308630037435</v>
      </c>
      <c r="AC5" s="5">
        <f t="shared" si="9"/>
        <v>7.4033344893009809E-3</v>
      </c>
      <c r="AD5" s="5">
        <f>IF($Z$2, $AA$2*(SIN($AA$1)+SIN(AB5)), -0.2)</f>
        <v>-0.2</v>
      </c>
    </row>
    <row r="6" spans="1:30" x14ac:dyDescent="0.3">
      <c r="B6" s="122">
        <v>2.4770958321568282E-4</v>
      </c>
      <c r="C6" s="122">
        <f t="shared" si="0"/>
        <v>2.4764822317806593E-5</v>
      </c>
      <c r="D6" s="126">
        <f t="shared" si="1"/>
        <v>1.3965201958811072E-3</v>
      </c>
      <c r="E6" s="122">
        <f t="shared" si="2"/>
        <v>9.9950458083356869E-2</v>
      </c>
      <c r="F6" s="122">
        <f t="shared" si="3"/>
        <v>9.9619600847979217E-2</v>
      </c>
      <c r="G6" s="122">
        <f t="shared" si="4"/>
        <v>1.0881879185460698E-4</v>
      </c>
      <c r="H6" s="122">
        <f t="shared" si="5"/>
        <v>1.4143611685921123E-3</v>
      </c>
      <c r="I6" s="122">
        <f t="shared" si="6"/>
        <v>3.8660037457675868E-4</v>
      </c>
      <c r="J6" s="122">
        <f t="shared" si="7"/>
        <v>-1.3648315239564992E-3</v>
      </c>
      <c r="K6" s="122">
        <f t="shared" si="8"/>
        <v>2.7791926925486115E-3</v>
      </c>
      <c r="Y6" s="126">
        <f>IF($Z$1, C6, -0.2)</f>
        <v>-0.2</v>
      </c>
      <c r="AB6" s="5">
        <v>0.64114135787546789</v>
      </c>
      <c r="AC6" s="5">
        <f t="shared" si="9"/>
        <v>7.1260397310984377E-3</v>
      </c>
      <c r="AD6" s="5">
        <f>IF($Z$2, $AA$2*(SIN($AA$1)+SIN(AB6)), -0.2)</f>
        <v>-0.2</v>
      </c>
    </row>
    <row r="7" spans="1:30" x14ac:dyDescent="0.3">
      <c r="B7" s="122">
        <v>3.566888394948009E-4</v>
      </c>
      <c r="C7" s="122">
        <f t="shared" si="0"/>
        <v>3.5656161256658077E-5</v>
      </c>
      <c r="D7" s="126">
        <f t="shared" si="1"/>
        <v>1.6745136400857581E-3</v>
      </c>
      <c r="E7" s="122">
        <f t="shared" si="2"/>
        <v>9.9928662232101048E-2</v>
      </c>
      <c r="F7" s="122">
        <f t="shared" si="3"/>
        <v>9.9598020539030441E-2</v>
      </c>
      <c r="G7" s="122">
        <f t="shared" si="4"/>
        <v>1.9018619236547848E-4</v>
      </c>
      <c r="H7" s="122">
        <f t="shared" si="5"/>
        <v>1.7018712732191513E-3</v>
      </c>
      <c r="I7" s="122">
        <f t="shared" si="6"/>
        <v>5.2319148662412327E-4</v>
      </c>
      <c r="J7" s="122">
        <f t="shared" si="7"/>
        <v>-1.6305589507058353E-3</v>
      </c>
      <c r="K7" s="122">
        <f t="shared" si="8"/>
        <v>3.3324302239249866E-3</v>
      </c>
      <c r="Y7" s="126">
        <f>IF($Z$1, C7, -0.2)</f>
        <v>-0.2</v>
      </c>
      <c r="AB7" s="5">
        <v>0.76936962945056142</v>
      </c>
      <c r="AC7" s="5">
        <f t="shared" si="9"/>
        <v>6.7965459888318517E-3</v>
      </c>
      <c r="AD7" s="5">
        <f>IF($Z$2, $AA$2*(SIN($AA$1)+SIN(AB7)), -0.2)</f>
        <v>-0.2</v>
      </c>
    </row>
    <row r="8" spans="1:30" x14ac:dyDescent="0.3">
      <c r="B8" s="122">
        <v>4.8547229549383841E-4</v>
      </c>
      <c r="C8" s="122">
        <f t="shared" si="0"/>
        <v>4.8523661214414638E-5</v>
      </c>
      <c r="D8" s="126">
        <f t="shared" si="1"/>
        <v>1.9520638219833533E-3</v>
      </c>
      <c r="E8" s="122">
        <f t="shared" si="2"/>
        <v>9.9902905540901241E-2</v>
      </c>
      <c r="F8" s="122">
        <f t="shared" si="3"/>
        <v>9.9572518439470917E-2</v>
      </c>
      <c r="G8" s="122">
        <f t="shared" si="4"/>
        <v>2.9142141482186288E-4</v>
      </c>
      <c r="H8" s="122">
        <f t="shared" si="5"/>
        <v>1.9909184256242368E-3</v>
      </c>
      <c r="I8" s="122">
        <f t="shared" si="6"/>
        <v>6.7952317616581394E-4</v>
      </c>
      <c r="J8" s="122">
        <f t="shared" si="7"/>
        <v>-1.8938711031954074E-3</v>
      </c>
      <c r="K8" s="122">
        <f t="shared" si="8"/>
        <v>3.8847895288196439E-3</v>
      </c>
      <c r="Y8" s="126">
        <f>IF($Z$1, C8, -0.2)</f>
        <v>-0.2</v>
      </c>
      <c r="AB8" s="5">
        <v>0.89759790102565495</v>
      </c>
      <c r="AC8" s="5">
        <f t="shared" si="9"/>
        <v>6.4202635406398938E-3</v>
      </c>
      <c r="AD8" s="5">
        <f>IF($Z$2, $AA$2*(SIN($AA$1)+SIN(AB8)), -0.2)</f>
        <v>-0.2</v>
      </c>
    </row>
    <row r="9" spans="1:30" x14ac:dyDescent="0.3">
      <c r="B9" s="122">
        <v>6.3405484666484435E-4</v>
      </c>
      <c r="C9" s="122">
        <f t="shared" si="0"/>
        <v>6.3365282111626527E-5</v>
      </c>
      <c r="D9" s="126">
        <f t="shared" si="1"/>
        <v>2.229168015622771E-3</v>
      </c>
      <c r="E9" s="122">
        <f t="shared" si="2"/>
        <v>9.9873189030667039E-2</v>
      </c>
      <c r="F9" s="122">
        <f t="shared" si="3"/>
        <v>9.954309550020464E-2</v>
      </c>
      <c r="G9" s="122">
        <f t="shared" si="4"/>
        <v>4.125228391346768E-4</v>
      </c>
      <c r="H9" s="122">
        <f t="shared" si="5"/>
        <v>2.2814981932590215E-3</v>
      </c>
      <c r="I9" s="122">
        <f t="shared" si="6"/>
        <v>8.555868541950119E-4</v>
      </c>
      <c r="J9" s="122">
        <f t="shared" si="7"/>
        <v>-2.1547676290357681E-3</v>
      </c>
      <c r="K9" s="122">
        <f t="shared" si="8"/>
        <v>4.4362658222947896E-3</v>
      </c>
      <c r="Y9" s="126">
        <f>IF($Z$1, C9, -0.2)</f>
        <v>-0.2</v>
      </c>
      <c r="AB9" s="5">
        <v>1.0258261726007485</v>
      </c>
      <c r="AC9" s="5">
        <f t="shared" si="9"/>
        <v>6.0033709339189865E-3</v>
      </c>
      <c r="AD9" s="5">
        <f>IF($Z$2, $AA$2*(SIN($AA$1)+SIN(AB9)), -0.2)</f>
        <v>-0.2</v>
      </c>
    </row>
    <row r="10" spans="1:30" x14ac:dyDescent="0.3">
      <c r="B10" s="122">
        <v>8.0243060368939689E-4</v>
      </c>
      <c r="C10" s="122">
        <f t="shared" si="0"/>
        <v>8.0178670881565962E-5</v>
      </c>
      <c r="D10" s="126">
        <f t="shared" si="1"/>
        <v>2.5058235026219344E-3</v>
      </c>
      <c r="E10" s="122">
        <f t="shared" si="2"/>
        <v>9.9839513879262126E-2</v>
      </c>
      <c r="F10" s="122">
        <f t="shared" si="3"/>
        <v>9.9509752818383437E-2</v>
      </c>
      <c r="G10" s="122">
        <f t="shared" si="4"/>
        <v>5.5348804758454067E-4</v>
      </c>
      <c r="H10" s="122">
        <f t="shared" si="5"/>
        <v>2.5736058364615915E-3</v>
      </c>
      <c r="I10" s="122">
        <f t="shared" si="6"/>
        <v>1.0513731597942531E-3</v>
      </c>
      <c r="J10" s="122">
        <f t="shared" si="7"/>
        <v>-2.4132484946984599E-3</v>
      </c>
      <c r="K10" s="122">
        <f t="shared" si="8"/>
        <v>4.9868543311600514E-3</v>
      </c>
      <c r="Y10" s="126">
        <f>IF($Z$1, C10, -0.2)</f>
        <v>-0.2</v>
      </c>
      <c r="AB10" s="5">
        <v>1.154054444175842</v>
      </c>
      <c r="AC10" s="5">
        <f t="shared" si="9"/>
        <v>5.5527135337458695E-3</v>
      </c>
      <c r="AD10" s="5">
        <f>IF($Z$2, $AA$2*(SIN($AA$1)+SIN(AB10)), -0.2)</f>
        <v>-0.2</v>
      </c>
    </row>
    <row r="11" spans="1:30" x14ac:dyDescent="0.3">
      <c r="B11" s="122">
        <v>9.9059289271236084E-4</v>
      </c>
      <c r="C11" s="122">
        <f t="shared" si="0"/>
        <v>9.896116184332687E-5</v>
      </c>
      <c r="D11" s="126">
        <f t="shared" si="1"/>
        <v>2.7820275719407143E-3</v>
      </c>
      <c r="E11" s="122">
        <f t="shared" si="2"/>
        <v>9.9801881421457531E-2</v>
      </c>
      <c r="F11" s="122">
        <f t="shared" si="3"/>
        <v>9.9472491637387486E-2</v>
      </c>
      <c r="G11" s="122">
        <f t="shared" si="4"/>
        <v>7.1431382478258864E-4</v>
      </c>
      <c r="H11" s="122">
        <f t="shared" si="5"/>
        <v>2.8672363085117721E-3</v>
      </c>
      <c r="I11" s="122">
        <f t="shared" si="6"/>
        <v>1.266871960642133E-3</v>
      </c>
      <c r="J11" s="122">
        <f t="shared" si="7"/>
        <v>-2.6693139848251186E-3</v>
      </c>
      <c r="K11" s="122">
        <f t="shared" si="8"/>
        <v>5.5365502933368907E-3</v>
      </c>
      <c r="Y11" s="126">
        <f>IF($Z$1, C11, -0.2)</f>
        <v>-0.2</v>
      </c>
      <c r="AB11" s="5">
        <v>1.2822827157509356</v>
      </c>
      <c r="AC11" s="5">
        <f t="shared" si="9"/>
        <v>5.075691122172289E-3</v>
      </c>
      <c r="AD11" s="5">
        <f>IF($Z$2, $AA$2*(SIN($AA$1)+SIN(AB11)), -0.2)</f>
        <v>-0.2</v>
      </c>
    </row>
    <row r="12" spans="1:30" x14ac:dyDescent="0.3">
      <c r="B12" s="122">
        <v>1.1985342556060652E-3</v>
      </c>
      <c r="C12" s="122">
        <f t="shared" si="0"/>
        <v>1.197097771244204E-4</v>
      </c>
      <c r="D12" s="126">
        <f t="shared" si="1"/>
        <v>3.0577775196190295E-3</v>
      </c>
      <c r="E12" s="122">
        <f t="shared" si="2"/>
        <v>9.9760293148878798E-2</v>
      </c>
      <c r="F12" s="122">
        <f t="shared" si="3"/>
        <v>9.9431313346803399E-2</v>
      </c>
      <c r="G12" s="122">
        <f t="shared" si="4"/>
        <v>8.949961576665633E-4</v>
      </c>
      <c r="H12" s="122">
        <f t="shared" si="5"/>
        <v>3.1623842557019061E-3</v>
      </c>
      <c r="I12" s="122">
        <f t="shared" si="6"/>
        <v>1.5020723535455671E-3</v>
      </c>
      <c r="J12" s="122">
        <f t="shared" si="7"/>
        <v>-2.9229647014530655E-3</v>
      </c>
      <c r="K12" s="122">
        <f t="shared" si="8"/>
        <v>6.0853489571549716E-3</v>
      </c>
      <c r="Y12" s="126">
        <f>IF($Z$1, C12, -0.2)</f>
        <v>-0.2</v>
      </c>
      <c r="AB12" s="5">
        <v>1.4105109873260291</v>
      </c>
      <c r="AC12" s="5">
        <f t="shared" si="9"/>
        <v>4.5801363940082863E-3</v>
      </c>
      <c r="AD12" s="5">
        <f>IF($Z$2, $AA$2*(SIN($AA$1)+SIN(AB12)), -0.2)</f>
        <v>-0.2</v>
      </c>
    </row>
    <row r="13" spans="1:30" x14ac:dyDescent="0.3">
      <c r="B13" s="122">
        <v>1.4262464502662886E-3</v>
      </c>
      <c r="C13" s="122">
        <f t="shared" si="0"/>
        <v>1.4242122713293916E-4</v>
      </c>
      <c r="D13" s="126">
        <f t="shared" si="1"/>
        <v>3.3330706484826439E-3</v>
      </c>
      <c r="E13" s="122">
        <f t="shared" si="2"/>
        <v>9.9714750709946745E-2</v>
      </c>
      <c r="F13" s="122">
        <f t="shared" si="3"/>
        <v>9.9386219482399507E-2</v>
      </c>
      <c r="G13" s="122">
        <f t="shared" si="4"/>
        <v>1.0955302355333198E-3</v>
      </c>
      <c r="H13" s="122">
        <f t="shared" si="5"/>
        <v>3.4590440174256804E-3</v>
      </c>
      <c r="I13" s="122">
        <f t="shared" si="6"/>
        <v>1.7569626649992574E-3</v>
      </c>
      <c r="J13" s="122">
        <f t="shared" si="7"/>
        <v>-3.1742015631598024E-3</v>
      </c>
      <c r="K13" s="122">
        <f t="shared" si="8"/>
        <v>6.6332455805854828E-3</v>
      </c>
      <c r="Y13" s="126">
        <f>IF($Z$1, C13, -0.2)</f>
        <v>-0.2</v>
      </c>
      <c r="AB13" s="5">
        <v>1.5387392589011226</v>
      </c>
      <c r="AC13" s="5">
        <f t="shared" si="9"/>
        <v>4.0741863441899643E-3</v>
      </c>
      <c r="AD13" s="5">
        <f>IF($Z$2, $AA$2*(SIN($AA$1)+SIN(AB13)), -0.2)</f>
        <v>-0.2</v>
      </c>
    </row>
    <row r="14" spans="1:30" x14ac:dyDescent="0.3">
      <c r="B14" s="122">
        <v>1.6737204509387205E-3</v>
      </c>
      <c r="C14" s="122">
        <f t="shared" si="0"/>
        <v>1.6709191107908302E-4</v>
      </c>
      <c r="D14" s="126">
        <f t="shared" si="1"/>
        <v>3.6079042678148088E-3</v>
      </c>
      <c r="E14" s="122">
        <f t="shared" si="2"/>
        <v>9.9665255909812261E-2</v>
      </c>
      <c r="F14" s="122">
        <f t="shared" si="3"/>
        <v>9.9337211726098731E-2</v>
      </c>
      <c r="G14" s="122">
        <f t="shared" si="4"/>
        <v>1.315910450106574E-3</v>
      </c>
      <c r="H14" s="122">
        <f t="shared" si="5"/>
        <v>3.7572096262829748E-3</v>
      </c>
      <c r="I14" s="122">
        <f t="shared" si="6"/>
        <v>2.031530451770867E-3</v>
      </c>
      <c r="J14" s="122">
        <f t="shared" si="7"/>
        <v>-3.4230258041248085E-3</v>
      </c>
      <c r="K14" s="122">
        <f t="shared" si="8"/>
        <v>7.1802354304077833E-3</v>
      </c>
      <c r="Y14" s="126">
        <f>IF($Z$1, C14, -0.2)</f>
        <v>-0.2</v>
      </c>
      <c r="AB14" s="5">
        <v>1.6669675304762162</v>
      </c>
      <c r="AC14" s="5">
        <f t="shared" si="9"/>
        <v>3.5661486585475961E-3</v>
      </c>
      <c r="AD14" s="5">
        <f>IF($Z$2, $AA$2*(SIN($AA$1)+SIN(AB14)), -0.2)</f>
        <v>-0.2</v>
      </c>
    </row>
    <row r="15" spans="1:30" x14ac:dyDescent="0.3">
      <c r="B15" s="122">
        <v>1.9409464485766748E-3</v>
      </c>
      <c r="C15" s="122">
        <f t="shared" si="0"/>
        <v>1.9371791754604326E-4</v>
      </c>
      <c r="D15" s="126">
        <f t="shared" si="1"/>
        <v>3.8822756929951987E-3</v>
      </c>
      <c r="E15" s="122">
        <f t="shared" si="2"/>
        <v>9.9611810710284673E-2</v>
      </c>
      <c r="F15" s="122">
        <f t="shared" si="3"/>
        <v>9.9284291905948702E-2</v>
      </c>
      <c r="G15" s="122">
        <f t="shared" si="4"/>
        <v>1.5561303956405041E-3</v>
      </c>
      <c r="H15" s="122">
        <f t="shared" si="5"/>
        <v>4.0568748082021782E-3</v>
      </c>
      <c r="I15" s="122">
        <f t="shared" si="6"/>
        <v>2.3257625015128455E-3</v>
      </c>
      <c r="J15" s="122">
        <f t="shared" si="7"/>
        <v>-3.6694389731100913E-3</v>
      </c>
      <c r="K15" s="122">
        <f t="shared" si="8"/>
        <v>7.7263137813122695E-3</v>
      </c>
      <c r="Y15" s="126">
        <f>IF($Z$1, C15, -0.2)</f>
        <v>-0.2</v>
      </c>
      <c r="AB15" s="5">
        <v>1.7951958020513097</v>
      </c>
      <c r="AC15" s="5">
        <f t="shared" si="9"/>
        <v>3.0643653018339692E-3</v>
      </c>
      <c r="AD15" s="5">
        <f>IF($Z$2, $AA$2*(SIN($AA$1)+SIN(AB15)), -0.2)</f>
        <v>-0.2</v>
      </c>
    </row>
    <row r="16" spans="1:30" x14ac:dyDescent="0.3">
      <c r="B16" s="122">
        <v>2.2279138512300567E-3</v>
      </c>
      <c r="C16" s="122">
        <f t="shared" si="0"/>
        <v>2.2229502511015542E-4</v>
      </c>
      <c r="D16" s="126">
        <f t="shared" si="1"/>
        <v>4.1561822451061919E-3</v>
      </c>
      <c r="E16" s="122">
        <f t="shared" si="2"/>
        <v>9.9554417229754E-2</v>
      </c>
      <c r="F16" s="122">
        <f t="shared" si="3"/>
        <v>9.9227461996089214E-2</v>
      </c>
      <c r="G16" s="122">
        <f t="shared" si="4"/>
        <v>1.8161828690591768E-3</v>
      </c>
      <c r="H16" s="122">
        <f t="shared" si="5"/>
        <v>4.3580329825799648E-3</v>
      </c>
      <c r="I16" s="122">
        <f t="shared" si="6"/>
        <v>2.6396448334009368E-3</v>
      </c>
      <c r="J16" s="122">
        <f t="shared" si="7"/>
        <v>-3.9134429323596544E-3</v>
      </c>
      <c r="K16" s="122">
        <f t="shared" si="8"/>
        <v>8.2714759149396192E-3</v>
      </c>
      <c r="Y16" s="126">
        <f>IF($Z$1, C16, -0.2)</f>
        <v>-0.2</v>
      </c>
      <c r="AB16" s="5">
        <v>1.9234240736264032</v>
      </c>
      <c r="AC16" s="5">
        <f t="shared" si="9"/>
        <v>2.5770755428937719E-3</v>
      </c>
      <c r="AD16" s="5">
        <f>IF($Z$2, $AA$2*(SIN($AA$1)+SIN(AB16)), -0.2)</f>
        <v>-0.2</v>
      </c>
    </row>
    <row r="17" spans="2:30" x14ac:dyDescent="0.3">
      <c r="B17" s="122">
        <v>2.534611284465027E-3</v>
      </c>
      <c r="C17" s="122">
        <f t="shared" si="0"/>
        <v>2.5281870301016899E-4</v>
      </c>
      <c r="D17" s="126">
        <f t="shared" si="1"/>
        <v>4.4296212505062207E-3</v>
      </c>
      <c r="E17" s="122">
        <f t="shared" si="2"/>
        <v>9.9493077743107006E-2</v>
      </c>
      <c r="F17" s="122">
        <f t="shared" si="3"/>
        <v>9.9166724116717037E-2</v>
      </c>
      <c r="G17" s="122">
        <f t="shared" si="4"/>
        <v>2.0960598701312435E-3</v>
      </c>
      <c r="H17" s="122">
        <f t="shared" si="5"/>
        <v>4.6606772624381071E-3</v>
      </c>
      <c r="I17" s="122">
        <f t="shared" si="6"/>
        <v>2.9731626987988106E-3</v>
      </c>
      <c r="J17" s="122">
        <f t="shared" si="7"/>
        <v>-4.1550398564177684E-3</v>
      </c>
      <c r="K17" s="122">
        <f t="shared" si="8"/>
        <v>8.8157171188558755E-3</v>
      </c>
      <c r="Y17" s="126">
        <f>IF($Z$1, C17, -0.2)</f>
        <v>-0.2</v>
      </c>
      <c r="AB17" s="5">
        <v>2.051652345201497</v>
      </c>
      <c r="AC17" s="5">
        <f t="shared" si="9"/>
        <v>2.1122806660969482E-3</v>
      </c>
      <c r="AD17" s="5">
        <f>IF($Z$2, $AA$2*(SIN($AA$1)+SIN(AB17)), -0.2)</f>
        <v>-0.2</v>
      </c>
    </row>
    <row r="18" spans="2:30" x14ac:dyDescent="0.3">
      <c r="B18" s="122">
        <v>2.8610265918151412E-3</v>
      </c>
      <c r="C18" s="122">
        <f t="shared" si="0"/>
        <v>2.852841118656068E-4</v>
      </c>
      <c r="D18" s="126">
        <f t="shared" si="1"/>
        <v>4.7025900403711964E-3</v>
      </c>
      <c r="E18" s="122">
        <f t="shared" si="2"/>
        <v>9.9427794681636983E-2</v>
      </c>
      <c r="F18" s="122">
        <f t="shared" si="3"/>
        <v>9.9102080534048134E-2</v>
      </c>
      <c r="G18" s="122">
        <f t="shared" si="4"/>
        <v>2.3957526016805475E-3</v>
      </c>
      <c r="H18" s="122">
        <f t="shared" si="5"/>
        <v>4.9648004545983252E-3</v>
      </c>
      <c r="I18" s="122">
        <f t="shared" si="6"/>
        <v>3.3263005819497348E-3</v>
      </c>
      <c r="J18" s="122">
        <f t="shared" si="7"/>
        <v>-4.3942322308671124E-3</v>
      </c>
      <c r="K18" s="122">
        <f t="shared" si="8"/>
        <v>9.3590326854654377E-3</v>
      </c>
      <c r="Y18" s="126">
        <f>IF($Z$1, C18, -0.2)</f>
        <v>-0.2</v>
      </c>
      <c r="AB18" s="5">
        <v>2.1798806167765905</v>
      </c>
      <c r="AC18" s="5">
        <f t="shared" si="9"/>
        <v>1.6776125904705565E-3</v>
      </c>
      <c r="AD18" s="5">
        <f>IF($Z$2, $AA$2*(SIN($AA$1)+SIN(AB18)), -0.2)</f>
        <v>-0.2</v>
      </c>
    </row>
    <row r="19" spans="2:30" x14ac:dyDescent="0.3">
      <c r="B19" s="122">
        <v>3.2071468352626864E-3</v>
      </c>
      <c r="C19" s="122">
        <f t="shared" si="0"/>
        <v>3.1968610444397513E-4</v>
      </c>
      <c r="D19" s="126">
        <f t="shared" si="1"/>
        <v>4.975085950203185E-3</v>
      </c>
      <c r="E19" s="122">
        <f t="shared" si="2"/>
        <v>9.9358570632947465E-2</v>
      </c>
      <c r="F19" s="122">
        <f t="shared" si="3"/>
        <v>9.9033533660277104E-2</v>
      </c>
      <c r="G19" s="122">
        <f t="shared" si="4"/>
        <v>2.7152514698314135E-3</v>
      </c>
      <c r="H19" s="122">
        <f t="shared" si="5"/>
        <v>5.2703950598741323E-3</v>
      </c>
      <c r="I19" s="122">
        <f t="shared" si="6"/>
        <v>3.6990422006939593E-3</v>
      </c>
      <c r="J19" s="122">
        <f t="shared" si="7"/>
        <v>-4.6310228509861828E-3</v>
      </c>
      <c r="K19" s="122">
        <f t="shared" si="8"/>
        <v>9.9014179108603152E-3</v>
      </c>
      <c r="Y19" s="126">
        <f>IF($Z$1, C19, -0.2)</f>
        <v>-0.2</v>
      </c>
      <c r="AB19" s="5">
        <v>2.308108888351684</v>
      </c>
      <c r="AC19" s="5">
        <f t="shared" si="9"/>
        <v>1.2802085537993338E-3</v>
      </c>
      <c r="AD19" s="5">
        <f>IF($Z$2, $AA$2*(SIN($AA$1)+SIN(AB19)), -0.2)</f>
        <v>-0.2</v>
      </c>
    </row>
    <row r="20" spans="2:30" x14ac:dyDescent="0.3">
      <c r="B20" s="122">
        <v>3.5729582957520489E-3</v>
      </c>
      <c r="C20" s="122">
        <f t="shared" si="0"/>
        <v>3.5601922647688657E-4</v>
      </c>
      <c r="D20" s="126">
        <f t="shared" si="1"/>
        <v>5.2471063193082149E-3</v>
      </c>
      <c r="E20" s="122">
        <f t="shared" si="2"/>
        <v>9.928540834084959E-2</v>
      </c>
      <c r="F20" s="122">
        <f t="shared" si="3"/>
        <v>9.8961086053533945E-2</v>
      </c>
      <c r="G20" s="122">
        <f t="shared" si="4"/>
        <v>3.054546084290228E-3</v>
      </c>
      <c r="H20" s="122">
        <f t="shared" si="5"/>
        <v>5.5774532732816018E-3</v>
      </c>
      <c r="I20" s="122">
        <f t="shared" si="6"/>
        <v>4.0913705072138703E-3</v>
      </c>
      <c r="J20" s="122">
        <f t="shared" si="7"/>
        <v>-4.8654148203278284E-3</v>
      </c>
      <c r="K20" s="122">
        <f t="shared" si="8"/>
        <v>1.044286809360943E-2</v>
      </c>
      <c r="Y20" s="126">
        <f>IF($Z$1, C20, -0.2)</f>
        <v>-0.2</v>
      </c>
      <c r="AB20" s="5">
        <v>2.4363371599267776</v>
      </c>
      <c r="AC20" s="5">
        <f t="shared" si="9"/>
        <v>9.2659391937859362E-4</v>
      </c>
      <c r="AD20" s="5">
        <f>IF($Z$2, $AA$2*(SIN($AA$1)+SIN(AB20)), -0.2)</f>
        <v>-0.2</v>
      </c>
    </row>
    <row r="21" spans="2:30" x14ac:dyDescent="0.3">
      <c r="B21" s="122">
        <v>3.9584464737330016E-3</v>
      </c>
      <c r="C21" s="122">
        <f t="shared" si="0"/>
        <v>3.9427771752475923E-4</v>
      </c>
      <c r="D21" s="126">
        <f t="shared" si="1"/>
        <v>5.5186484902417761E-3</v>
      </c>
      <c r="E21" s="122">
        <f t="shared" si="2"/>
        <v>9.9208310705253405E-2</v>
      </c>
      <c r="F21" s="122">
        <f t="shared" si="3"/>
        <v>9.8884740417838179E-2</v>
      </c>
      <c r="G21" s="122">
        <f t="shared" si="4"/>
        <v>3.413625258661299E-3</v>
      </c>
      <c r="H21" s="122">
        <f t="shared" si="5"/>
        <v>5.8859669842673372E-3</v>
      </c>
      <c r="I21" s="122">
        <f t="shared" si="6"/>
        <v>4.5032676888047043E-3</v>
      </c>
      <c r="J21" s="122">
        <f t="shared" si="7"/>
        <v>-5.0974115492178184E-3</v>
      </c>
      <c r="K21" s="122">
        <f t="shared" si="8"/>
        <v>1.0983378533485156E-2</v>
      </c>
      <c r="Y21" s="126">
        <f>IF($Z$1, C21, -0.2)</f>
        <v>-0.2</v>
      </c>
      <c r="AB21" s="5">
        <v>2.5645654315018711</v>
      </c>
      <c r="AC21" s="5">
        <f t="shared" si="9"/>
        <v>6.2257502972932002E-4</v>
      </c>
      <c r="AD21" s="5">
        <f>IF($Z$2, $AA$2*(SIN($AA$1)+SIN(AB21)), -0.2)</f>
        <v>-0.2</v>
      </c>
    </row>
    <row r="22" spans="2:30" x14ac:dyDescent="0.3">
      <c r="B22" s="122">
        <v>4.3635960897359105E-3</v>
      </c>
      <c r="C22" s="122">
        <f t="shared" si="0"/>
        <v>4.344555118901552E-4</v>
      </c>
      <c r="D22" s="126">
        <f t="shared" si="1"/>
        <v>5.7897098082239449E-3</v>
      </c>
      <c r="E22" s="122">
        <f t="shared" si="2"/>
        <v>9.9127280782052823E-2</v>
      </c>
      <c r="F22" s="122">
        <f t="shared" si="3"/>
        <v>9.8804499603050044E-2</v>
      </c>
      <c r="G22" s="122">
        <f t="shared" si="4"/>
        <v>3.7924770107987567E-3</v>
      </c>
      <c r="H22" s="122">
        <f t="shared" si="5"/>
        <v>6.1959277769556157E-3</v>
      </c>
      <c r="I22" s="122">
        <f t="shared" si="6"/>
        <v>4.9347151686730643E-3</v>
      </c>
      <c r="J22" s="122">
        <f t="shared" si="7"/>
        <v>-5.3270167531753046E-3</v>
      </c>
      <c r="K22" s="122">
        <f t="shared" si="8"/>
        <v>1.152294453013092E-2</v>
      </c>
      <c r="Y22" s="126">
        <f>IF($Z$1, C22, -0.2)</f>
        <v>-0.2</v>
      </c>
      <c r="AB22" s="5">
        <v>2.6927937030769646</v>
      </c>
      <c r="AC22" s="5">
        <f t="shared" si="9"/>
        <v>3.7314386661449847E-4</v>
      </c>
      <c r="AD22" s="5">
        <f>IF($Z$2, $AA$2*(SIN($AA$1)+SIN(AB22)), -0.2)</f>
        <v>-0.2</v>
      </c>
    </row>
    <row r="23" spans="2:30" x14ac:dyDescent="0.3">
      <c r="B23" s="122">
        <v>4.7883910849768618E-3</v>
      </c>
      <c r="C23" s="122">
        <f t="shared" si="0"/>
        <v>4.7654623957941761E-4</v>
      </c>
      <c r="D23" s="126">
        <f t="shared" si="1"/>
        <v>6.0602876205230263E-3</v>
      </c>
      <c r="E23" s="122">
        <f t="shared" si="2"/>
        <v>9.9042321783004636E-2</v>
      </c>
      <c r="F23" s="122">
        <f t="shared" si="3"/>
        <v>9.8720366604819226E-2</v>
      </c>
      <c r="G23" s="122">
        <f t="shared" si="4"/>
        <v>4.191088563192562E-3</v>
      </c>
      <c r="H23" s="122">
        <f t="shared" si="5"/>
        <v>6.5073269304132967E-3</v>
      </c>
      <c r="I23" s="122">
        <f t="shared" si="6"/>
        <v>5.3856936067611617E-3</v>
      </c>
      <c r="J23" s="122">
        <f t="shared" si="7"/>
        <v>-5.5542344512544617E-3</v>
      </c>
      <c r="K23" s="122">
        <f t="shared" si="8"/>
        <v>1.2061561381667758E-2</v>
      </c>
      <c r="Y23" s="126">
        <f>IF($Z$1, C23, -0.2)</f>
        <v>-0.2</v>
      </c>
      <c r="AB23" s="5">
        <v>2.8210219746520582</v>
      </c>
      <c r="AC23" s="5">
        <f t="shared" si="9"/>
        <v>1.8239608283657777E-4</v>
      </c>
      <c r="AD23" s="5">
        <f>IF($Z$2, $AA$2*(SIN($AA$1)+SIN(AB23)), -0.2)</f>
        <v>-0.2</v>
      </c>
    </row>
    <row r="24" spans="2:30" x14ac:dyDescent="0.3">
      <c r="B24" s="122">
        <v>5.232814621994597E-3</v>
      </c>
      <c r="C24" s="122">
        <f t="shared" si="0"/>
        <v>5.2054322731264369E-4</v>
      </c>
      <c r="D24" s="126">
        <f t="shared" si="1"/>
        <v>6.3303792758093993E-3</v>
      </c>
      <c r="E24" s="122">
        <f t="shared" si="2"/>
        <v>9.8953437075601086E-2</v>
      </c>
      <c r="F24" s="122">
        <f t="shared" si="3"/>
        <v>9.8632344564530572E-2</v>
      </c>
      <c r="G24" s="122">
        <f t="shared" si="4"/>
        <v>4.6094463433902829E-3</v>
      </c>
      <c r="H24" s="122">
        <f t="shared" si="5"/>
        <v>6.8201554189342064E-3</v>
      </c>
      <c r="I24" s="122">
        <f t="shared" si="6"/>
        <v>5.8561829005989111E-3</v>
      </c>
      <c r="J24" s="122">
        <f t="shared" si="7"/>
        <v>-5.7790689643089192E-3</v>
      </c>
      <c r="K24" s="122">
        <f t="shared" si="8"/>
        <v>1.2599224383243126E-2</v>
      </c>
      <c r="Y24" s="126">
        <f>IF($Z$1, C24, -0.2)</f>
        <v>-0.2</v>
      </c>
      <c r="AB24" s="5">
        <v>2.9492502462271517</v>
      </c>
      <c r="AC24" s="5">
        <f t="shared" si="9"/>
        <v>5.3463751731683954E-5</v>
      </c>
      <c r="AD24" s="5">
        <f>IF($Z$2, $AA$2*(SIN($AA$1)+SIN(AB24)), -0.2)</f>
        <v>-0.2</v>
      </c>
    </row>
    <row r="25" spans="2:30" x14ac:dyDescent="0.3">
      <c r="B25" s="122">
        <v>5.6968490853176457E-3</v>
      </c>
      <c r="C25" s="122">
        <f t="shared" si="0"/>
        <v>5.6643949958167612E-4</v>
      </c>
      <c r="D25" s="126">
        <f t="shared" si="1"/>
        <v>6.5999821234789162E-3</v>
      </c>
      <c r="E25" s="122">
        <f t="shared" si="2"/>
        <v>9.8860630182936476E-2</v>
      </c>
      <c r="F25" s="122">
        <f t="shared" si="3"/>
        <v>9.8540436769247119E-2</v>
      </c>
      <c r="G25" s="122">
        <f t="shared" si="4"/>
        <v>5.0475359844530535E-3</v>
      </c>
      <c r="H25" s="122">
        <f t="shared" si="5"/>
        <v>7.1344039123420605E-3</v>
      </c>
      <c r="I25" s="122">
        <f t="shared" si="6"/>
        <v>6.3461621861822378E-3</v>
      </c>
      <c r="J25" s="122">
        <f t="shared" si="7"/>
        <v>-6.0015249131787091E-3</v>
      </c>
      <c r="K25" s="122">
        <f t="shared" si="8"/>
        <v>1.313592882552077E-2</v>
      </c>
      <c r="Y25" s="126">
        <f>IF($Z$1, C25, -0.2)</f>
        <v>-0.2</v>
      </c>
      <c r="AB25" s="5">
        <v>3.0774785178022452</v>
      </c>
      <c r="AC25" s="5">
        <f t="shared" si="9"/>
        <v>-1.1536061387967158E-5</v>
      </c>
      <c r="AD25" s="5">
        <f>IF($Z$2, $AA$2*(SIN($AA$1)+SIN(AB25)), -0.2)</f>
        <v>-0.2</v>
      </c>
    </row>
    <row r="26" spans="2:30" x14ac:dyDescent="0.3">
      <c r="B26" s="122">
        <v>6.1804760821626559E-3</v>
      </c>
      <c r="C26" s="122">
        <f t="shared" si="0"/>
        <v>6.1422777975604723E-4</v>
      </c>
      <c r="D26" s="126">
        <f t="shared" si="1"/>
        <v>6.8690935129468974E-3</v>
      </c>
      <c r="E26" s="122">
        <f t="shared" si="2"/>
        <v>9.8763904783567474E-2</v>
      </c>
      <c r="F26" s="122">
        <f t="shared" si="3"/>
        <v>9.8444646651650328E-2</v>
      </c>
      <c r="G26" s="122">
        <f t="shared" si="4"/>
        <v>5.5053423254465359E-3</v>
      </c>
      <c r="H26" s="122">
        <f t="shared" si="5"/>
        <v>7.4500627763129067E-3</v>
      </c>
      <c r="I26" s="122">
        <f t="shared" si="6"/>
        <v>6.8556098388787758E-3</v>
      </c>
      <c r="J26" s="122">
        <f t="shared" si="7"/>
        <v>-6.2216072168008122E-3</v>
      </c>
      <c r="K26" s="122">
        <f t="shared" si="8"/>
        <v>1.3671669993113719E-2</v>
      </c>
      <c r="Y26" s="126">
        <f>IF($Z$1, C26, -0.2)</f>
        <v>-0.2</v>
      </c>
      <c r="AB26" s="5">
        <v>3.2057067893773388</v>
      </c>
      <c r="AC26" s="5">
        <f t="shared" si="9"/>
        <v>-1.1536061387968039E-5</v>
      </c>
      <c r="AD26" s="5">
        <f>IF($Z$2, $AA$2*(SIN($AA$1)+SIN(AB26)), -0.2)</f>
        <v>-0.2</v>
      </c>
    </row>
    <row r="27" spans="2:30" x14ac:dyDescent="0.3">
      <c r="B27" s="122">
        <v>6.6836764431632556E-3</v>
      </c>
      <c r="C27" s="122">
        <f t="shared" si="0"/>
        <v>6.6390049123663604E-4</v>
      </c>
      <c r="D27" s="126">
        <f t="shared" si="1"/>
        <v>7.1377107929127565E-3</v>
      </c>
      <c r="E27" s="122">
        <f t="shared" si="2"/>
        <v>9.8663264711367354E-2</v>
      </c>
      <c r="F27" s="122">
        <f t="shared" si="3"/>
        <v>9.8344977789977472E-2</v>
      </c>
      <c r="G27" s="122">
        <f t="shared" si="4"/>
        <v>5.9828494119661723E-3</v>
      </c>
      <c r="H27" s="122">
        <f t="shared" si="5"/>
        <v>7.7671220727168824E-3</v>
      </c>
      <c r="I27" s="122">
        <f t="shared" si="6"/>
        <v>7.3845034743603389E-3</v>
      </c>
      <c r="J27" s="122">
        <f t="shared" si="7"/>
        <v>-6.4393210902436108E-3</v>
      </c>
      <c r="K27" s="122">
        <f t="shared" si="8"/>
        <v>1.4206443162960493E-2</v>
      </c>
      <c r="Y27" s="126">
        <f>IF($Z$1, C27, -0.2)</f>
        <v>-0.2</v>
      </c>
      <c r="AB27" s="5">
        <v>3.3339350609524323</v>
      </c>
      <c r="AC27" s="5">
        <f t="shared" si="9"/>
        <v>5.3463751731681751E-5</v>
      </c>
      <c r="AD27" s="5">
        <f>IF($Z$2, $AA$2*(SIN($AA$1)+SIN(AB27)), -0.2)</f>
        <v>-0.2</v>
      </c>
    </row>
    <row r="28" spans="2:30" x14ac:dyDescent="0.3">
      <c r="B28" s="122">
        <v>7.2064302231302224E-3</v>
      </c>
      <c r="C28" s="122">
        <f t="shared" si="0"/>
        <v>7.1544975865693778E-4</v>
      </c>
      <c r="D28" s="126">
        <f t="shared" si="1"/>
        <v>7.4058313105961485E-3</v>
      </c>
      <c r="E28" s="122">
        <f t="shared" si="2"/>
        <v>9.8558713955373967E-2</v>
      </c>
      <c r="F28" s="122">
        <f t="shared" si="3"/>
        <v>9.8241433907956116E-2</v>
      </c>
      <c r="G28" s="122">
        <f t="shared" si="4"/>
        <v>6.4800404966973467E-3</v>
      </c>
      <c r="H28" s="122">
        <f t="shared" si="5"/>
        <v>8.0855715599801037E-3</v>
      </c>
      <c r="I28" s="122">
        <f t="shared" si="6"/>
        <v>7.9328199495630972E-3</v>
      </c>
      <c r="J28" s="122">
        <f t="shared" si="7"/>
        <v>-6.6546720426662286E-3</v>
      </c>
      <c r="K28" s="122">
        <f t="shared" si="8"/>
        <v>1.4740243602646332E-2</v>
      </c>
      <c r="Y28" s="126">
        <f>IF($Z$1, C28, -0.2)</f>
        <v>-0.2</v>
      </c>
      <c r="AB28" s="5">
        <v>3.4621633325275258</v>
      </c>
      <c r="AC28" s="5">
        <f t="shared" si="9"/>
        <v>1.8239608283657468E-4</v>
      </c>
      <c r="AD28" s="5">
        <f>IF($Z$2, $AA$2*(SIN($AA$1)+SIN(AB28)), -0.2)</f>
        <v>-0.2</v>
      </c>
    </row>
    <row r="29" spans="2:30" x14ac:dyDescent="0.3">
      <c r="B29" s="122">
        <v>7.7487167018416292E-3</v>
      </c>
      <c r="C29" s="122">
        <f t="shared" si="0"/>
        <v>7.6886740913162301E-4</v>
      </c>
      <c r="D29" s="126">
        <f t="shared" si="1"/>
        <v>7.6734524109443765E-3</v>
      </c>
      <c r="E29" s="122">
        <f t="shared" si="2"/>
        <v>9.8450256659631682E-2</v>
      </c>
      <c r="F29" s="122">
        <f t="shared" si="3"/>
        <v>9.8134018874735815E-2</v>
      </c>
      <c r="G29" s="122">
        <f t="shared" si="4"/>
        <v>6.996898040009079E-3</v>
      </c>
      <c r="H29" s="122">
        <f t="shared" si="5"/>
        <v>8.4054006934661044E-3</v>
      </c>
      <c r="I29" s="122">
        <f t="shared" si="6"/>
        <v>8.5005353636741793E-3</v>
      </c>
      <c r="J29" s="122">
        <f t="shared" si="7"/>
        <v>-6.8676658752028583E-3</v>
      </c>
      <c r="K29" s="122">
        <f t="shared" si="8"/>
        <v>1.5273066568668963E-2</v>
      </c>
      <c r="Y29" s="126">
        <f>IF($Z$1, C29, -0.2)</f>
        <v>-0.2</v>
      </c>
      <c r="AB29" s="5">
        <v>3.5903916041026194</v>
      </c>
      <c r="AC29" s="5">
        <f t="shared" si="9"/>
        <v>3.7314386661449408E-4</v>
      </c>
      <c r="AD29" s="5">
        <f>IF($Z$2, $AA$2*(SIN($AA$1)+SIN(AB29)), -0.2)</f>
        <v>-0.2</v>
      </c>
    </row>
    <row r="30" spans="2:30" x14ac:dyDescent="0.3">
      <c r="B30" s="122">
        <v>8.3105143848644092E-3</v>
      </c>
      <c r="C30" s="122">
        <f t="shared" si="0"/>
        <v>8.2414497355233712E-4</v>
      </c>
      <c r="D30" s="126">
        <f t="shared" si="1"/>
        <v>7.9405714358123398E-3</v>
      </c>
      <c r="E30" s="122">
        <f t="shared" si="2"/>
        <v>9.8337897123027124E-2</v>
      </c>
      <c r="F30" s="122">
        <f t="shared" si="3"/>
        <v>9.8022736704816885E-2</v>
      </c>
      <c r="G30" s="122">
        <f t="shared" si="4"/>
        <v>7.5334037105825131E-3</v>
      </c>
      <c r="H30" s="122">
        <f t="shared" si="5"/>
        <v>8.7265986258780494E-3</v>
      </c>
      <c r="I30" s="122">
        <f t="shared" si="6"/>
        <v>9.0876250591463044E-3</v>
      </c>
      <c r="J30" s="122">
        <f t="shared" si="7"/>
        <v>-7.0783086787733753E-3</v>
      </c>
      <c r="K30" s="122">
        <f t="shared" si="8"/>
        <v>1.5804907304651426E-2</v>
      </c>
      <c r="Y30" s="126">
        <f>IF($Z$1, C30, -0.2)</f>
        <v>-0.2</v>
      </c>
      <c r="AB30" s="5">
        <v>3.7186198756777129</v>
      </c>
      <c r="AC30" s="5">
        <f t="shared" si="9"/>
        <v>6.2257502972931471E-4</v>
      </c>
      <c r="AD30" s="5">
        <f>IF($Z$2, $AA$2*(SIN($AA$1)+SIN(AB30)), -0.2)</f>
        <v>-0.2</v>
      </c>
    </row>
    <row r="31" spans="2:30" x14ac:dyDescent="0.3">
      <c r="B31" s="122">
        <v>8.8918010044061191E-3</v>
      </c>
      <c r="C31" s="122">
        <f t="shared" si="0"/>
        <v>8.812736879304161E-4</v>
      </c>
      <c r="D31" s="126">
        <f t="shared" si="1"/>
        <v>8.2071857231148584E-3</v>
      </c>
      <c r="E31" s="122">
        <f t="shared" si="2"/>
        <v>9.8221639799118785E-2</v>
      </c>
      <c r="F31" s="122">
        <f t="shared" si="3"/>
        <v>9.7907591557976167E-2</v>
      </c>
      <c r="G31" s="122">
        <f t="shared" si="4"/>
        <v>8.0895383860729118E-3</v>
      </c>
      <c r="H31" s="122">
        <f t="shared" si="5"/>
        <v>9.0491542076812717E-3</v>
      </c>
      <c r="I31" s="122">
        <f t="shared" si="6"/>
        <v>9.6940636227393264E-3</v>
      </c>
      <c r="J31" s="122">
        <f t="shared" si="7"/>
        <v>-7.2866068318204399E-3</v>
      </c>
      <c r="K31" s="122">
        <f t="shared" si="8"/>
        <v>1.6335761039501712E-2</v>
      </c>
      <c r="Y31" s="126">
        <f>IF($Z$1, C31, -0.2)</f>
        <v>-0.2</v>
      </c>
      <c r="AB31" s="5">
        <v>3.8468481472528064</v>
      </c>
      <c r="AC31" s="5">
        <f t="shared" si="9"/>
        <v>9.2659391937858701E-4</v>
      </c>
      <c r="AD31" s="5">
        <f>IF($Z$2, $AA$2*(SIN($AA$1)+SIN(AB31)), -0.2)</f>
        <v>-0.2</v>
      </c>
    </row>
    <row r="32" spans="2:30" x14ac:dyDescent="0.3">
      <c r="B32" s="122">
        <v>9.4925535201977329E-3</v>
      </c>
      <c r="C32" s="122">
        <f t="shared" si="0"/>
        <v>9.4024449478639156E-4</v>
      </c>
      <c r="D32" s="126">
        <f t="shared" si="1"/>
        <v>8.4732926059523199E-3</v>
      </c>
      <c r="E32" s="122">
        <f t="shared" si="2"/>
        <v>9.8101489295960465E-2</v>
      </c>
      <c r="F32" s="122">
        <f t="shared" si="3"/>
        <v>9.7788587739189969E-2</v>
      </c>
      <c r="G32" s="122">
        <f t="shared" si="4"/>
        <v>8.6652821538058325E-3</v>
      </c>
      <c r="H32" s="122">
        <f t="shared" si="5"/>
        <v>9.3730559875469365E-3</v>
      </c>
      <c r="I32" s="122">
        <f t="shared" si="6"/>
        <v>1.0319824886589633E-2</v>
      </c>
      <c r="J32" s="122">
        <f t="shared" si="7"/>
        <v>-7.492566997974153E-3</v>
      </c>
      <c r="K32" s="122">
        <f t="shared" si="8"/>
        <v>1.6865622985521089E-2</v>
      </c>
      <c r="Y32" s="126">
        <f>IF($Z$1, C32, -0.2)</f>
        <v>-0.2</v>
      </c>
      <c r="AB32" s="5">
        <v>3.9750764188279</v>
      </c>
      <c r="AC32" s="5">
        <f t="shared" si="9"/>
        <v>1.2802085537993268E-3</v>
      </c>
      <c r="AD32" s="5">
        <f>IF($Z$2, $AA$2*(SIN($AA$1)+SIN(AB32)), -0.2)</f>
        <v>-0.2</v>
      </c>
    </row>
    <row r="33" spans="2:30" x14ac:dyDescent="0.3">
      <c r="B33" s="122">
        <v>1.0112748120406856E-2</v>
      </c>
      <c r="C33" s="122">
        <f t="shared" si="0"/>
        <v>1.0010480445860064E-3</v>
      </c>
      <c r="D33" s="126">
        <f t="shared" si="1"/>
        <v>8.7388894117099193E-3</v>
      </c>
      <c r="E33" s="122">
        <f t="shared" si="2"/>
        <v>9.7977450375918637E-2</v>
      </c>
      <c r="F33" s="122">
        <f t="shared" si="3"/>
        <v>9.766572969855393E-2</v>
      </c>
      <c r="G33" s="122">
        <f t="shared" si="4"/>
        <v>9.2606143115067721E-3</v>
      </c>
      <c r="H33" s="122">
        <f t="shared" si="5"/>
        <v>9.6982922128168361E-3</v>
      </c>
      <c r="I33" s="122">
        <f t="shared" si="6"/>
        <v>1.096488192930694E-2</v>
      </c>
      <c r="J33" s="122">
        <f t="shared" si="7"/>
        <v>-7.6961961236448242E-3</v>
      </c>
      <c r="K33" s="122">
        <f t="shared" si="8"/>
        <v>1.739448833646166E-2</v>
      </c>
      <c r="Y33" s="126">
        <f>IF($Z$1, C33, -0.2)</f>
        <v>-0.2</v>
      </c>
      <c r="AB33" s="5">
        <v>4.1033046904029939</v>
      </c>
      <c r="AC33" s="5">
        <f t="shared" ref="AC33:AC50" si="10">$AA$2*(COS($AA$1)+COS(AB33))</f>
        <v>1.67761259047055E-3</v>
      </c>
      <c r="AD33" s="5">
        <f>IF($Z$2, $AA$2*(SIN($AA$1)+SIN(AB33)), -0.2)</f>
        <v>-0.2</v>
      </c>
    </row>
    <row r="34" spans="2:30" x14ac:dyDescent="0.3">
      <c r="B34" s="122">
        <v>1.075236022258147E-2</v>
      </c>
      <c r="C34" s="122">
        <f t="shared" si="0"/>
        <v>1.0636746972225318E-3</v>
      </c>
      <c r="D34" s="126">
        <f t="shared" si="1"/>
        <v>9.0039734611310398E-3</v>
      </c>
      <c r="E34" s="122">
        <f t="shared" si="2"/>
        <v>9.7849527955483712E-2</v>
      </c>
      <c r="F34" s="122">
        <f t="shared" si="3"/>
        <v>9.7539022031199935E-2</v>
      </c>
      <c r="G34" s="122">
        <f t="shared" si="4"/>
        <v>9.8755133680642586E-3</v>
      </c>
      <c r="H34" s="122">
        <f t="shared" si="5"/>
        <v>1.0024850829989667E-2</v>
      </c>
      <c r="I34" s="122">
        <f t="shared" si="6"/>
        <v>1.1629207077098681E-2</v>
      </c>
      <c r="J34" s="122">
        <f t="shared" si="7"/>
        <v>-7.8975014355446033E-3</v>
      </c>
      <c r="K34" s="122">
        <f t="shared" si="8"/>
        <v>1.7922352265534271E-2</v>
      </c>
      <c r="Y34" s="126">
        <f>IF($Z$1, C34, -0.2)</f>
        <v>-0.2</v>
      </c>
      <c r="AB34" s="5">
        <v>4.2315329619780879</v>
      </c>
      <c r="AC34" s="5">
        <f t="shared" si="10"/>
        <v>2.112280666096943E-3</v>
      </c>
      <c r="AD34" s="5">
        <f>IF($Z$2, $AA$2*(SIN($AA$1)+SIN(AB34)), -0.2)</f>
        <v>-0.2</v>
      </c>
    </row>
    <row r="35" spans="2:30" x14ac:dyDescent="0.3">
      <c r="B35" s="122">
        <v>1.1411364474624264E-2</v>
      </c>
      <c r="C35" s="122">
        <f t="shared" si="0"/>
        <v>1.1281145235451547E-3</v>
      </c>
      <c r="D35" s="126">
        <f t="shared" si="1"/>
        <v>9.268542067365446E-3</v>
      </c>
      <c r="E35" s="122">
        <f t="shared" si="2"/>
        <v>9.7717727105075147E-2</v>
      </c>
      <c r="F35" s="122">
        <f t="shared" si="3"/>
        <v>9.7408469477210005E-2</v>
      </c>
      <c r="G35" s="122">
        <f t="shared" si="4"/>
        <v>1.0509957044326296E-2</v>
      </c>
      <c r="H35" s="122">
        <f t="shared" si="5"/>
        <v>1.0352719485229235E-2</v>
      </c>
      <c r="I35" s="122">
        <f t="shared" si="6"/>
        <v>1.2312771904922231E-2</v>
      </c>
      <c r="J35" s="122">
        <f t="shared" si="7"/>
        <v>-8.0964904381389258E-3</v>
      </c>
      <c r="K35" s="122">
        <f t="shared" si="8"/>
        <v>1.8449209923368161E-2</v>
      </c>
      <c r="Y35" s="126">
        <f>IF($Z$1, C35, -0.2)</f>
        <v>-0.2</v>
      </c>
      <c r="AB35" s="5">
        <v>4.3597612335531819</v>
      </c>
      <c r="AC35" s="5">
        <f t="shared" si="10"/>
        <v>2.5770755428937663E-3</v>
      </c>
      <c r="AD35" s="5">
        <f>IF($Z$2, $AA$2*(SIN($AA$1)+SIN(AB35)), -0.2)</f>
        <v>-0.2</v>
      </c>
    </row>
    <row r="36" spans="2:30" x14ac:dyDescent="0.3">
      <c r="B36" s="122">
        <v>1.2089734755797665E-2</v>
      </c>
      <c r="C36" s="122">
        <f t="shared" si="0"/>
        <v>1.1943573069332124E-3</v>
      </c>
      <c r="D36" s="126">
        <f t="shared" si="1"/>
        <v>9.5325925349928151E-3</v>
      </c>
      <c r="E36" s="122">
        <f t="shared" si="2"/>
        <v>9.7582053048840475E-2</v>
      </c>
      <c r="F36" s="122">
        <f t="shared" si="3"/>
        <v>9.7274076921527106E-2</v>
      </c>
      <c r="G36" s="122">
        <f t="shared" si="4"/>
        <v>1.1163922273930158E-2</v>
      </c>
      <c r="H36" s="122">
        <f t="shared" si="5"/>
        <v>1.068188552489489E-2</v>
      </c>
      <c r="I36" s="122">
        <f t="shared" si="6"/>
        <v>1.3015547237665173E-2</v>
      </c>
      <c r="J36" s="122">
        <f t="shared" si="7"/>
        <v>-8.2931709110284635E-3</v>
      </c>
      <c r="K36" s="122">
        <f t="shared" si="8"/>
        <v>1.8975056435923354E-2</v>
      </c>
      <c r="Y36" s="126">
        <f>IF($Z$1, C36, -0.2)</f>
        <v>-0.2</v>
      </c>
      <c r="AB36" s="5">
        <v>4.4879895051282759</v>
      </c>
      <c r="AC36" s="5">
        <f t="shared" si="10"/>
        <v>3.0643653018339657E-3</v>
      </c>
      <c r="AD36" s="5">
        <f>IF($Z$2, $AA$2*(SIN($AA$1)+SIN(AB36)), -0.2)</f>
        <v>-0.2</v>
      </c>
    </row>
    <row r="37" spans="2:30" x14ac:dyDescent="0.3">
      <c r="B37" s="122">
        <v>1.2787444177759066E-2</v>
      </c>
      <c r="C37" s="122">
        <f t="shared" si="0"/>
        <v>1.2623925449159763E-3</v>
      </c>
      <c r="D37" s="126">
        <f t="shared" si="1"/>
        <v>9.7961221590221262E-3</v>
      </c>
      <c r="E37" s="122">
        <f t="shared" si="2"/>
        <v>9.7442511164448187E-2</v>
      </c>
      <c r="F37" s="122">
        <f t="shared" si="3"/>
        <v>9.71358493938628E-2</v>
      </c>
      <c r="G37" s="122">
        <f t="shared" si="4"/>
        <v>1.1837385204164871E-2</v>
      </c>
      <c r="H37" s="122">
        <f t="shared" si="5"/>
        <v>1.1012335996094422E-2</v>
      </c>
      <c r="I37" s="122">
        <f t="shared" si="6"/>
        <v>1.3737503151353261E-2</v>
      </c>
      <c r="J37" s="122">
        <f t="shared" si="7"/>
        <v>-8.4875509062624695E-3</v>
      </c>
      <c r="K37" s="122">
        <f t="shared" si="8"/>
        <v>1.9499886902356892E-2</v>
      </c>
      <c r="Y37" s="126">
        <f>IF($Z$1, C37, -0.2)</f>
        <v>-0.2</v>
      </c>
      <c r="AB37" s="5">
        <v>4.6162177767033699</v>
      </c>
      <c r="AC37" s="5">
        <f t="shared" si="10"/>
        <v>3.5661486585475944E-3</v>
      </c>
      <c r="AD37" s="5">
        <f>IF($Z$2, $AA$2*(SIN($AA$1)+SIN(AB37)), -0.2)</f>
        <v>-0.2</v>
      </c>
    </row>
    <row r="38" spans="2:30" x14ac:dyDescent="0.3">
      <c r="B38" s="122">
        <v>1.3504465085626582E-2</v>
      </c>
      <c r="C38" s="122">
        <f t="shared" si="0"/>
        <v>1.3322094508377675E-3</v>
      </c>
      <c r="D38" s="126">
        <f t="shared" si="1"/>
        <v>1.0059128223867514E-2</v>
      </c>
      <c r="E38" s="122">
        <f t="shared" si="2"/>
        <v>9.7299106982874695E-2</v>
      </c>
      <c r="F38" s="122">
        <f t="shared" si="3"/>
        <v>9.6993792068601953E-2</v>
      </c>
      <c r="G38" s="122">
        <f t="shared" si="4"/>
        <v>1.2530321196866612E-2</v>
      </c>
      <c r="H38" s="122">
        <f t="shared" si="5"/>
        <v>1.1344057647259823E-2</v>
      </c>
      <c r="I38" s="122">
        <f t="shared" si="6"/>
        <v>1.4478608974386553E-2</v>
      </c>
      <c r="J38" s="122">
        <f t="shared" si="7"/>
        <v>-8.6796387455842887E-3</v>
      </c>
      <c r="K38" s="122">
        <f t="shared" si="8"/>
        <v>2.0023696392844112E-2</v>
      </c>
      <c r="Y38" s="126">
        <f>IF($Z$1, C38, -0.2)</f>
        <v>-0.2</v>
      </c>
      <c r="AB38" s="5">
        <v>4.7444460482784638</v>
      </c>
      <c r="AC38" s="5">
        <f t="shared" si="10"/>
        <v>4.0741863441899643E-3</v>
      </c>
      <c r="AD38" s="5">
        <f>IF($Z$2, $AA$2*(SIN($AA$1)+SIN(AB38)), -0.2)</f>
        <v>-0.2</v>
      </c>
    </row>
    <row r="39" spans="2:30" x14ac:dyDescent="0.3">
      <c r="B39" s="122">
        <v>1.4240769059075342E-2</v>
      </c>
      <c r="C39" s="122">
        <f t="shared" si="0"/>
        <v>1.4037969555681425E-3</v>
      </c>
      <c r="D39" s="126">
        <f t="shared" si="1"/>
        <v>1.032160800230135E-2</v>
      </c>
      <c r="E39" s="122">
        <f t="shared" si="2"/>
        <v>9.715184618818494E-2</v>
      </c>
      <c r="F39" s="122">
        <f t="shared" si="3"/>
        <v>9.6847910264704032E-2</v>
      </c>
      <c r="G39" s="122">
        <f t="shared" si="4"/>
        <v>1.3242704829346814E-2</v>
      </c>
      <c r="H39" s="122">
        <f t="shared" si="5"/>
        <v>1.1677036928746403E-2</v>
      </c>
      <c r="I39" s="122">
        <f t="shared" si="6"/>
        <v>1.523883328880387E-2</v>
      </c>
      <c r="J39" s="122">
        <f t="shared" si="7"/>
        <v>-8.8694430176101176E-3</v>
      </c>
      <c r="K39" s="122">
        <f t="shared" si="8"/>
        <v>2.054647994635652E-2</v>
      </c>
      <c r="Y39" s="126">
        <f>IF($Z$1, C39, -0.2)</f>
        <v>-0.2</v>
      </c>
      <c r="AB39" s="5">
        <v>4.8726743198535578</v>
      </c>
      <c r="AC39" s="5">
        <f t="shared" si="10"/>
        <v>4.5801363940082881E-3</v>
      </c>
      <c r="AD39" s="5">
        <f>IF($Z$2, $AA$2*(SIN($AA$1)+SIN(AB39)), -0.2)</f>
        <v>-0.2</v>
      </c>
    </row>
    <row r="40" spans="2:30" x14ac:dyDescent="0.3">
      <c r="B40" s="122">
        <v>1.4996326913463753E-2</v>
      </c>
      <c r="C40" s="122">
        <f t="shared" si="0"/>
        <v>1.4771437092568277E-3</v>
      </c>
      <c r="D40" s="126">
        <f t="shared" si="1"/>
        <v>1.0583558754384869E-2</v>
      </c>
      <c r="E40" s="122">
        <f t="shared" si="2"/>
        <v>9.7000734617307252E-2</v>
      </c>
      <c r="F40" s="122">
        <f t="shared" si="3"/>
        <v>9.6698209445601535E-2</v>
      </c>
      <c r="G40" s="122">
        <f t="shared" si="4"/>
        <v>1.3974509895352366E-2</v>
      </c>
      <c r="H40" s="122">
        <f t="shared" si="5"/>
        <v>1.2011259993455257E-2</v>
      </c>
      <c r="I40" s="122">
        <f t="shared" si="6"/>
        <v>1.6018143931575139E-2</v>
      </c>
      <c r="J40" s="122">
        <f t="shared" si="7"/>
        <v>-9.0569725749416029E-3</v>
      </c>
      <c r="K40" s="122">
        <f t="shared" si="8"/>
        <v>2.106823256839686E-2</v>
      </c>
      <c r="Y40" s="126">
        <f>IF($Z$1, C40, -0.2)</f>
        <v>-0.2</v>
      </c>
      <c r="AB40" s="5">
        <v>5.0009025914286518</v>
      </c>
      <c r="AC40" s="5">
        <f t="shared" si="10"/>
        <v>5.0756911221722916E-3</v>
      </c>
      <c r="AD40" s="5">
        <f>IF($Z$2, $AA$2*(SIN($AA$1)+SIN(AB40)), -0.2)</f>
        <v>-0.2</v>
      </c>
    </row>
    <row r="41" spans="2:30" x14ac:dyDescent="0.3">
      <c r="B41" s="122">
        <v>1.5771108700990411E-2</v>
      </c>
      <c r="C41" s="122">
        <f t="shared" si="0"/>
        <v>1.5522380831331957E-3</v>
      </c>
      <c r="D41" s="126">
        <f t="shared" si="1"/>
        <v>1.084497772637732E-2</v>
      </c>
      <c r="E41" s="122">
        <f t="shared" si="2"/>
        <v>9.6845778259801923E-2</v>
      </c>
      <c r="F41" s="122">
        <f t="shared" si="3"/>
        <v>9.6544695219094964E-2</v>
      </c>
      <c r="G41" s="122">
        <f t="shared" si="4"/>
        <v>1.4725709406058328E-2</v>
      </c>
      <c r="H41" s="122">
        <f t="shared" si="5"/>
        <v>1.2346712697479912E-2</v>
      </c>
      <c r="I41" s="122">
        <f t="shared" si="6"/>
        <v>1.6816507995922492E-2</v>
      </c>
      <c r="J41" s="122">
        <f t="shared" si="7"/>
        <v>-9.2422365312135202E-3</v>
      </c>
      <c r="K41" s="122">
        <f t="shared" si="8"/>
        <v>2.1588949228693432E-2</v>
      </c>
      <c r="Y41" s="126">
        <f>IF($Z$1, C41, -0.2)</f>
        <v>-0.2</v>
      </c>
      <c r="AB41" s="5">
        <v>5.1291308630037458</v>
      </c>
      <c r="AC41" s="5">
        <f t="shared" si="10"/>
        <v>5.5527135337458747E-3</v>
      </c>
      <c r="AD41" s="5">
        <f>IF($Z$2, $AA$2*(SIN($AA$1)+SIN(AB41)), -0.2)</f>
        <v>-0.2</v>
      </c>
    </row>
    <row r="42" spans="2:30" x14ac:dyDescent="0.3">
      <c r="B42" s="122">
        <v>1.656508371188109E-2</v>
      </c>
      <c r="C42" s="122">
        <f t="shared" si="0"/>
        <v>1.6290681713499464E-3</v>
      </c>
      <c r="D42" s="126">
        <f t="shared" si="1"/>
        <v>1.1105862149624102E-2</v>
      </c>
      <c r="E42" s="122">
        <f t="shared" si="2"/>
        <v>9.6686983257623788E-2</v>
      </c>
      <c r="F42" s="122">
        <f t="shared" si="3"/>
        <v>9.638737333724455E-2</v>
      </c>
      <c r="G42" s="122">
        <f t="shared" si="4"/>
        <v>1.5496275591092516E-2</v>
      </c>
      <c r="H42" s="122">
        <f t="shared" si="5"/>
        <v>1.2683380600777193E-2</v>
      </c>
      <c r="I42" s="122">
        <f t="shared" si="6"/>
        <v>1.7633891832669665E-2</v>
      </c>
      <c r="J42" s="122">
        <f t="shared" si="7"/>
        <v>-9.4252442580772984E-3</v>
      </c>
      <c r="K42" s="122">
        <f t="shared" si="8"/>
        <v>2.2108624858854491E-2</v>
      </c>
      <c r="Y42" s="126">
        <f>IF($Z$1, C42, -0.2)</f>
        <v>-0.2</v>
      </c>
      <c r="AB42" s="5">
        <v>5.2573591345788397</v>
      </c>
      <c r="AC42" s="5">
        <f t="shared" si="10"/>
        <v>6.0033709339189934E-3</v>
      </c>
      <c r="AD42" s="5">
        <f>IF($Z$2, $AA$2*(SIN($AA$1)+SIN(AB42)), -0.2)</f>
        <v>-0.2</v>
      </c>
    </row>
    <row r="43" spans="2:30" x14ac:dyDescent="0.3">
      <c r="B43" s="122">
        <v>1.737822047560611E-2</v>
      </c>
      <c r="C43" s="122">
        <f t="shared" si="0"/>
        <v>1.7076217928707336E-3</v>
      </c>
      <c r="D43" s="126">
        <f t="shared" si="1"/>
        <v>1.1366209239424618E-2</v>
      </c>
      <c r="E43" s="122">
        <f t="shared" si="2"/>
        <v>9.6524355904878789E-2</v>
      </c>
      <c r="F43" s="122">
        <f t="shared" si="3"/>
        <v>9.6226249696258884E-2</v>
      </c>
      <c r="G43" s="122">
        <f t="shared" si="4"/>
        <v>1.6286179899592062E-2</v>
      </c>
      <c r="H43" s="122">
        <f t="shared" si="5"/>
        <v>1.3021248967862865E-2</v>
      </c>
      <c r="I43" s="122">
        <f t="shared" si="6"/>
        <v>1.8470261051620158E-2</v>
      </c>
      <c r="J43" s="122">
        <f t="shared" si="7"/>
        <v>-9.6060053821213978E-3</v>
      </c>
      <c r="K43" s="122">
        <f t="shared" si="8"/>
        <v>2.2627254349984263E-2</v>
      </c>
      <c r="Y43" s="126">
        <f>IF($Z$1, C43, -0.2)</f>
        <v>-0.2</v>
      </c>
      <c r="AB43" s="5">
        <v>5.3855874061539337</v>
      </c>
      <c r="AC43" s="5">
        <f t="shared" si="10"/>
        <v>6.4202635406399007E-3</v>
      </c>
      <c r="AD43" s="5">
        <f>IF($Z$2, $AA$2*(SIN($AA$1)+SIN(AB43)), -0.2)</f>
        <v>-0.2</v>
      </c>
    </row>
    <row r="44" spans="2:30" x14ac:dyDescent="0.3">
      <c r="B44" s="122">
        <v>1.8210486762127498E-2</v>
      </c>
      <c r="C44" s="122">
        <f t="shared" si="0"/>
        <v>1.7878864934013879E-3</v>
      </c>
      <c r="D44" s="126">
        <f t="shared" si="1"/>
        <v>1.1626016193880399E-2</v>
      </c>
      <c r="E44" s="122">
        <f t="shared" si="2"/>
        <v>9.6357902647574503E-2</v>
      </c>
      <c r="F44" s="122">
        <f t="shared" si="3"/>
        <v>9.606133033637998E-2</v>
      </c>
      <c r="G44" s="122">
        <f t="shared" si="4"/>
        <v>1.7095393001291231E-2</v>
      </c>
      <c r="H44" s="122">
        <f t="shared" si="5"/>
        <v>1.3360302768532235E-2</v>
      </c>
      <c r="I44" s="122">
        <f t="shared" si="6"/>
        <v>1.9325580522963764E-2</v>
      </c>
      <c r="J44" s="122">
        <f t="shared" si="7"/>
        <v>-9.7845297817294591E-3</v>
      </c>
      <c r="K44" s="122">
        <f t="shared" si="8"/>
        <v>2.3144832550261694E-2</v>
      </c>
      <c r="Y44" s="126">
        <f>IF($Z$1, C44, -0.2)</f>
        <v>-0.2</v>
      </c>
      <c r="AB44" s="5">
        <v>5.5138156777290277</v>
      </c>
      <c r="AC44" s="5">
        <f t="shared" si="10"/>
        <v>6.7965459888318595E-3</v>
      </c>
      <c r="AD44" s="5">
        <f>IF($Z$2, $AA$2*(SIN($AA$1)+SIN(AB44)), -0.2)</f>
        <v>-0.2</v>
      </c>
    </row>
    <row r="45" spans="2:30" x14ac:dyDescent="0.3">
      <c r="B45" s="122">
        <v>1.9061849583176638E-2</v>
      </c>
      <c r="C45" s="122">
        <f t="shared" si="0"/>
        <v>1.8698495473644988E-3</v>
      </c>
      <c r="D45" s="126">
        <f t="shared" si="1"/>
        <v>1.1885280192724454E-2</v>
      </c>
      <c r="E45" s="122">
        <f t="shared" si="2"/>
        <v>9.6187630083364672E-2</v>
      </c>
      <c r="F45" s="122">
        <f t="shared" si="3"/>
        <v>9.5892621441765261E-2</v>
      </c>
      <c r="G45" s="122">
        <f t="shared" si="4"/>
        <v>1.7923884787641019E-2</v>
      </c>
      <c r="H45" s="122">
        <f t="shared" si="5"/>
        <v>1.3700526678606389E-2</v>
      </c>
      <c r="I45" s="122">
        <f t="shared" si="6"/>
        <v>2.0199814378712256E-2</v>
      </c>
      <c r="J45" s="122">
        <f t="shared" si="7"/>
        <v>-9.9608275838773911E-3</v>
      </c>
      <c r="K45" s="122">
        <f t="shared" si="8"/>
        <v>2.366135426248378E-2</v>
      </c>
      <c r="Y45" s="126">
        <f>IF($Z$1, C45, -0.2)</f>
        <v>-0.2</v>
      </c>
      <c r="AB45" s="5">
        <v>5.6420439493041217</v>
      </c>
      <c r="AC45" s="5">
        <f t="shared" si="10"/>
        <v>7.1260397310984446E-3</v>
      </c>
      <c r="AD45" s="5">
        <f>IF($Z$2, $AA$2*(SIN($AA$1)+SIN(AB45)), -0.2)</f>
        <v>-0.2</v>
      </c>
    </row>
    <row r="46" spans="2:30" x14ac:dyDescent="0.3">
      <c r="B46" s="122">
        <v>1.9932275193561888E-2</v>
      </c>
      <c r="C46" s="122">
        <f t="shared" si="0"/>
        <v>1.9534979599170007E-3</v>
      </c>
      <c r="D46" s="126">
        <f t="shared" si="1"/>
        <v>1.2143998396132326E-2</v>
      </c>
      <c r="E46" s="122">
        <f t="shared" si="2"/>
        <v>9.6013544961287625E-2</v>
      </c>
      <c r="F46" s="122">
        <f t="shared" si="3"/>
        <v>9.5720129340365834E-2</v>
      </c>
      <c r="G46" s="122">
        <f t="shared" si="4"/>
        <v>1.877162437295983E-2</v>
      </c>
      <c r="H46" s="122">
        <f t="shared" si="5"/>
        <v>1.4041905080704267E-2</v>
      </c>
      <c r="I46" s="122">
        <f t="shared" si="6"/>
        <v>2.1092926014163946E-2</v>
      </c>
      <c r="J46" s="122">
        <f t="shared" si="7"/>
        <v>-1.0134909160870266E-2</v>
      </c>
      <c r="K46" s="122">
        <f t="shared" si="8"/>
        <v>2.4176814241574533E-2</v>
      </c>
      <c r="Y46" s="126">
        <f>IF($Z$1, C46, -0.2)</f>
        <v>-0.2</v>
      </c>
      <c r="AB46" s="5">
        <v>5.7702722208792157</v>
      </c>
      <c r="AC46" s="5">
        <f t="shared" si="10"/>
        <v>7.4033344893009879E-3</v>
      </c>
      <c r="AD46" s="5">
        <f>IF($Z$2, $AA$2*(SIN($AA$1)+SIN(AB46)), -0.2)</f>
        <v>-0.2</v>
      </c>
    </row>
    <row r="47" spans="2:30" x14ac:dyDescent="0.3">
      <c r="B47" s="122">
        <v>2.0821729092505736E-2</v>
      </c>
      <c r="C47" s="122">
        <f t="shared" si="0"/>
        <v>2.0388184690104038E-3</v>
      </c>
      <c r="D47" s="126">
        <f t="shared" si="1"/>
        <v>1.2402167943515535E-2</v>
      </c>
      <c r="E47" s="122">
        <f t="shared" si="2"/>
        <v>9.5835654181498864E-2</v>
      </c>
      <c r="F47" s="122">
        <f t="shared" si="3"/>
        <v>9.5543860503801661E-2</v>
      </c>
      <c r="G47" s="122">
        <f t="shared" si="4"/>
        <v>1.9638580095614692E-2</v>
      </c>
      <c r="H47" s="122">
        <f t="shared" si="5"/>
        <v>1.4384422065040859E-2</v>
      </c>
      <c r="I47" s="122">
        <f t="shared" si="6"/>
        <v>2.200487808939678E-2</v>
      </c>
      <c r="J47" s="122">
        <f t="shared" si="7"/>
        <v>-1.030678512702005E-2</v>
      </c>
      <c r="K47" s="122">
        <f t="shared" si="8"/>
        <v>2.4691207192060909E-2</v>
      </c>
      <c r="Y47" s="126">
        <f>IF($Z$1, C47, -0.2)</f>
        <v>-0.2</v>
      </c>
      <c r="AB47" s="5">
        <v>5.8985004924543096</v>
      </c>
      <c r="AC47" s="5">
        <f t="shared" si="10"/>
        <v>7.6238770911760305E-3</v>
      </c>
      <c r="AD47" s="5">
        <f>IF($Z$2, $AA$2*(SIN($AA$1)+SIN(AB47)), -0.2)</f>
        <v>-0.2</v>
      </c>
    </row>
    <row r="48" spans="2:30" x14ac:dyDescent="0.3">
      <c r="B48" s="122">
        <v>2.1730176025012815E-2</v>
      </c>
      <c r="C48" s="122">
        <f t="shared" si="0"/>
        <v>2.1257975474934777E-3</v>
      </c>
      <c r="D48" s="126">
        <f t="shared" si="1"/>
        <v>1.2659785952298545E-2</v>
      </c>
      <c r="E48" s="122">
        <f t="shared" si="2"/>
        <v>9.5653964794997437E-2</v>
      </c>
      <c r="F48" s="122">
        <f t="shared" si="3"/>
        <v>9.5363821547232955E-2</v>
      </c>
      <c r="G48" s="122">
        <f t="shared" si="4"/>
        <v>2.0524719519234121E-2</v>
      </c>
      <c r="H48" s="122">
        <f t="shared" si="5"/>
        <v>1.4728061430252458E-2</v>
      </c>
      <c r="I48" s="122">
        <f t="shared" si="6"/>
        <v>2.2935632530791509E-2</v>
      </c>
      <c r="J48" s="122">
        <f t="shared" si="7"/>
        <v>-1.0476466335265501E-2</v>
      </c>
      <c r="K48" s="122">
        <f t="shared" si="8"/>
        <v>2.5204527765517959E-2</v>
      </c>
      <c r="Y48" s="126">
        <f>IF($Z$1, C48, -0.2)</f>
        <v>-0.2</v>
      </c>
      <c r="AB48" s="5">
        <v>6.0267287640294036</v>
      </c>
      <c r="AC48" s="5">
        <f t="shared" si="10"/>
        <v>7.7840462332980122E-3</v>
      </c>
      <c r="AD48" s="5">
        <f>IF($Z$2, $AA$2*(SIN($AA$1)+SIN(AB48)), -0.2)</f>
        <v>-0.2</v>
      </c>
    </row>
    <row r="49" spans="2:30" x14ac:dyDescent="0.3">
      <c r="B49" s="122">
        <v>2.2657579983267062E-2</v>
      </c>
      <c r="C49" s="122">
        <f t="shared" si="0"/>
        <v>2.2144214052568917E-3</v>
      </c>
      <c r="D49" s="126">
        <f t="shared" si="1"/>
        <v>1.2916849516679421E-2</v>
      </c>
      <c r="E49" s="122">
        <f t="shared" si="2"/>
        <v>9.5468484003346593E-2</v>
      </c>
      <c r="F49" s="122">
        <f t="shared" si="3"/>
        <v>9.5180019229228349E-2</v>
      </c>
      <c r="G49" s="122">
        <f t="shared" si="4"/>
        <v>2.1430009433950768E-2</v>
      </c>
      <c r="H49" s="122">
        <f t="shared" si="5"/>
        <v>1.5072806684248678E-2</v>
      </c>
      <c r="I49" s="122">
        <f t="shared" si="6"/>
        <v>2.3885150532583357E-2</v>
      </c>
      <c r="J49" s="122">
        <f t="shared" si="7"/>
        <v>-1.0643963873734895E-2</v>
      </c>
      <c r="K49" s="122">
        <f t="shared" si="8"/>
        <v>2.5716770557983572E-2</v>
      </c>
      <c r="Y49" s="126">
        <f>IF($Z$1, C49, -0.2)</f>
        <v>-0.2</v>
      </c>
      <c r="AB49" s="5">
        <v>6.1549570356044976</v>
      </c>
      <c r="AC49" s="5">
        <f t="shared" si="10"/>
        <v>7.8812119427814058E-3</v>
      </c>
      <c r="AD49" s="5">
        <f>IF($Z$2, $AA$2*(SIN($AA$1)+SIN(AB49)), -0.2)</f>
        <v>-0.2</v>
      </c>
    </row>
    <row r="50" spans="2:30" x14ac:dyDescent="0.3">
      <c r="B50" s="122">
        <v>2.360390420805869E-2</v>
      </c>
      <c r="C50" s="122">
        <f t="shared" si="0"/>
        <v>2.304675991419548E-3</v>
      </c>
      <c r="D50" s="126">
        <f t="shared" si="1"/>
        <v>1.3173355706375296E-2</v>
      </c>
      <c r="E50" s="122">
        <f t="shared" si="2"/>
        <v>9.5279219158388273E-2</v>
      </c>
      <c r="F50" s="122">
        <f t="shared" si="3"/>
        <v>9.499246045162936E-2</v>
      </c>
      <c r="G50" s="122">
        <f t="shared" si="4"/>
        <v>2.2354415857674378E-2</v>
      </c>
      <c r="H50" s="122">
        <f t="shared" si="5"/>
        <v>1.5418641045092081E-2</v>
      </c>
      <c r="I50" s="122">
        <f t="shared" si="6"/>
        <v>2.4853392558443002E-2</v>
      </c>
      <c r="J50" s="122">
        <f t="shared" si="7"/>
        <v>-1.0809289062252985E-2</v>
      </c>
      <c r="K50" s="122">
        <f t="shared" si="8"/>
        <v>2.6227930107345067E-2</v>
      </c>
      <c r="Y50" s="126">
        <f>IF($Z$1, C50, -0.2)</f>
        <v>-0.2</v>
      </c>
      <c r="AB50" s="5">
        <v>6.2831853071795916</v>
      </c>
      <c r="AC50" s="5">
        <f t="shared" si="10"/>
        <v>7.9137787613627834E-3</v>
      </c>
      <c r="AD50" s="5">
        <f>IF($Z$2, $AA$2*(SIN($AA$1)+SIN(AB50)), -0.2)</f>
        <v>-0.2</v>
      </c>
    </row>
    <row r="51" spans="2:30" x14ac:dyDescent="0.3">
      <c r="B51" s="122">
        <v>2.4569111190241799E-2</v>
      </c>
      <c r="C51" s="122">
        <f t="shared" si="0"/>
        <v>2.3965469965563334E-3</v>
      </c>
      <c r="D51" s="126">
        <f t="shared" si="1"/>
        <v>1.3429301565353508E-2</v>
      </c>
      <c r="E51" s="122">
        <f t="shared" si="2"/>
        <v>9.5086177761951649E-2</v>
      </c>
      <c r="F51" s="122">
        <f t="shared" si="3"/>
        <v>9.4801152259411187E-2</v>
      </c>
      <c r="G51" s="122">
        <f t="shared" si="4"/>
        <v>2.3297904037395671E-2</v>
      </c>
      <c r="H51" s="122">
        <f t="shared" si="5"/>
        <v>1.5765547441905982E-2</v>
      </c>
      <c r="I51" s="122">
        <f t="shared" si="6"/>
        <v>2.5840318343087927E-2</v>
      </c>
      <c r="J51" s="122">
        <f t="shared" si="7"/>
        <v>-1.0972453448793313E-2</v>
      </c>
      <c r="K51" s="122">
        <f t="shared" si="8"/>
        <v>2.6738000890699293E-2</v>
      </c>
      <c r="Y51" s="126">
        <f>IF($Z$1, C51, -0.2)</f>
        <v>-0.2</v>
      </c>
    </row>
    <row r="52" spans="2:30" x14ac:dyDescent="0.3">
      <c r="B52" s="122">
        <v>2.5553162672220409E-2</v>
      </c>
      <c r="C52" s="122">
        <f t="shared" si="0"/>
        <v>2.490019854966745E-3</v>
      </c>
      <c r="D52" s="126">
        <f t="shared" si="1"/>
        <v>1.3684684110548703E-2</v>
      </c>
      <c r="E52" s="122">
        <f t="shared" si="2"/>
        <v>9.4889367465555929E-2</v>
      </c>
      <c r="F52" s="122">
        <f t="shared" si="3"/>
        <v>9.4606101840540219E-2</v>
      </c>
      <c r="G52" s="122">
        <f t="shared" si="4"/>
        <v>2.4260438450518798E-2</v>
      </c>
      <c r="H52" s="122">
        <f t="shared" si="5"/>
        <v>1.6113508515810199E-2</v>
      </c>
      <c r="I52" s="122">
        <f t="shared" si="6"/>
        <v>2.6845886893922019E-2</v>
      </c>
      <c r="J52" s="122">
        <f t="shared" si="7"/>
        <v>-1.1133468805876708E-2</v>
      </c>
      <c r="K52" s="122">
        <f t="shared" si="8"/>
        <v>2.7246977321686905E-2</v>
      </c>
      <c r="Y52" s="126">
        <f>IF($Z$1, C52, -0.2)</f>
        <v>-0.2</v>
      </c>
    </row>
    <row r="53" spans="2:30" x14ac:dyDescent="0.3">
      <c r="B53" s="122">
        <v>2.6556019649465523E-2</v>
      </c>
      <c r="C53" s="122">
        <f t="shared" si="0"/>
        <v>2.5850797469842727E-3</v>
      </c>
      <c r="D53" s="126">
        <f t="shared" si="1"/>
        <v>1.3939500330567371E-2</v>
      </c>
      <c r="E53" s="122">
        <f t="shared" si="2"/>
        <v>9.4688796070106898E-2</v>
      </c>
      <c r="F53" s="122">
        <f t="shared" si="3"/>
        <v>9.4407316525827442E-2</v>
      </c>
      <c r="G53" s="122">
        <f t="shared" si="4"/>
        <v>2.5241982806224809E-2</v>
      </c>
      <c r="H53" s="122">
        <f t="shared" si="5"/>
        <v>1.6462506620886143E-2</v>
      </c>
      <c r="I53" s="122">
        <f t="shared" si="6"/>
        <v>2.7870056492706238E-2</v>
      </c>
      <c r="J53" s="122">
        <f t="shared" si="7"/>
        <v>-1.1292347126917596E-2</v>
      </c>
      <c r="K53" s="122">
        <f t="shared" si="8"/>
        <v>2.7754853747803739E-2</v>
      </c>
      <c r="Y53" s="126">
        <f>IF($Z$1, C53, -0.2)</f>
        <v>-0.2</v>
      </c>
    </row>
    <row r="54" spans="2:30" x14ac:dyDescent="0.3">
      <c r="B54" s="122">
        <v>2.7577642372060673E-2</v>
      </c>
      <c r="C54" s="122">
        <f t="shared" si="0"/>
        <v>2.6817116013259398E-3</v>
      </c>
      <c r="D54" s="126">
        <f t="shared" si="1"/>
        <v>1.41937471843799E-2</v>
      </c>
      <c r="E54" s="122">
        <f t="shared" si="2"/>
        <v>9.4484471525587865E-2</v>
      </c>
      <c r="F54" s="122">
        <f t="shared" si="3"/>
        <v>9.4204803788778532E-2</v>
      </c>
      <c r="G54" s="122">
        <f t="shared" si="4"/>
        <v>2.624250004686339E-2</v>
      </c>
      <c r="H54" s="122">
        <f t="shared" si="5"/>
        <v>1.681252382517065E-2</v>
      </c>
      <c r="I54" s="122">
        <f t="shared" si="6"/>
        <v>2.8912784697257957E-2</v>
      </c>
      <c r="J54" s="122">
        <f t="shared" si="7"/>
        <v>-1.1449100622518771E-2</v>
      </c>
      <c r="K54" s="122">
        <f t="shared" si="8"/>
        <v>2.8261624447689423E-2</v>
      </c>
      <c r="Y54" s="126">
        <f>IF($Z$1, C54, -0.2)</f>
        <v>-0.2</v>
      </c>
    </row>
    <row r="55" spans="2:30" x14ac:dyDescent="0.3">
      <c r="B55" s="122">
        <v>2.86179903462776E-2</v>
      </c>
      <c r="C55" s="122">
        <f t="shared" si="0"/>
        <v>2.7799000974817966E-3</v>
      </c>
      <c r="D55" s="126">
        <f t="shared" si="1"/>
        <v>1.4447421600001561E-2</v>
      </c>
      <c r="E55" s="122">
        <f t="shared" si="2"/>
        <v>9.4276401930744491E-2</v>
      </c>
      <c r="F55" s="122">
        <f t="shared" si="3"/>
        <v>9.3998571245439921E-2</v>
      </c>
      <c r="G55" s="122">
        <f t="shared" si="4"/>
        <v>2.7261952349374403E-2</v>
      </c>
      <c r="H55" s="122">
        <f t="shared" si="5"/>
        <v>1.716354191167984E-2</v>
      </c>
      <c r="I55" s="122">
        <f t="shared" si="6"/>
        <v>2.9974028343180796E-2</v>
      </c>
      <c r="J55" s="122">
        <f t="shared" si="7"/>
        <v>-1.1603741716716248E-2</v>
      </c>
      <c r="K55" s="122">
        <f t="shared" si="8"/>
        <v>2.876728362839609E-2</v>
      </c>
      <c r="Y55" s="126">
        <f>IF($Z$1, C55, -0.2)</f>
        <v>-0.2</v>
      </c>
    </row>
    <row r="56" spans="2:30" x14ac:dyDescent="0.3">
      <c r="B56" s="122">
        <v>2.9677022336181469E-2</v>
      </c>
      <c r="C56" s="122">
        <f t="shared" si="0"/>
        <v>2.8796296681439255E-3</v>
      </c>
      <c r="D56" s="126">
        <f t="shared" si="1"/>
        <v>1.4700520473162865E-2</v>
      </c>
      <c r="E56" s="122">
        <f t="shared" si="2"/>
        <v>9.4064595532763709E-2</v>
      </c>
      <c r="F56" s="122">
        <f t="shared" si="3"/>
        <v>9.3788626654241175E-2</v>
      </c>
      <c r="G56" s="122">
        <f t="shared" si="4"/>
        <v>2.8300301126738408E-2</v>
      </c>
      <c r="H56" s="122">
        <f t="shared" si="5"/>
        <v>1.7515542379462963E-2</v>
      </c>
      <c r="I56" s="122">
        <f t="shared" si="6"/>
        <v>3.105374354562453E-2</v>
      </c>
      <c r="J56" s="122">
        <f t="shared" si="7"/>
        <v>-1.1756283043175112E-2</v>
      </c>
      <c r="K56" s="122">
        <f t="shared" si="8"/>
        <v>2.9271825422638075E-2</v>
      </c>
      <c r="Y56" s="126">
        <f>IF($Z$1, C56, -0.2)</f>
        <v>-0.2</v>
      </c>
    </row>
    <row r="57" spans="2:30" x14ac:dyDescent="0.3">
      <c r="B57" s="122">
        <v>3.0754696365265011E-2</v>
      </c>
      <c r="C57" s="122">
        <f t="shared" si="0"/>
        <v>2.9808845016745366E-3</v>
      </c>
      <c r="D57" s="126">
        <f t="shared" si="1"/>
        <v>1.4953040665970274E-2</v>
      </c>
      <c r="E57" s="122">
        <f t="shared" si="2"/>
        <v>9.3849060726947001E-2</v>
      </c>
      <c r="F57" s="122">
        <f t="shared" si="3"/>
        <v>9.3574977915833649E-2</v>
      </c>
      <c r="G57" s="122">
        <f t="shared" si="4"/>
        <v>2.9357507029455422E-2</v>
      </c>
      <c r="H57" s="122">
        <f t="shared" si="5"/>
        <v>1.7868506444686814E-2</v>
      </c>
      <c r="I57" s="122">
        <f t="shared" si="6"/>
        <v>3.2151885701074599E-2</v>
      </c>
      <c r="J57" s="122">
        <f t="shared" si="7"/>
        <v>-1.1906737441337743E-2</v>
      </c>
      <c r="K57" s="122">
        <f t="shared" si="8"/>
        <v>2.9775243886024559E-2</v>
      </c>
      <c r="Y57" s="126">
        <f>IF($Z$1, C57, -0.2)</f>
        <v>-0.2</v>
      </c>
    </row>
    <row r="58" spans="2:30" x14ac:dyDescent="0.3">
      <c r="B58" s="122">
        <v>3.1850969718112687E-2</v>
      </c>
      <c r="C58" s="122">
        <f t="shared" si="0"/>
        <v>3.0836485446128557E-3</v>
      </c>
      <c r="D58" s="126">
        <f t="shared" si="1"/>
        <v>1.5204979005558098E-2</v>
      </c>
      <c r="E58" s="122">
        <f t="shared" si="2"/>
        <v>9.3629806056377468E-2</v>
      </c>
      <c r="F58" s="122">
        <f t="shared" si="3"/>
        <v>9.3357633072925023E-2</v>
      </c>
      <c r="G58" s="122">
        <f t="shared" si="4"/>
        <v>3.0433529947052833E-2</v>
      </c>
      <c r="H58" s="122">
        <f t="shared" si="5"/>
        <v>1.8222415041751264E-2</v>
      </c>
      <c r="I58" s="122">
        <f t="shared" si="6"/>
        <v>3.3268409489172542E-2</v>
      </c>
      <c r="J58" s="122">
        <f t="shared" si="7"/>
        <v>-1.2055117952525552E-2</v>
      </c>
      <c r="K58" s="122">
        <f t="shared" si="8"/>
        <v>3.0277532994276816E-2</v>
      </c>
      <c r="Y58" s="126">
        <f>IF($Z$1, C58, -0.2)</f>
        <v>-0.2</v>
      </c>
    </row>
    <row r="59" spans="2:30" x14ac:dyDescent="0.3">
      <c r="B59" s="122">
        <v>3.2965798942093449E-2</v>
      </c>
      <c r="C59" s="122">
        <f t="shared" si="0"/>
        <v>3.1879055042202918E-3</v>
      </c>
      <c r="D59" s="126">
        <f t="shared" si="1"/>
        <v>1.5456332282732334E-2</v>
      </c>
      <c r="E59" s="122">
        <f t="shared" si="2"/>
        <v>9.3406840211581313E-2</v>
      </c>
      <c r="F59" s="122">
        <f t="shared" si="3"/>
        <v>9.3136600310110146E-2</v>
      </c>
      <c r="G59" s="122">
        <f t="shared" si="4"/>
        <v>3.1528329009620888E-2</v>
      </c>
      <c r="H59" s="122">
        <f t="shared" si="5"/>
        <v>1.8577248824436104E-2</v>
      </c>
      <c r="I59" s="122">
        <f t="shared" si="6"/>
        <v>3.4403268874566011E-2</v>
      </c>
      <c r="J59" s="122">
        <f t="shared" si="7"/>
        <v>-1.220143781599552E-2</v>
      </c>
      <c r="K59" s="122">
        <f t="shared" si="8"/>
        <v>3.0778686640431624E-2</v>
      </c>
      <c r="Y59" s="126">
        <f>IF($Z$1, C59, -0.2)</f>
        <v>-0.2</v>
      </c>
    </row>
    <row r="60" spans="2:30" x14ac:dyDescent="0.3">
      <c r="B60" s="122">
        <v>3.4099139849083304E-2</v>
      </c>
      <c r="C60" s="122">
        <f t="shared" si="0"/>
        <v>3.2936388510635961E-3</v>
      </c>
      <c r="D60" s="126">
        <f t="shared" si="1"/>
        <v>1.570709725060743E-2</v>
      </c>
      <c r="E60" s="122">
        <f t="shared" si="2"/>
        <v>9.3180172030183347E-2</v>
      </c>
      <c r="F60" s="122">
        <f t="shared" si="3"/>
        <v>9.2911887953697814E-2</v>
      </c>
      <c r="G60" s="122">
        <f t="shared" si="4"/>
        <v>3.264186258937677E-2</v>
      </c>
      <c r="H60" s="122">
        <f t="shared" si="5"/>
        <v>1.8932988167079966E-2</v>
      </c>
      <c r="I60" s="122">
        <f t="shared" si="6"/>
        <v>3.5556417108789838E-2</v>
      </c>
      <c r="J60" s="122">
        <f t="shared" si="7"/>
        <v>-1.2345710464952774E-2</v>
      </c>
      <c r="K60" s="122">
        <f t="shared" si="8"/>
        <v>3.1278698632032739E-2</v>
      </c>
      <c r="Y60" s="126">
        <f>IF($Z$1, C60, -0.2)</f>
        <v>-0.2</v>
      </c>
    </row>
    <row r="61" spans="2:30" x14ac:dyDescent="0.3">
      <c r="B61" s="122">
        <v>3.525094751721658E-2</v>
      </c>
      <c r="C61" s="122">
        <f t="shared" si="0"/>
        <v>3.4008318216355022E-3</v>
      </c>
      <c r="D61" s="126">
        <f t="shared" si="1"/>
        <v>1.5957270623236732E-2</v>
      </c>
      <c r="E61" s="122">
        <f t="shared" si="2"/>
        <v>9.2949810496556692E-2</v>
      </c>
      <c r="F61" s="122">
        <f t="shared" si="3"/>
        <v>9.2683504471533507E-2</v>
      </c>
      <c r="G61" s="122">
        <f t="shared" si="4"/>
        <v>3.3774088302256054E-2</v>
      </c>
      <c r="H61" s="122">
        <f t="shared" si="5"/>
        <v>1.9289613165791517E-2</v>
      </c>
      <c r="I61" s="122">
        <f t="shared" si="6"/>
        <v>3.6727806732177105E-2</v>
      </c>
      <c r="J61" s="122">
        <f t="shared" si="7"/>
        <v>-1.2487949522520511E-2</v>
      </c>
      <c r="K61" s="122">
        <f t="shared" si="8"/>
        <v>3.1777562688312028E-2</v>
      </c>
      <c r="Y61" s="126">
        <f>IF($Z$1, C61, -0.2)</f>
        <v>-0.2</v>
      </c>
    </row>
    <row r="62" spans="2:30" x14ac:dyDescent="0.3">
      <c r="B62" s="122">
        <v>3.6421176292666779E-2</v>
      </c>
      <c r="C62" s="122">
        <f t="shared" si="0"/>
        <v>3.5094674210125265E-3</v>
      </c>
      <c r="D62" s="126">
        <f t="shared" si="1"/>
        <v>1.6206849074237566E-2</v>
      </c>
      <c r="E62" s="122">
        <f t="shared" si="2"/>
        <v>9.2715764741466644E-2</v>
      </c>
      <c r="F62" s="122">
        <f t="shared" si="3"/>
        <v>9.245145847281809E-2</v>
      </c>
      <c r="G62" s="122">
        <f t="shared" si="4"/>
        <v>3.4924963009532177E-2</v>
      </c>
      <c r="H62" s="122">
        <f t="shared" si="5"/>
        <v>1.9647103639693582E-2</v>
      </c>
      <c r="I62" s="122">
        <f t="shared" si="6"/>
        <v>3.7917389575801382E-2</v>
      </c>
      <c r="J62" s="122">
        <f t="shared" si="7"/>
        <v>-1.2628168797668531E-2</v>
      </c>
      <c r="K62" s="122">
        <f t="shared" si="8"/>
        <v>3.2275272437362112E-2</v>
      </c>
      <c r="Y62" s="126">
        <f>IF($Z$1, C62, -0.2)</f>
        <v>-0.2</v>
      </c>
    </row>
    <row r="63" spans="2:30" x14ac:dyDescent="0.3">
      <c r="B63" s="122">
        <v>3.7609779791455689E-2</v>
      </c>
      <c r="C63" s="122">
        <f t="shared" si="0"/>
        <v>3.6195284255493899E-3</v>
      </c>
      <c r="D63" s="126">
        <f t="shared" si="1"/>
        <v>1.6455829235411692E-2</v>
      </c>
      <c r="E63" s="122">
        <f t="shared" si="2"/>
        <v>9.2478044041708868E-2</v>
      </c>
      <c r="F63" s="122">
        <f t="shared" si="3"/>
        <v>9.221575870792259E-2</v>
      </c>
      <c r="G63" s="122">
        <f t="shared" si="4"/>
        <v>3.6094442819462509E-2</v>
      </c>
      <c r="H63" s="122">
        <f t="shared" si="5"/>
        <v>2.0005439132200417E-2</v>
      </c>
      <c r="I63" s="122">
        <f t="shared" si="6"/>
        <v>3.9125116763448868E-2</v>
      </c>
      <c r="J63" s="122">
        <f t="shared" si="7"/>
        <v>-1.2766382281101636E-2</v>
      </c>
      <c r="K63" s="122">
        <f t="shared" si="8"/>
        <v>3.2771821413302052E-2</v>
      </c>
      <c r="Y63" s="126">
        <f>IF($Z$1, C63, -0.2)</f>
        <v>-0.2</v>
      </c>
    </row>
    <row r="64" spans="2:30" x14ac:dyDescent="0.3">
      <c r="B64" s="122">
        <v>3.8816710901292406E-2</v>
      </c>
      <c r="C64" s="122">
        <f t="shared" si="0"/>
        <v>3.7309973856097891E-3</v>
      </c>
      <c r="D64" s="126">
        <f t="shared" si="1"/>
        <v>1.6704207695362253E-2</v>
      </c>
      <c r="E64" s="122">
        <f t="shared" si="2"/>
        <v>9.2236657819741524E-2</v>
      </c>
      <c r="F64" s="122">
        <f t="shared" si="3"/>
        <v>9.1976414068198425E-2</v>
      </c>
      <c r="G64" s="122">
        <f t="shared" si="4"/>
        <v>3.7282483088962481E-2</v>
      </c>
      <c r="H64" s="122">
        <f t="shared" si="5"/>
        <v>2.0364598912328918E-2</v>
      </c>
      <c r="I64" s="122">
        <f t="shared" si="6"/>
        <v>4.0350938713622331E-2</v>
      </c>
      <c r="J64" s="122">
        <f t="shared" si="7"/>
        <v>-1.2902604141109339E-2</v>
      </c>
      <c r="K64" s="122">
        <f t="shared" si="8"/>
        <v>3.3267203053438256E-2</v>
      </c>
      <c r="Y64" s="126">
        <f>IF($Z$1, C64, -0.2)</f>
        <v>-0.2</v>
      </c>
    </row>
    <row r="65" spans="2:25" x14ac:dyDescent="0.3">
      <c r="B65" s="122">
        <v>4.0041921783440293E-2</v>
      </c>
      <c r="C65" s="122">
        <f t="shared" ref="C65:C128" si="11">IF($A$1=0, 0, IF(B65&lt;=$A$2, ($A$1/$A$2^2)*(2*$A$2*B65-B65^2), ($A$1/(1-$A$2)^2)*((1-2*$A$2)+2*$A$2*B65-B65^2)))</f>
        <v>3.8438566283329149E-3</v>
      </c>
      <c r="D65" s="126">
        <f t="shared" ref="D65:D128" si="12">IF(B65&lt;$N$1, ($A$3/0.2)*($O$1*SQRT(B65)+$P$1*B65+$Q$1*(B65^2)+$R$1*(B65^3)), ($A$3/0.2)*($S$1+$T$1*(1-B65)+$U$1*((1-B65)^2)+$V$1*((1-B65)^3)))</f>
        <v>1.6951980998107817E-2</v>
      </c>
      <c r="E65" s="122">
        <f t="shared" ref="E65:E128" si="13">IF($A$1=0, 0, IF(B65&lt;=$A$2, ($A$1/$A$2^2) *(2*$A$2-2*B65), ($A$1/(1-$A$2)^2)*(2*$A$2-2*B65)))</f>
        <v>9.1991615643311944E-2</v>
      </c>
      <c r="F65" s="122">
        <f t="shared" ref="F65:F128" si="14">IF($A$1=0, 0,  ATAN(E65))</f>
        <v>9.1733433585783924E-2</v>
      </c>
      <c r="G65" s="122">
        <f t="shared" ref="G65:G128" si="15">B65-D65*SIN(F65)</f>
        <v>3.8489038425305669E-2</v>
      </c>
      <c r="H65" s="122">
        <f t="shared" ref="H65:H128" si="16">C65+D65*COS(F65)</f>
        <v>2.0724561976043866E-2</v>
      </c>
      <c r="I65" s="122">
        <f t="shared" ref="I65:I128" si="17">B65+D65*SIN(F65)</f>
        <v>4.1594805141574917E-2</v>
      </c>
      <c r="J65" s="122">
        <f t="shared" ref="J65:J128" si="18">C65-D65*COS(F65)</f>
        <v>-1.3036848719378035E-2</v>
      </c>
      <c r="K65" s="122">
        <f t="shared" ref="K65:K128" si="19">2*D65*COS(F65)</f>
        <v>3.3761410695421899E-2</v>
      </c>
      <c r="Y65" s="126">
        <f>IF($Z$1, C65, -0.2)</f>
        <v>-0.2</v>
      </c>
    </row>
    <row r="66" spans="2:25" x14ac:dyDescent="0.3">
      <c r="B66" s="122">
        <v>4.1285363874613346E-2</v>
      </c>
      <c r="C66" s="122">
        <f t="shared" si="11"/>
        <v>3.9580882604354122E-3</v>
      </c>
      <c r="D66" s="126">
        <f t="shared" si="12"/>
        <v>1.7199145641694637E-2</v>
      </c>
      <c r="E66" s="122">
        <f t="shared" si="13"/>
        <v>9.1742927225077334E-2</v>
      </c>
      <c r="F66" s="122">
        <f t="shared" si="14"/>
        <v>9.1486826433406193E-2</v>
      </c>
      <c r="G66" s="122">
        <f t="shared" si="15"/>
        <v>3.9714062687851048E-2</v>
      </c>
      <c r="H66" s="122">
        <f t="shared" si="16"/>
        <v>2.1085307047637933E-2</v>
      </c>
      <c r="I66" s="122">
        <f t="shared" si="17"/>
        <v>4.2856665061375643E-2</v>
      </c>
      <c r="J66" s="122">
        <f t="shared" si="18"/>
        <v>-1.316913052676711E-2</v>
      </c>
      <c r="K66" s="122">
        <f t="shared" si="19"/>
        <v>3.4254437574405043E-2</v>
      </c>
      <c r="Y66" s="126">
        <f>IF($Z$1, C66, -0.2)</f>
        <v>-0.2</v>
      </c>
    </row>
    <row r="67" spans="2:25" x14ac:dyDescent="0.3">
      <c r="B67" s="122">
        <v>4.2546987888901155E-2</v>
      </c>
      <c r="C67" s="122">
        <f t="shared" si="11"/>
        <v>4.0736741710482851E-3</v>
      </c>
      <c r="D67" s="126">
        <f t="shared" si="12"/>
        <v>1.7445698076807983E-2</v>
      </c>
      <c r="E67" s="122">
        <f t="shared" si="13"/>
        <v>9.1490602422219777E-2</v>
      </c>
      <c r="F67" s="122">
        <f t="shared" si="14"/>
        <v>9.123660192417897E-2</v>
      </c>
      <c r="G67" s="122">
        <f t="shared" si="15"/>
        <v>4.095750898979663E-2</v>
      </c>
      <c r="H67" s="122">
        <f t="shared" si="16"/>
        <v>2.1446812581146883E-2</v>
      </c>
      <c r="I67" s="122">
        <f t="shared" si="17"/>
        <v>4.4136466788005681E-2</v>
      </c>
      <c r="J67" s="122">
        <f t="shared" si="18"/>
        <v>-1.3299464239050311E-2</v>
      </c>
      <c r="K67" s="122">
        <f t="shared" si="19"/>
        <v>3.4746276820197194E-2</v>
      </c>
      <c r="Y67" s="126">
        <f>IF($Z$1, C67, -0.2)</f>
        <v>-0.2</v>
      </c>
    </row>
    <row r="68" spans="2:25" x14ac:dyDescent="0.3">
      <c r="B68" s="122">
        <v>4.382674381972218E-2</v>
      </c>
      <c r="C68" s="122">
        <f t="shared" si="11"/>
        <v>4.1905960345882632E-3</v>
      </c>
      <c r="D68" s="126">
        <f t="shared" si="12"/>
        <v>1.7691634705383239E-2</v>
      </c>
      <c r="E68" s="122">
        <f t="shared" si="13"/>
        <v>9.1234651236055564E-2</v>
      </c>
      <c r="F68" s="122">
        <f t="shared" si="14"/>
        <v>9.0982769511396E-2</v>
      </c>
      <c r="G68" s="122">
        <f t="shared" si="15"/>
        <v>4.2219329699958869E-2</v>
      </c>
      <c r="H68" s="122">
        <f t="shared" si="16"/>
        <v>2.1809056761800113E-2</v>
      </c>
      <c r="I68" s="122">
        <f t="shared" si="17"/>
        <v>4.5434157939485492E-2</v>
      </c>
      <c r="J68" s="122">
        <f t="shared" si="18"/>
        <v>-1.3427864692623585E-2</v>
      </c>
      <c r="K68" s="122">
        <f t="shared" si="19"/>
        <v>3.5236921454423697E-2</v>
      </c>
      <c r="Y68" s="126">
        <f>IF($Z$1, C68, -0.2)</f>
        <v>-0.2</v>
      </c>
    </row>
    <row r="69" spans="2:25" x14ac:dyDescent="0.3">
      <c r="B69" s="122">
        <v>4.5124580941806103E-2</v>
      </c>
      <c r="C69" s="122">
        <f t="shared" si="11"/>
        <v>4.3088353136632495E-3</v>
      </c>
      <c r="D69" s="126">
        <f t="shared" si="12"/>
        <v>1.7936951879218094E-2</v>
      </c>
      <c r="E69" s="122">
        <f t="shared" si="13"/>
        <v>9.0975083811638782E-2</v>
      </c>
      <c r="F69" s="122">
        <f t="shared" si="14"/>
        <v>9.0725338788320092E-2</v>
      </c>
      <c r="G69" s="122">
        <f t="shared" si="15"/>
        <v>4.3499476444578543E-2</v>
      </c>
      <c r="H69" s="122">
        <f t="shared" si="16"/>
        <v>2.2172017507507556E-2</v>
      </c>
      <c r="I69" s="122">
        <f t="shared" si="17"/>
        <v>4.6749685439033663E-2</v>
      </c>
      <c r="J69" s="122">
        <f t="shared" si="18"/>
        <v>-1.3554346880181058E-2</v>
      </c>
      <c r="K69" s="122">
        <f t="shared" si="19"/>
        <v>3.5726364387688614E-2</v>
      </c>
      <c r="Y69" s="126">
        <f>IF($Z$1, C69, -0.2)</f>
        <v>-0.2</v>
      </c>
    </row>
    <row r="70" spans="2:25" x14ac:dyDescent="0.3">
      <c r="B70" s="122">
        <v>4.6440447813204166E-2</v>
      </c>
      <c r="C70" s="122">
        <f t="shared" si="11"/>
        <v>4.4283732620113226E-3</v>
      </c>
      <c r="D70" s="126">
        <f t="shared" si="12"/>
        <v>1.8181645898586302E-2</v>
      </c>
      <c r="E70" s="122">
        <f t="shared" si="13"/>
        <v>9.0711910437359169E-2</v>
      </c>
      <c r="F70" s="122">
        <f t="shared" si="14"/>
        <v>9.0464319487967751E-2</v>
      </c>
      <c r="G70" s="122">
        <f t="shared" si="15"/>
        <v>4.4797900109151904E-2</v>
      </c>
      <c r="H70" s="122">
        <f t="shared" si="16"/>
        <v>2.2535672470382864E-2</v>
      </c>
      <c r="I70" s="122">
        <f t="shared" si="17"/>
        <v>4.8082995517256429E-2</v>
      </c>
      <c r="J70" s="122">
        <f t="shared" si="18"/>
        <v>-1.3678925946360221E-2</v>
      </c>
      <c r="K70" s="122">
        <f t="shared" si="19"/>
        <v>3.6214598416743085E-2</v>
      </c>
      <c r="Y70" s="126">
        <f>IF($Z$1, C70, -0.2)</f>
        <v>-0.2</v>
      </c>
    </row>
    <row r="71" spans="2:25" x14ac:dyDescent="0.3">
      <c r="B71" s="122">
        <v>4.7774292277328378E-2</v>
      </c>
      <c r="C71" s="122">
        <f t="shared" si="11"/>
        <v>4.5491909274728778E-3</v>
      </c>
      <c r="D71" s="126">
        <f t="shared" si="12"/>
        <v>1.842571301085422E-2</v>
      </c>
      <c r="E71" s="122">
        <f t="shared" si="13"/>
        <v>9.0445141544534327E-2</v>
      </c>
      <c r="F71" s="122">
        <f t="shared" si="14"/>
        <v>9.0199721482889225E-2</v>
      </c>
      <c r="G71" s="122">
        <f t="shared" si="15"/>
        <v>4.6114550840287698E-2</v>
      </c>
      <c r="H71" s="122">
        <f t="shared" si="16"/>
        <v>2.2899999038303656E-2</v>
      </c>
      <c r="I71" s="122">
        <f t="shared" si="17"/>
        <v>4.9434033714369059E-2</v>
      </c>
      <c r="J71" s="122">
        <f t="shared" si="18"/>
        <v>-1.38016171833579E-2</v>
      </c>
      <c r="K71" s="122">
        <f t="shared" si="19"/>
        <v>3.6701616221661557E-2</v>
      </c>
      <c r="Y71" s="126">
        <f>IF($Z$1, C71, -0.2)</f>
        <v>-0.2</v>
      </c>
    </row>
    <row r="72" spans="2:25" x14ac:dyDescent="0.3">
      <c r="B72" s="122">
        <v>4.9126061465018855E-2</v>
      </c>
      <c r="C72" s="122">
        <f t="shared" si="11"/>
        <v>4.6712691549954041E-3</v>
      </c>
      <c r="D72" s="126">
        <f t="shared" si="12"/>
        <v>1.8669149409100975E-2</v>
      </c>
      <c r="E72" s="122">
        <f t="shared" si="13"/>
        <v>9.0174787706996232E-2</v>
      </c>
      <c r="F72" s="122">
        <f t="shared" si="14"/>
        <v>8.993155478494419E-2</v>
      </c>
      <c r="G72" s="122">
        <f t="shared" si="15"/>
        <v>4.7449378047589377E-2</v>
      </c>
      <c r="H72" s="122">
        <f t="shared" si="16"/>
        <v>2.3264974336509182E-2</v>
      </c>
      <c r="I72" s="122">
        <f t="shared" si="17"/>
        <v>5.0802744882448334E-2</v>
      </c>
      <c r="J72" s="122">
        <f t="shared" si="18"/>
        <v>-1.3922436026518374E-2</v>
      </c>
      <c r="K72" s="122">
        <f t="shared" si="19"/>
        <v>3.7187410363027557E-2</v>
      </c>
      <c r="Y72" s="126">
        <f>IF($Z$1, C72, -0.2)</f>
        <v>-0.2</v>
      </c>
    </row>
    <row r="73" spans="2:25" x14ac:dyDescent="0.3">
      <c r="B73" s="122">
        <v>5.0495701796638981E-2</v>
      </c>
      <c r="C73" s="122">
        <f t="shared" si="11"/>
        <v>4.7945885896703896E-3</v>
      </c>
      <c r="D73" s="126">
        <f t="shared" si="12"/>
        <v>1.8911951230743042E-2</v>
      </c>
      <c r="E73" s="122">
        <f t="shared" si="13"/>
        <v>8.9900859640672209E-2</v>
      </c>
      <c r="F73" s="122">
        <f t="shared" si="14"/>
        <v>8.9659829545072747E-2</v>
      </c>
      <c r="G73" s="122">
        <f t="shared" si="15"/>
        <v>4.8802330405561839E-2</v>
      </c>
      <c r="H73" s="122">
        <f t="shared" si="16"/>
        <v>2.3630575229235749E-2</v>
      </c>
      <c r="I73" s="122">
        <f t="shared" si="17"/>
        <v>5.2189073187716123E-2</v>
      </c>
      <c r="J73" s="122">
        <f t="shared" si="18"/>
        <v>-1.4041398049894972E-2</v>
      </c>
      <c r="K73" s="122">
        <f t="shared" si="19"/>
        <v>3.7671973279130723E-2</v>
      </c>
      <c r="Y73" s="126">
        <f>IF($Z$1, C73, -0.2)</f>
        <v>-0.2</v>
      </c>
    </row>
    <row r="74" spans="2:25" x14ac:dyDescent="0.3">
      <c r="B74" s="122">
        <v>5.1883158984199651E-2</v>
      </c>
      <c r="C74" s="122">
        <f t="shared" si="11"/>
        <v>4.919129679801992E-3</v>
      </c>
      <c r="D74" s="126">
        <f t="shared" si="12"/>
        <v>1.9154114556164472E-2</v>
      </c>
      <c r="E74" s="122">
        <f t="shared" si="13"/>
        <v>8.9623368203160081E-2</v>
      </c>
      <c r="F74" s="122">
        <f t="shared" si="14"/>
        <v>8.9384556053061823E-2</v>
      </c>
      <c r="G74" s="122">
        <f t="shared" si="15"/>
        <v>5.0173355855544027E-2</v>
      </c>
      <c r="H74" s="122">
        <f t="shared" si="16"/>
        <v>2.3996778321390695E-2</v>
      </c>
      <c r="I74" s="122">
        <f t="shared" si="17"/>
        <v>5.3592962112855275E-2</v>
      </c>
      <c r="J74" s="122">
        <f t="shared" si="18"/>
        <v>-1.4158518961786709E-2</v>
      </c>
      <c r="K74" s="122">
        <f t="shared" si="19"/>
        <v>3.8155297283177403E-2</v>
      </c>
      <c r="Y74" s="126">
        <f>IF($Z$1, C74, -0.2)</f>
        <v>-0.2</v>
      </c>
    </row>
    <row r="75" spans="2:25" x14ac:dyDescent="0.3">
      <c r="B75" s="122">
        <v>5.3288378033510775E-2</v>
      </c>
      <c r="C75" s="122">
        <f t="shared" si="11"/>
        <v>5.0448726800068422E-3</v>
      </c>
      <c r="D75" s="126">
        <f t="shared" si="12"/>
        <v>1.9395635407353323E-2</v>
      </c>
      <c r="E75" s="122">
        <f t="shared" si="13"/>
        <v>8.9342324393297853E-2</v>
      </c>
      <c r="F75" s="122">
        <f t="shared" si="14"/>
        <v>8.9105744737306869E-2</v>
      </c>
      <c r="G75" s="122">
        <f t="shared" si="15"/>
        <v>5.1562401607665287E-2</v>
      </c>
      <c r="H75" s="122">
        <f t="shared" si="16"/>
        <v>2.4363559960264874E-2</v>
      </c>
      <c r="I75" s="122">
        <f t="shared" si="17"/>
        <v>5.5014354459356263E-2</v>
      </c>
      <c r="J75" s="122">
        <f t="shared" si="18"/>
        <v>-1.4273814600251192E-2</v>
      </c>
      <c r="K75" s="122">
        <f t="shared" si="19"/>
        <v>3.8637374560516066E-2</v>
      </c>
      <c r="Y75" s="126">
        <f>IF($Z$1, C75, -0.2)</f>
        <v>-0.2</v>
      </c>
    </row>
    <row r="76" spans="2:25" x14ac:dyDescent="0.3">
      <c r="B76" s="122">
        <v>5.4711303246361032E-2</v>
      </c>
      <c r="C76" s="122">
        <f t="shared" si="11"/>
        <v>5.1717976543445765E-3</v>
      </c>
      <c r="D76" s="126">
        <f t="shared" si="12"/>
        <v>1.9636509746545544E-2</v>
      </c>
      <c r="E76" s="122">
        <f t="shared" si="13"/>
        <v>8.9057739350727805E-2</v>
      </c>
      <c r="F76" s="122">
        <f t="shared" si="14"/>
        <v>8.8823406164568922E-2</v>
      </c>
      <c r="G76" s="122">
        <f t="shared" si="15"/>
        <v>5.2969414142826375E-2</v>
      </c>
      <c r="H76" s="122">
        <f t="shared" si="16"/>
        <v>2.4730896237284573E-2</v>
      </c>
      <c r="I76" s="122">
        <f t="shared" si="17"/>
        <v>5.6453192349895688E-2</v>
      </c>
      <c r="J76" s="122">
        <f t="shared" si="18"/>
        <v>-1.4387300928595418E-2</v>
      </c>
      <c r="K76" s="122">
        <f t="shared" si="19"/>
        <v>3.9118197165879991E-2</v>
      </c>
      <c r="Y76" s="126">
        <f>IF($Z$1, C76, -0.2)</f>
        <v>-0.2</v>
      </c>
    </row>
    <row r="77" spans="2:25" x14ac:dyDescent="0.3">
      <c r="B77" s="122">
        <v>5.6151878222725771E-2</v>
      </c>
      <c r="C77" s="122">
        <f t="shared" si="11"/>
        <v>5.2998844794785952E-3</v>
      </c>
      <c r="D77" s="126">
        <f t="shared" si="12"/>
        <v>1.987673347487709E-2</v>
      </c>
      <c r="E77" s="122">
        <f t="shared" si="13"/>
        <v>8.8769624355454851E-2</v>
      </c>
      <c r="F77" s="122">
        <f t="shared" si="14"/>
        <v>8.8537551039726797E-2</v>
      </c>
      <c r="G77" s="122">
        <f t="shared" si="15"/>
        <v>5.439433921470499E-2</v>
      </c>
      <c r="H77" s="122">
        <f t="shared" si="16"/>
        <v>2.5098762989802979E-2</v>
      </c>
      <c r="I77" s="122">
        <f t="shared" si="17"/>
        <v>5.7909417230746552E-2</v>
      </c>
      <c r="J77" s="122">
        <f t="shared" si="18"/>
        <v>-1.4498994030845791E-2</v>
      </c>
      <c r="K77" s="122">
        <f t="shared" si="19"/>
        <v>3.9597757020648772E-2</v>
      </c>
      <c r="Y77" s="126">
        <f>IF($Z$1, C77, -0.2)</f>
        <v>-0.2</v>
      </c>
    </row>
    <row r="78" spans="2:25" x14ac:dyDescent="0.3">
      <c r="B78" s="122">
        <v>5.7610045863002224E-2</v>
      </c>
      <c r="C78" s="122">
        <f t="shared" si="11"/>
        <v>5.4291128478665008E-3</v>
      </c>
      <c r="D78" s="126">
        <f t="shared" si="12"/>
        <v>2.0116302431045174E-2</v>
      </c>
      <c r="E78" s="122">
        <f t="shared" si="13"/>
        <v>8.8477990827399558E-2</v>
      </c>
      <c r="F78" s="122">
        <f t="shared" si="14"/>
        <v>8.8248190205524546E-2</v>
      </c>
      <c r="G78" s="122">
        <f t="shared" si="15"/>
        <v>5.5837121851784736E-2</v>
      </c>
      <c r="H78" s="122">
        <f t="shared" si="16"/>
        <v>2.5467135802931765E-2</v>
      </c>
      <c r="I78" s="122">
        <f t="shared" si="17"/>
        <v>5.9382969874219711E-2</v>
      </c>
      <c r="J78" s="122">
        <f t="shared" si="18"/>
        <v>-1.4608910107198765E-2</v>
      </c>
      <c r="K78" s="122">
        <f t="shared" si="19"/>
        <v>4.0076045910130531E-2</v>
      </c>
      <c r="Y78" s="126">
        <f>IF($Z$1, C78, -0.2)</f>
        <v>-0.2</v>
      </c>
    </row>
    <row r="79" spans="2:25" x14ac:dyDescent="0.3">
      <c r="B79" s="122">
        <v>5.9085748370273083E-2</v>
      </c>
      <c r="C79" s="122">
        <f t="shared" si="11"/>
        <v>5.5594622709797857E-3</v>
      </c>
      <c r="D79" s="126">
        <f t="shared" si="12"/>
        <v>2.0355212389979747E-2</v>
      </c>
      <c r="E79" s="122">
        <f t="shared" si="13"/>
        <v>8.8182850325945389E-2</v>
      </c>
      <c r="F79" s="122">
        <f t="shared" si="14"/>
        <v>8.795533464231392E-2</v>
      </c>
      <c r="G79" s="122">
        <f t="shared" si="15"/>
        <v>5.7297706359408555E-2</v>
      </c>
      <c r="H79" s="122">
        <f t="shared" si="16"/>
        <v>2.5835990011413269E-2</v>
      </c>
      <c r="I79" s="122">
        <f t="shared" si="17"/>
        <v>6.0873790381137612E-2</v>
      </c>
      <c r="J79" s="122">
        <f t="shared" si="18"/>
        <v>-1.47170654694537E-2</v>
      </c>
      <c r="K79" s="122">
        <f t="shared" si="19"/>
        <v>4.0553055480866969E-2</v>
      </c>
      <c r="Y79" s="126">
        <f>IF($Z$1, C79, -0.2)</f>
        <v>-0.2</v>
      </c>
    </row>
    <row r="80" spans="2:25" x14ac:dyDescent="0.3">
      <c r="B80" s="122">
        <v>6.0578927252597115E-2</v>
      </c>
      <c r="C80" s="122">
        <f t="shared" si="11"/>
        <v>5.6909120825521659E-3</v>
      </c>
      <c r="D80" s="126">
        <f t="shared" si="12"/>
        <v>2.0593459061525994E-2</v>
      </c>
      <c r="E80" s="122">
        <f t="shared" si="13"/>
        <v>8.7884214549480588E-2</v>
      </c>
      <c r="F80" s="122">
        <f t="shared" si="14"/>
        <v>8.7658995467792031E-2</v>
      </c>
      <c r="G80" s="122">
        <f t="shared" si="15"/>
        <v>5.877603632185513E-2</v>
      </c>
      <c r="H80" s="122">
        <f t="shared" si="16"/>
        <v>2.620530070153361E-2</v>
      </c>
      <c r="I80" s="122">
        <f t="shared" si="17"/>
        <v>6.2381818183339099E-2</v>
      </c>
      <c r="J80" s="122">
        <f t="shared" si="18"/>
        <v>-1.4823476536429278E-2</v>
      </c>
      <c r="K80" s="122">
        <f t="shared" si="19"/>
        <v>4.1028777237962888E-2</v>
      </c>
      <c r="Y80" s="126">
        <f>IF($Z$1, C80, -0.2)</f>
        <v>-0.2</v>
      </c>
    </row>
    <row r="81" spans="2:25" x14ac:dyDescent="0.3">
      <c r="B81" s="122">
        <v>6.2089523325327745E-2</v>
      </c>
      <c r="C81" s="122">
        <f t="shared" si="11"/>
        <v>5.8234414418561337E-3</v>
      </c>
      <c r="D81" s="126">
        <f t="shared" si="12"/>
        <v>2.0831038089138817E-2</v>
      </c>
      <c r="E81" s="122">
        <f t="shared" si="13"/>
        <v>8.7582095334934454E-2</v>
      </c>
      <c r="F81" s="122">
        <f t="shared" si="14"/>
        <v>8.7359183936734017E-2</v>
      </c>
      <c r="G81" s="122">
        <f t="shared" si="15"/>
        <v>6.0272054604439115E-2</v>
      </c>
      <c r="H81" s="122">
        <f t="shared" si="16"/>
        <v>2.6575042713077198E-2</v>
      </c>
      <c r="I81" s="122">
        <f t="shared" si="17"/>
        <v>6.3906992046216374E-2</v>
      </c>
      <c r="J81" s="122">
        <f t="shared" si="18"/>
        <v>-1.4928159829364931E-2</v>
      </c>
      <c r="K81" s="122">
        <f t="shared" si="19"/>
        <v>4.1503202542442129E-2</v>
      </c>
      <c r="Y81" s="126">
        <f>IF($Z$1, C81, -0.2)</f>
        <v>-0.2</v>
      </c>
    </row>
    <row r="82" spans="2:25" x14ac:dyDescent="0.3">
      <c r="B82" s="122">
        <v>6.3617476713458798E-2</v>
      </c>
      <c r="C82" s="122">
        <f t="shared" si="11"/>
        <v>5.9570293370071331E-3</v>
      </c>
      <c r="D82" s="126">
        <f t="shared" si="12"/>
        <v>2.1067945048590289E-2</v>
      </c>
      <c r="E82" s="122">
        <f t="shared" si="13"/>
        <v>8.727650465730824E-2</v>
      </c>
      <c r="F82" s="122">
        <f t="shared" si="14"/>
        <v>8.705591144072064E-2</v>
      </c>
      <c r="G82" s="122">
        <f t="shared" si="15"/>
        <v>6.1785703355634332E-2</v>
      </c>
      <c r="H82" s="122">
        <f t="shared" si="16"/>
        <v>2.6945190641323061E-2</v>
      </c>
      <c r="I82" s="122">
        <f t="shared" si="17"/>
        <v>6.5449250071283258E-2</v>
      </c>
      <c r="J82" s="122">
        <f t="shared" si="18"/>
        <v>-1.5031131967308795E-2</v>
      </c>
      <c r="K82" s="122">
        <f t="shared" si="19"/>
        <v>4.1976322608631857E-2</v>
      </c>
      <c r="Y82" s="126">
        <f>IF($Z$1, C82, -0.2)</f>
        <v>-0.2</v>
      </c>
    </row>
    <row r="83" spans="2:25" x14ac:dyDescent="0.3">
      <c r="B83" s="122">
        <v>6.5162726853997877E-2</v>
      </c>
      <c r="C83" s="122">
        <f t="shared" si="11"/>
        <v>6.0916545882949147E-3</v>
      </c>
      <c r="D83" s="126">
        <f t="shared" si="12"/>
        <v>2.1304175446690984E-2</v>
      </c>
      <c r="E83" s="122">
        <f t="shared" si="13"/>
        <v>8.6967454629200427E-2</v>
      </c>
      <c r="F83" s="122">
        <f t="shared" si="14"/>
        <v>8.6749189507860869E-2</v>
      </c>
      <c r="G83" s="122">
        <f t="shared" si="15"/>
        <v>6.3316924009220191E-2</v>
      </c>
      <c r="H83" s="122">
        <f t="shared" si="16"/>
        <v>2.7315718839083489E-2</v>
      </c>
      <c r="I83" s="122">
        <f t="shared" si="17"/>
        <v>6.7008529698775562E-2</v>
      </c>
      <c r="J83" s="122">
        <f t="shared" si="18"/>
        <v>-1.513240966249366E-2</v>
      </c>
      <c r="K83" s="122">
        <f t="shared" si="19"/>
        <v>4.244812850157715E-2</v>
      </c>
      <c r="Y83" s="126">
        <f>IF($Z$1, C83, -0.2)</f>
        <v>-0.2</v>
      </c>
    </row>
    <row r="84" spans="2:25" x14ac:dyDescent="0.3">
      <c r="B84" s="122">
        <v>6.672521249836677E-2</v>
      </c>
      <c r="C84" s="122">
        <f t="shared" si="11"/>
        <v>6.227295851541457E-3</v>
      </c>
      <c r="D84" s="126">
        <f t="shared" si="12"/>
        <v>2.1539724720026139E-2</v>
      </c>
      <c r="E84" s="122">
        <f t="shared" si="13"/>
        <v>8.6654957500326646E-2</v>
      </c>
      <c r="F84" s="122">
        <f t="shared" si="14"/>
        <v>8.6439029802509268E-2</v>
      </c>
      <c r="G84" s="122">
        <f t="shared" si="15"/>
        <v>6.4865657286450731E-2</v>
      </c>
      <c r="H84" s="122">
        <f t="shared" si="16"/>
        <v>2.7686601418785265E-2</v>
      </c>
      <c r="I84" s="122">
        <f t="shared" si="17"/>
        <v>6.858476771028281E-2</v>
      </c>
      <c r="J84" s="122">
        <f t="shared" si="18"/>
        <v>-1.5232009715702353E-2</v>
      </c>
      <c r="K84" s="122">
        <f t="shared" si="19"/>
        <v>4.2918611134487618E-2</v>
      </c>
      <c r="Y84" s="126">
        <f>IF($Z$1, C84, -0.2)</f>
        <v>-0.2</v>
      </c>
    </row>
    <row r="85" spans="2:25" x14ac:dyDescent="0.3">
      <c r="B85" s="122">
        <v>6.8304871714829296E-2</v>
      </c>
      <c r="C85" s="122">
        <f t="shared" si="11"/>
        <v>6.3639316214850021E-3</v>
      </c>
      <c r="D85" s="126">
        <f t="shared" si="12"/>
        <v>2.1774588233707499E-2</v>
      </c>
      <c r="E85" s="122">
        <f t="shared" si="13"/>
        <v>8.6339025657034149E-2</v>
      </c>
      <c r="F85" s="122">
        <f t="shared" si="14"/>
        <v>8.6125444124978329E-2</v>
      </c>
      <c r="G85" s="122">
        <f t="shared" si="15"/>
        <v>6.643184319824666E-2</v>
      </c>
      <c r="H85" s="122">
        <f t="shared" si="16"/>
        <v>2.8057812254593993E-2</v>
      </c>
      <c r="I85" s="122">
        <f t="shared" si="17"/>
        <v>7.0177900231411933E-2</v>
      </c>
      <c r="J85" s="122">
        <f t="shared" si="18"/>
        <v>-1.5329949011623989E-2</v>
      </c>
      <c r="K85" s="122">
        <f t="shared" si="19"/>
        <v>4.3387761266217982E-2</v>
      </c>
      <c r="Y85" s="126">
        <f>IF($Z$1, C85, -0.2)</f>
        <v>-0.2</v>
      </c>
    </row>
    <row r="86" spans="2:25" x14ac:dyDescent="0.3">
      <c r="B86" s="122">
        <v>6.9901641890945942E-2</v>
      </c>
      <c r="C86" s="122">
        <f t="shared" si="11"/>
        <v>6.5015402351895901E-3</v>
      </c>
      <c r="D86" s="126">
        <f t="shared" si="12"/>
        <v>2.2008761280141852E-2</v>
      </c>
      <c r="E86" s="122">
        <f t="shared" si="13"/>
        <v>8.6019671621810817E-2</v>
      </c>
      <c r="F86" s="122">
        <f t="shared" si="14"/>
        <v>8.5808444411245452E-2</v>
      </c>
      <c r="G86" s="122">
        <f t="shared" si="15"/>
        <v>6.8015421047409472E-2</v>
      </c>
      <c r="H86" s="122">
        <f t="shared" si="16"/>
        <v>2.8429324984581852E-2</v>
      </c>
      <c r="I86" s="122">
        <f t="shared" si="17"/>
        <v>7.1787862734482413E-2</v>
      </c>
      <c r="J86" s="122">
        <f t="shared" si="18"/>
        <v>-1.5426244514202672E-2</v>
      </c>
      <c r="K86" s="122">
        <f t="shared" si="19"/>
        <v>4.3855569498784525E-2</v>
      </c>
      <c r="Y86" s="126">
        <f>IF($Z$1, C86, -0.2)</f>
        <v>-0.2</v>
      </c>
    </row>
    <row r="87" spans="2:25" x14ac:dyDescent="0.3">
      <c r="B87" s="122">
        <v>7.1515459736055498E-2</v>
      </c>
      <c r="C87" s="122">
        <f t="shared" si="11"/>
        <v>6.6400998754796124E-3</v>
      </c>
      <c r="D87" s="126">
        <f t="shared" si="12"/>
        <v>2.2242239077817222E-2</v>
      </c>
      <c r="E87" s="122">
        <f t="shared" si="13"/>
        <v>8.56969080527889E-2</v>
      </c>
      <c r="F87" s="122">
        <f t="shared" si="14"/>
        <v>8.5488042732654812E-2</v>
      </c>
      <c r="G87" s="122">
        <f t="shared" si="15"/>
        <v>6.9616329430857965E-2</v>
      </c>
      <c r="H87" s="122">
        <f t="shared" si="16"/>
        <v>2.8801113012939278E-2</v>
      </c>
      <c r="I87" s="122">
        <f t="shared" si="17"/>
        <v>7.3414590041253031E-2</v>
      </c>
      <c r="J87" s="122">
        <f t="shared" si="18"/>
        <v>-1.5520913261980053E-2</v>
      </c>
      <c r="K87" s="122">
        <f t="shared" si="19"/>
        <v>4.4322026274919331E-2</v>
      </c>
      <c r="Y87" s="126">
        <f>IF($Z$1, C87, -0.2)</f>
        <v>-0.2</v>
      </c>
    </row>
    <row r="88" spans="2:25" x14ac:dyDescent="0.3">
      <c r="B88" s="122">
        <v>7.3146261283784042E-2</v>
      </c>
      <c r="C88" s="122">
        <f t="shared" si="11"/>
        <v>6.779588574398844E-3</v>
      </c>
      <c r="D88" s="126">
        <f t="shared" si="12"/>
        <v>2.2475016770107544E-2</v>
      </c>
      <c r="E88" s="122">
        <f t="shared" si="13"/>
        <v>8.53707477432432E-2</v>
      </c>
      <c r="F88" s="122">
        <f t="shared" si="14"/>
        <v>8.516425129561371E-2</v>
      </c>
      <c r="G88" s="122">
        <f t="shared" si="15"/>
        <v>7.123450624188743E-2</v>
      </c>
      <c r="H88" s="122">
        <f t="shared" si="16"/>
        <v>2.9173149512230913E-2</v>
      </c>
      <c r="I88" s="122">
        <f t="shared" si="17"/>
        <v>7.5058016325680654E-2</v>
      </c>
      <c r="J88" s="122">
        <f t="shared" si="18"/>
        <v>-1.5613972363433225E-2</v>
      </c>
      <c r="K88" s="122">
        <f t="shared" si="19"/>
        <v>4.4787121875664138E-2</v>
      </c>
      <c r="Y88" s="126">
        <f>IF($Z$1, C88, -0.2)</f>
        <v>-0.2</v>
      </c>
    </row>
    <row r="89" spans="2:25" x14ac:dyDescent="0.3">
      <c r="B89" s="122">
        <v>7.4793981894580031E-2</v>
      </c>
      <c r="C89" s="122">
        <f t="shared" si="11"/>
        <v>6.919984216693327E-3</v>
      </c>
      <c r="D89" s="126">
        <f t="shared" si="12"/>
        <v>2.2707089424096737E-2</v>
      </c>
      <c r="E89" s="122">
        <f t="shared" si="13"/>
        <v>8.5041203621083999E-2</v>
      </c>
      <c r="F89" s="122">
        <f t="shared" si="14"/>
        <v>8.4837082441283754E-2</v>
      </c>
      <c r="G89" s="122">
        <f t="shared" si="15"/>
        <v>7.2869888672450034E-2</v>
      </c>
      <c r="H89" s="122">
        <f t="shared" si="16"/>
        <v>2.9545407425696054E-2</v>
      </c>
      <c r="I89" s="122">
        <f t="shared" si="17"/>
        <v>7.6718075116710027E-2</v>
      </c>
      <c r="J89" s="122">
        <f t="shared" si="18"/>
        <v>-1.57054389923094E-2</v>
      </c>
      <c r="K89" s="122">
        <f t="shared" si="19"/>
        <v>4.5250846418005454E-2</v>
      </c>
      <c r="Y89" s="126">
        <f>IF($Z$1, C89, -0.2)</f>
        <v>-0.2</v>
      </c>
    </row>
    <row r="90" spans="2:25" x14ac:dyDescent="0.3">
      <c r="B90" s="122">
        <v>7.6458556258276578E-2</v>
      </c>
      <c r="C90" s="122">
        <f t="shared" si="11"/>
        <v>7.0612645433176541E-3</v>
      </c>
      <c r="D90" s="126">
        <f t="shared" si="12"/>
        <v>2.2938452029423236E-2</v>
      </c>
      <c r="E90" s="122">
        <f t="shared" si="13"/>
        <v>8.4708288748344684E-2</v>
      </c>
      <c r="F90" s="122">
        <f t="shared" si="14"/>
        <v>8.4506548645266494E-2</v>
      </c>
      <c r="G90" s="122">
        <f t="shared" si="15"/>
        <v>7.4522413215457592E-2</v>
      </c>
      <c r="H90" s="122">
        <f t="shared" si="16"/>
        <v>2.9917859469594285E-2</v>
      </c>
      <c r="I90" s="122">
        <f t="shared" si="17"/>
        <v>7.8394699301095563E-2</v>
      </c>
      <c r="J90" s="122">
        <f t="shared" si="18"/>
        <v>-1.579533038295898E-2</v>
      </c>
      <c r="K90" s="122">
        <f t="shared" si="19"/>
        <v>4.5713189852553265E-2</v>
      </c>
      <c r="Y90" s="126">
        <f>IF($Z$1, C90, -0.2)</f>
        <v>-0.2</v>
      </c>
    </row>
    <row r="91" spans="2:25" x14ac:dyDescent="0.3">
      <c r="B91" s="122">
        <v>7.8139918396679942E-2</v>
      </c>
      <c r="C91" s="122">
        <f t="shared" si="11"/>
        <v>7.2034071549640149E-3</v>
      </c>
      <c r="D91" s="126">
        <f t="shared" si="12"/>
        <v>2.3169099497145702E-2</v>
      </c>
      <c r="E91" s="122">
        <f t="shared" si="13"/>
        <v>8.4372016320664017E-2</v>
      </c>
      <c r="F91" s="122">
        <f t="shared" si="14"/>
        <v>8.4172662517283697E-2</v>
      </c>
      <c r="G91" s="122">
        <f t="shared" si="15"/>
        <v>7.6192015667105706E-2</v>
      </c>
      <c r="H91" s="122">
        <f t="shared" si="16"/>
        <v>3.0290478135596325E-2</v>
      </c>
      <c r="I91" s="122">
        <f t="shared" si="17"/>
        <v>8.0087821126254177E-2</v>
      </c>
      <c r="J91" s="122">
        <f t="shared" si="18"/>
        <v>-1.5883663825668293E-2</v>
      </c>
      <c r="K91" s="122">
        <f t="shared" si="19"/>
        <v>4.6174141961264618E-2</v>
      </c>
      <c r="Y91" s="126">
        <f>IF($Z$1, C91, -0.2)</f>
        <v>-0.2</v>
      </c>
    </row>
    <row r="92" spans="2:25" x14ac:dyDescent="0.3">
      <c r="B92" s="122">
        <v>7.9838001666184821E-2</v>
      </c>
      <c r="C92" s="122">
        <f t="shared" si="11"/>
        <v>7.3463895156135094E-3</v>
      </c>
      <c r="D92" s="126">
        <f t="shared" si="12"/>
        <v>2.3399026658631004E-2</v>
      </c>
      <c r="E92" s="122">
        <f t="shared" si="13"/>
        <v>8.4032399666763041E-2</v>
      </c>
      <c r="F92" s="122">
        <f t="shared" si="14"/>
        <v>8.3835436800851953E-2</v>
      </c>
      <c r="G92" s="122">
        <f t="shared" si="15"/>
        <v>7.7878631129219694E-2</v>
      </c>
      <c r="H92" s="122">
        <f t="shared" si="16"/>
        <v>3.0663235693220749E-2</v>
      </c>
      <c r="I92" s="122">
        <f t="shared" si="17"/>
        <v>8.1797372203149948E-2</v>
      </c>
      <c r="J92" s="122">
        <f t="shared" si="18"/>
        <v>-1.5970456661993732E-2</v>
      </c>
      <c r="K92" s="122">
        <f t="shared" si="19"/>
        <v>4.663369235521448E-2</v>
      </c>
      <c r="Y92" s="126">
        <f>IF($Z$1, C92, -0.2)</f>
        <v>-0.2</v>
      </c>
    </row>
    <row r="93" spans="2:25" x14ac:dyDescent="0.3">
      <c r="B93" s="122">
        <v>8.1552738760416077E-2</v>
      </c>
      <c r="C93" s="122">
        <f t="shared" si="11"/>
        <v>7.4901889561091416E-3</v>
      </c>
      <c r="D93" s="126">
        <f t="shared" si="12"/>
        <v>2.3628228264465256E-2</v>
      </c>
      <c r="E93" s="122">
        <f t="shared" si="13"/>
        <v>8.3689452247916796E-2</v>
      </c>
      <c r="F93" s="122">
        <f t="shared" si="14"/>
        <v>8.3494884372951855E-2</v>
      </c>
      <c r="G93" s="122">
        <f t="shared" si="15"/>
        <v>7.9582194011621976E-2</v>
      </c>
      <c r="H93" s="122">
        <f t="shared" si="16"/>
        <v>3.1036104192316775E-2</v>
      </c>
      <c r="I93" s="122">
        <f t="shared" si="17"/>
        <v>8.3523283509210178E-2</v>
      </c>
      <c r="J93" s="122">
        <f t="shared" si="18"/>
        <v>-1.6055726280098492E-2</v>
      </c>
      <c r="K93" s="122">
        <f t="shared" si="19"/>
        <v>4.7091830472415268E-2</v>
      </c>
      <c r="Y93" s="126">
        <f>IF($Z$1, C93, -0.2)</f>
        <v>-0.2</v>
      </c>
    </row>
    <row r="94" spans="2:25" x14ac:dyDescent="0.3">
      <c r="B94" s="122">
        <v>8.3284061712896151E-2</v>
      </c>
      <c r="C94" s="122">
        <f t="shared" si="11"/>
        <v>7.6347826777498663E-3</v>
      </c>
      <c r="D94" s="126">
        <f t="shared" si="12"/>
        <v>2.3856698983388783E-2</v>
      </c>
      <c r="E94" s="122">
        <f t="shared" si="13"/>
        <v>8.334318765742077E-2</v>
      </c>
      <c r="F94" s="122">
        <f t="shared" si="14"/>
        <v>8.3151018243691505E-2</v>
      </c>
      <c r="G94" s="122">
        <f t="shared" si="15"/>
        <v>8.1302638034520203E-2</v>
      </c>
      <c r="H94" s="122">
        <f t="shared" si="16"/>
        <v>3.1409055465593333E-2</v>
      </c>
      <c r="I94" s="122">
        <f t="shared" si="17"/>
        <v>8.52654853912721E-2</v>
      </c>
      <c r="J94" s="122">
        <f t="shared" si="18"/>
        <v>-1.6139490110093604E-2</v>
      </c>
      <c r="K94" s="122">
        <f t="shared" si="19"/>
        <v>4.754854557568694E-2</v>
      </c>
      <c r="Y94" s="126">
        <f>IF($Z$1, C94, -0.2)</f>
        <v>-0.2</v>
      </c>
    </row>
    <row r="95" spans="2:25" x14ac:dyDescent="0.3">
      <c r="B95" s="122">
        <v>8.5031901899739193E-2</v>
      </c>
      <c r="C95" s="122">
        <f t="shared" si="11"/>
        <v>7.7801477559052328E-3</v>
      </c>
      <c r="D95" s="126">
        <f t="shared" si="12"/>
        <v>2.4084433401256034E-2</v>
      </c>
      <c r="E95" s="122">
        <f t="shared" si="13"/>
        <v>8.2993619620052167E-2</v>
      </c>
      <c r="F95" s="122">
        <f t="shared" si="14"/>
        <v>8.2803851555964494E-2</v>
      </c>
      <c r="G95" s="122">
        <f t="shared" si="15"/>
        <v>8.303989623091694E-2</v>
      </c>
      <c r="H95" s="122">
        <f t="shared" si="16"/>
        <v>3.1782061131195076E-2</v>
      </c>
      <c r="I95" s="122">
        <f t="shared" si="17"/>
        <v>8.7023907568561445E-2</v>
      </c>
      <c r="J95" s="122">
        <f t="shared" si="18"/>
        <v>-1.6221765619384609E-2</v>
      </c>
      <c r="K95" s="122">
        <f t="shared" si="19"/>
        <v>4.8003826750579681E-2</v>
      </c>
      <c r="Y95" s="126">
        <f>IF($Z$1, C95, -0.2)</f>
        <v>-0.2</v>
      </c>
    </row>
    <row r="96" spans="2:25" x14ac:dyDescent="0.3">
      <c r="B96" s="122">
        <v>8.6796190042371102E-2</v>
      </c>
      <c r="C96" s="122">
        <f t="shared" si="11"/>
        <v>7.9262611436499708E-3</v>
      </c>
      <c r="D96" s="126">
        <f t="shared" si="12"/>
        <v>2.4311426020021232E-2</v>
      </c>
      <c r="E96" s="122">
        <f t="shared" si="13"/>
        <v>8.2640761991525785E-2</v>
      </c>
      <c r="F96" s="122">
        <f t="shared" si="14"/>
        <v>8.2453397585101881E-2</v>
      </c>
      <c r="G96" s="122">
        <f t="shared" si="15"/>
        <v>8.4793900949040407E-2</v>
      </c>
      <c r="H96" s="122">
        <f t="shared" si="16"/>
        <v>3.2155092595325355E-2</v>
      </c>
      <c r="I96" s="122">
        <f t="shared" si="17"/>
        <v>8.8798479135701797E-2</v>
      </c>
      <c r="J96" s="122">
        <f t="shared" si="18"/>
        <v>-1.6302570308025413E-2</v>
      </c>
      <c r="K96" s="122">
        <f t="shared" si="19"/>
        <v>4.8457662903350768E-2</v>
      </c>
      <c r="Y96" s="126">
        <f>IF($Z$1, C96, -0.2)</f>
        <v>-0.2</v>
      </c>
    </row>
    <row r="97" spans="2:25" x14ac:dyDescent="0.3">
      <c r="B97" s="122">
        <v>8.8576856210275556E-2</v>
      </c>
      <c r="C97" s="122">
        <f t="shared" si="11"/>
        <v>8.0730996754179718E-3</v>
      </c>
      <c r="D97" s="126">
        <f t="shared" si="12"/>
        <v>2.453767125675068E-2</v>
      </c>
      <c r="E97" s="122">
        <f t="shared" si="13"/>
        <v>8.22846287579449E-2</v>
      </c>
      <c r="F97" s="122">
        <f t="shared" si="14"/>
        <v>8.2099669738518705E-2</v>
      </c>
      <c r="G97" s="122">
        <f t="shared" si="15"/>
        <v>8.6564583854795901E-2</v>
      </c>
      <c r="H97" s="122">
        <f t="shared" si="16"/>
        <v>3.2528121054916717E-2</v>
      </c>
      <c r="I97" s="122">
        <f t="shared" si="17"/>
        <v>9.0589128565755211E-2</v>
      </c>
      <c r="J97" s="122">
        <f t="shared" si="18"/>
        <v>-1.6381921704080777E-2</v>
      </c>
      <c r="K97" s="122">
        <f t="shared" si="19"/>
        <v>4.8910042758997498E-2</v>
      </c>
      <c r="Y97" s="126">
        <f>IF($Z$1, C97, -0.2)</f>
        <v>-0.2</v>
      </c>
    </row>
    <row r="98" spans="2:25" x14ac:dyDescent="0.3">
      <c r="B98" s="122">
        <v>9.0373829823765794E-2</v>
      </c>
      <c r="C98" s="122">
        <f t="shared" si="11"/>
        <v>8.2206400706750817E-3</v>
      </c>
      <c r="D98" s="126">
        <f t="shared" si="12"/>
        <v>2.4763163442662564E-2</v>
      </c>
      <c r="E98" s="122">
        <f t="shared" si="13"/>
        <v>8.1925234035246847E-2</v>
      </c>
      <c r="F98" s="122">
        <f t="shared" si="14"/>
        <v>8.1742681555354552E-2</v>
      </c>
      <c r="G98" s="122">
        <f t="shared" si="15"/>
        <v>8.8351875934238128E-2</v>
      </c>
      <c r="H98" s="122">
        <f t="shared" si="16"/>
        <v>3.2901117500348999E-2</v>
      </c>
      <c r="I98" s="122">
        <f t="shared" si="17"/>
        <v>9.2395783713293461E-2</v>
      </c>
      <c r="J98" s="122">
        <f t="shared" si="18"/>
        <v>-1.6459837358998836E-2</v>
      </c>
      <c r="K98" s="122">
        <f t="shared" si="19"/>
        <v>4.9360954859347835E-2</v>
      </c>
      <c r="Y98" s="126">
        <f>IF($Z$1, C98, -0.2)</f>
        <v>-0.2</v>
      </c>
    </row>
    <row r="99" spans="2:25" x14ac:dyDescent="0.3">
      <c r="B99" s="122">
        <v>9.2187039656781988E-2</v>
      </c>
      <c r="C99" s="122">
        <f t="shared" si="11"/>
        <v>8.3688589376100901E-3</v>
      </c>
      <c r="D99" s="126">
        <f t="shared" si="12"/>
        <v>2.4987896822195103E-2</v>
      </c>
      <c r="E99" s="122">
        <f t="shared" si="13"/>
        <v>8.1562592068643608E-2</v>
      </c>
      <c r="F99" s="122">
        <f t="shared" si="14"/>
        <v>8.1382446706108391E-2</v>
      </c>
      <c r="G99" s="122">
        <f t="shared" si="15"/>
        <v>9.0155707496063955E-2</v>
      </c>
      <c r="H99" s="122">
        <f t="shared" si="16"/>
        <v>3.3274052718215388E-2</v>
      </c>
      <c r="I99" s="122">
        <f t="shared" si="17"/>
        <v>9.4218371817500021E-2</v>
      </c>
      <c r="J99" s="122">
        <f t="shared" si="18"/>
        <v>-1.6536334842995205E-2</v>
      </c>
      <c r="K99" s="122">
        <f t="shared" si="19"/>
        <v>4.981038756121059E-2</v>
      </c>
      <c r="Y99" s="126">
        <f>IF($Z$1, C99, -0.2)</f>
        <v>-0.2</v>
      </c>
    </row>
    <row r="100" spans="2:25" x14ac:dyDescent="0.3">
      <c r="B100" s="122">
        <v>9.4016413839714708E-2</v>
      </c>
      <c r="C100" s="122">
        <f t="shared" si="11"/>
        <v>8.5177327768434213E-3</v>
      </c>
      <c r="D100" s="126">
        <f t="shared" si="12"/>
        <v>2.5211865552104036E-2</v>
      </c>
      <c r="E100" s="122">
        <f t="shared" si="13"/>
        <v>8.119671723205707E-2</v>
      </c>
      <c r="F100" s="122">
        <f t="shared" si="14"/>
        <v>8.1018978992267329E-2</v>
      </c>
      <c r="G100" s="122">
        <f t="shared" si="15"/>
        <v>9.1976008174126184E-2</v>
      </c>
      <c r="H100" s="122">
        <f t="shared" si="16"/>
        <v>3.3646897294136953E-2</v>
      </c>
      <c r="I100" s="122">
        <f t="shared" si="17"/>
        <v>9.6056819505303231E-2</v>
      </c>
      <c r="J100" s="122">
        <f t="shared" si="18"/>
        <v>-1.6611431740450114E-2</v>
      </c>
      <c r="K100" s="122">
        <f t="shared" si="19"/>
        <v>5.0258329034587067E-2</v>
      </c>
      <c r="Y100" s="126">
        <f>IF($Z$1, C100, -0.2)</f>
        <v>-0.2</v>
      </c>
    </row>
    <row r="101" spans="2:25" x14ac:dyDescent="0.3">
      <c r="B101" s="122">
        <v>9.5861879862253307E-2</v>
      </c>
      <c r="C101" s="122">
        <f t="shared" si="11"/>
        <v>8.6672379851528217E-3</v>
      </c>
      <c r="D101" s="126">
        <f t="shared" si="12"/>
        <v>2.5435063700590056E-2</v>
      </c>
      <c r="E101" s="122">
        <f t="shared" si="13"/>
        <v>8.0827624027549339E-2</v>
      </c>
      <c r="F101" s="122">
        <f t="shared" si="14"/>
        <v>8.0652292345929577E-2</v>
      </c>
      <c r="G101" s="122">
        <f t="shared" si="15"/>
        <v>9.3812706929967266E-2</v>
      </c>
      <c r="H101" s="122">
        <f t="shared" si="16"/>
        <v>3.4019621615625523E-2</v>
      </c>
      <c r="I101" s="122">
        <f t="shared" si="17"/>
        <v>9.7911052794539349E-2</v>
      </c>
      <c r="J101" s="122">
        <f t="shared" si="18"/>
        <v>-1.6685145645319879E-2</v>
      </c>
      <c r="K101" s="122">
        <f t="shared" si="19"/>
        <v>5.0704767260945402E-2</v>
      </c>
      <c r="Y101" s="126">
        <f>IF($Z$1, C101, -0.2)</f>
        <v>-0.2</v>
      </c>
    </row>
    <row r="102" spans="2:25" x14ac:dyDescent="0.3">
      <c r="B102" s="122">
        <v>9.7723364576260074E-2</v>
      </c>
      <c r="C102" s="122">
        <f t="shared" si="11"/>
        <v>8.817350859215544E-3</v>
      </c>
      <c r="D102" s="126">
        <f t="shared" si="12"/>
        <v>2.5657485246457255E-2</v>
      </c>
      <c r="E102" s="122">
        <f t="shared" si="13"/>
        <v>8.0455327084747993E-2</v>
      </c>
      <c r="F102" s="122">
        <f t="shared" si="14"/>
        <v>8.0282400829421452E-2</v>
      </c>
      <c r="G102" s="122">
        <f t="shared" si="15"/>
        <v>9.5665732055373764E-2</v>
      </c>
      <c r="H102" s="122">
        <f t="shared" si="16"/>
        <v>3.4392195874995458E-2</v>
      </c>
      <c r="I102" s="122">
        <f t="shared" si="17"/>
        <v>9.9780997097146384E-2</v>
      </c>
      <c r="J102" s="122">
        <f t="shared" si="18"/>
        <v>-1.675749415656437E-2</v>
      </c>
      <c r="K102" s="122">
        <f t="shared" si="19"/>
        <v>5.1149690031559829E-2</v>
      </c>
      <c r="Y102" s="126">
        <f>IF($Z$1, C102, -0.2)</f>
        <v>-0.2</v>
      </c>
    </row>
    <row r="103" spans="2:25" x14ac:dyDescent="0.3">
      <c r="B103" s="122">
        <v>9.9600794198669851E-2</v>
      </c>
      <c r="C103" s="122">
        <f t="shared" si="11"/>
        <v>8.968047599366407E-3</v>
      </c>
      <c r="D103" s="126">
        <f t="shared" si="12"/>
        <v>2.5879124078303353E-2</v>
      </c>
      <c r="E103" s="122">
        <f t="shared" si="13"/>
        <v>8.0079841160266035E-2</v>
      </c>
      <c r="F103" s="122">
        <f t="shared" si="14"/>
        <v>7.9909318634908147E-2</v>
      </c>
      <c r="G103" s="122">
        <f t="shared" si="15"/>
        <v>9.7535011174951308E-2</v>
      </c>
      <c r="H103" s="122">
        <f t="shared" si="16"/>
        <v>3.476459007232461E-2</v>
      </c>
      <c r="I103" s="122">
        <f t="shared" si="17"/>
        <v>0.10166657722238839</v>
      </c>
      <c r="J103" s="122">
        <f t="shared" si="18"/>
        <v>-1.6828494873591796E-2</v>
      </c>
      <c r="K103" s="122">
        <f t="shared" si="19"/>
        <v>5.1593084945916405E-2</v>
      </c>
      <c r="Y103" s="126">
        <f>IF($Z$1, C103, -0.2)</f>
        <v>-0.2</v>
      </c>
    </row>
    <row r="104" spans="2:25" x14ac:dyDescent="0.3">
      <c r="B104" s="122">
        <v>0.1014940943144142</v>
      </c>
      <c r="C104" s="122">
        <f t="shared" si="11"/>
        <v>9.1193043133710999E-3</v>
      </c>
      <c r="D104" s="126">
        <f t="shared" si="12"/>
        <v>2.6099973993742392E-2</v>
      </c>
      <c r="E104" s="122">
        <f t="shared" si="13"/>
        <v>7.9701181137117161E-2</v>
      </c>
      <c r="F104" s="122">
        <f t="shared" si="14"/>
        <v>7.9533060083998686E-2</v>
      </c>
      <c r="G104" s="122">
        <f t="shared" si="15"/>
        <v>9.9420471248719097E-2</v>
      </c>
      <c r="H104" s="122">
        <f t="shared" si="16"/>
        <v>3.5136774018464378E-2</v>
      </c>
      <c r="I104" s="122">
        <f t="shared" si="17"/>
        <v>0.10356771738010929</v>
      </c>
      <c r="J104" s="122">
        <f t="shared" si="18"/>
        <v>-1.6898165391722175E-2</v>
      </c>
      <c r="K104" s="122">
        <f t="shared" si="19"/>
        <v>5.2034939410186554E-2</v>
      </c>
      <c r="Y104" s="126">
        <f>IF($Z$1, C104, -0.2)</f>
        <v>-0.2</v>
      </c>
    </row>
    <row r="105" spans="2:25" x14ac:dyDescent="0.3">
      <c r="B105" s="122">
        <v>0.10340318987937097</v>
      </c>
      <c r="C105" s="122">
        <f t="shared" si="11"/>
        <v>9.2710970202141731E-3</v>
      </c>
      <c r="D105" s="126">
        <f t="shared" si="12"/>
        <v>2.6320028698660881E-2</v>
      </c>
      <c r="E105" s="122">
        <f t="shared" si="13"/>
        <v>7.9319362024125817E-2</v>
      </c>
      <c r="F105" s="122">
        <f t="shared" si="14"/>
        <v>7.9153639627344619E-2</v>
      </c>
      <c r="G105" s="122">
        <f t="shared" si="15"/>
        <v>0.10132203857472508</v>
      </c>
      <c r="H105" s="122">
        <f t="shared" si="16"/>
        <v>3.5508717338099391E-2</v>
      </c>
      <c r="I105" s="122">
        <f t="shared" si="17"/>
        <v>0.10548434118401687</v>
      </c>
      <c r="J105" s="122">
        <f t="shared" si="18"/>
        <v>-1.6966523297671045E-2</v>
      </c>
      <c r="K105" s="122">
        <f t="shared" si="19"/>
        <v>5.2475240635770436E-2</v>
      </c>
      <c r="Y105" s="126">
        <f>IF($Z$1, C105, -0.2)</f>
        <v>-0.2</v>
      </c>
    </row>
    <row r="106" spans="2:25" x14ac:dyDescent="0.3">
      <c r="B106" s="122">
        <v>0.10532800522333907</v>
      </c>
      <c r="C106" s="122">
        <f t="shared" si="11"/>
        <v>9.4234016539011325E-3</v>
      </c>
      <c r="D106" s="126">
        <f t="shared" si="12"/>
        <v>2.653928180650816E-2</v>
      </c>
      <c r="E106" s="122">
        <f t="shared" si="13"/>
        <v>7.8934398955332191E-2</v>
      </c>
      <c r="F106" s="122">
        <f t="shared" si="14"/>
        <v>7.8771071844232501E-2</v>
      </c>
      <c r="G106" s="122">
        <f t="shared" si="15"/>
        <v>0.10323963879168124</v>
      </c>
      <c r="H106" s="122">
        <f t="shared" si="16"/>
        <v>3.5880389472857016E-2</v>
      </c>
      <c r="I106" s="122">
        <f t="shared" si="17"/>
        <v>0.1074163716549969</v>
      </c>
      <c r="J106" s="122">
        <f t="shared" si="18"/>
        <v>-1.7033586165054748E-2</v>
      </c>
      <c r="K106" s="122">
        <f t="shared" si="19"/>
        <v>5.291397563791176E-2</v>
      </c>
      <c r="Y106" s="126">
        <f>IF($Z$1, C106, -0.2)</f>
        <v>-0.2</v>
      </c>
    </row>
    <row r="107" spans="2:25" x14ac:dyDescent="0.3">
      <c r="B107" s="122">
        <v>0.10726846405303753</v>
      </c>
      <c r="C107" s="122">
        <f t="shared" si="11"/>
        <v>9.5761940672739725E-3</v>
      </c>
      <c r="D107" s="126">
        <f t="shared" si="12"/>
        <v>2.6757726837621662E-2</v>
      </c>
      <c r="E107" s="122">
        <f t="shared" si="13"/>
        <v>7.8546307189392497E-2</v>
      </c>
      <c r="F107" s="122">
        <f t="shared" si="14"/>
        <v>7.838537144217031E-2</v>
      </c>
      <c r="G107" s="122">
        <f t="shared" si="15"/>
        <v>0.10517319688161872</v>
      </c>
      <c r="H107" s="122">
        <f t="shared" si="16"/>
        <v>3.6251759684466672E-2</v>
      </c>
      <c r="I107" s="122">
        <f t="shared" si="17"/>
        <v>0.10936373122445633</v>
      </c>
      <c r="J107" s="122">
        <f t="shared" si="18"/>
        <v>-1.7099371549918724E-2</v>
      </c>
      <c r="K107" s="122">
        <f t="shared" si="19"/>
        <v>5.3351131234385396E-2</v>
      </c>
      <c r="Y107" s="126">
        <f>IF($Z$1, C107, -0.2)</f>
        <v>-0.2</v>
      </c>
    </row>
    <row r="108" spans="2:25" x14ac:dyDescent="0.3">
      <c r="B108" s="122">
        <v>0.10922448945512975</v>
      </c>
      <c r="C108" s="122">
        <f t="shared" si="11"/>
        <v>9.729450035839601E-3</v>
      </c>
      <c r="D108" s="126">
        <f t="shared" si="12"/>
        <v>2.6975357218588014E-2</v>
      </c>
      <c r="E108" s="122">
        <f t="shared" si="13"/>
        <v>7.8155102108974056E-2</v>
      </c>
      <c r="F108" s="122">
        <f t="shared" si="14"/>
        <v>7.7996553256467538E-2</v>
      </c>
      <c r="G108" s="122">
        <f t="shared" si="15"/>
        <v>0.10712263717256312</v>
      </c>
      <c r="H108" s="122">
        <f t="shared" si="16"/>
        <v>3.6622797057969406E-2</v>
      </c>
      <c r="I108" s="122">
        <f t="shared" si="17"/>
        <v>0.11132634173769637</v>
      </c>
      <c r="J108" s="122">
        <f t="shared" si="18"/>
        <v>-1.71638969862902E-2</v>
      </c>
      <c r="K108" s="122">
        <f t="shared" si="19"/>
        <v>5.3786694044259606E-2</v>
      </c>
      <c r="Y108" s="126">
        <f>IF($Z$1, C108, -0.2)</f>
        <v>-0.2</v>
      </c>
    </row>
    <row r="109" spans="2:25" x14ac:dyDescent="0.3">
      <c r="B109" s="122">
        <v>0.11119600389927187</v>
      </c>
      <c r="C109" s="122">
        <f t="shared" si="11"/>
        <v>9.8831452616105001E-3</v>
      </c>
      <c r="D109" s="126">
        <f t="shared" si="12"/>
        <v>2.7192166281640624E-2</v>
      </c>
      <c r="E109" s="122">
        <f t="shared" si="13"/>
        <v>7.7760799220145629E-2</v>
      </c>
      <c r="F109" s="122">
        <f t="shared" si="14"/>
        <v>7.760463224980893E-2</v>
      </c>
      <c r="G109" s="122">
        <f t="shared" si="15"/>
        <v>0.10908788334122954</v>
      </c>
      <c r="H109" s="122">
        <f t="shared" si="16"/>
        <v>3.6993470504977699E-2</v>
      </c>
      <c r="I109" s="122">
        <f t="shared" si="17"/>
        <v>0.11330412445731419</v>
      </c>
      <c r="J109" s="122">
        <f t="shared" si="18"/>
        <v>-1.7227179981756695E-2</v>
      </c>
      <c r="K109" s="122">
        <f t="shared" si="19"/>
        <v>5.4220650486734391E-2</v>
      </c>
      <c r="Y109" s="126">
        <f>IF($Z$1, C109, -0.2)</f>
        <v>-0.2</v>
      </c>
    </row>
    <row r="110" spans="2:25" x14ac:dyDescent="0.3">
      <c r="B110" s="122">
        <v>0.11318292924118578</v>
      </c>
      <c r="C110" s="122">
        <f t="shared" si="11"/>
        <v>1.0037255376957053E-2</v>
      </c>
      <c r="D110" s="126">
        <f t="shared" si="12"/>
        <v>2.7408147264094511E-2</v>
      </c>
      <c r="E110" s="122">
        <f t="shared" si="13"/>
        <v>7.7363414151762844E-2</v>
      </c>
      <c r="F110" s="122">
        <f t="shared" si="14"/>
        <v>7.720962351182209E-2</v>
      </c>
      <c r="G110" s="122">
        <f t="shared" si="15"/>
        <v>0.11106885841573759</v>
      </c>
      <c r="H110" s="122">
        <f t="shared" si="16"/>
        <v>3.7363748766985713E-2</v>
      </c>
      <c r="I110" s="122">
        <f t="shared" si="17"/>
        <v>0.11529700006663397</v>
      </c>
      <c r="J110" s="122">
        <f t="shared" si="18"/>
        <v>-1.7289238013071612E-2</v>
      </c>
      <c r="K110" s="122">
        <f t="shared" si="19"/>
        <v>5.4652986780057325E-2</v>
      </c>
      <c r="Y110" s="126">
        <f>IF($Z$1, C110, -0.2)</f>
        <v>-0.2</v>
      </c>
    </row>
    <row r="111" spans="2:25" x14ac:dyDescent="0.3">
      <c r="B111" s="122">
        <v>0.11518518672575695</v>
      </c>
      <c r="C111" s="122">
        <f t="shared" si="11"/>
        <v>1.0191755948470946E-2</v>
      </c>
      <c r="D111" s="126">
        <f t="shared" si="12"/>
        <v>2.7623293307819291E-2</v>
      </c>
      <c r="E111" s="122">
        <f t="shared" si="13"/>
        <v>7.6962962654848616E-2</v>
      </c>
      <c r="F111" s="122">
        <f t="shared" si="14"/>
        <v>7.6811542258638454E-2</v>
      </c>
      <c r="G111" s="122">
        <f t="shared" si="15"/>
        <v>0.11306548477834673</v>
      </c>
      <c r="H111" s="122">
        <f t="shared" si="16"/>
        <v>3.7733600418730362E-2</v>
      </c>
      <c r="I111" s="122">
        <f t="shared" si="17"/>
        <v>0.11730488867316717</v>
      </c>
      <c r="J111" s="122">
        <f t="shared" si="18"/>
        <v>-1.7350088521788473E-2</v>
      </c>
      <c r="K111" s="122">
        <f t="shared" si="19"/>
        <v>5.5083688940518835E-2</v>
      </c>
      <c r="Y111" s="126">
        <f>IF($Z$1, C111, -0.2)</f>
        <v>-0.2</v>
      </c>
    </row>
    <row r="112" spans="2:25" x14ac:dyDescent="0.3">
      <c r="B112" s="122">
        <v>0.11720269699015529</v>
      </c>
      <c r="C112" s="122">
        <f t="shared" si="11"/>
        <v>1.0346622480838914E-2</v>
      </c>
      <c r="D112" s="126">
        <f t="shared" si="12"/>
        <v>2.7837597458750727E-2</v>
      </c>
      <c r="E112" s="122">
        <f t="shared" si="13"/>
        <v>7.6559460601968943E-2</v>
      </c>
      <c r="F112" s="122">
        <f t="shared" si="14"/>
        <v>7.6410403832448084E-2</v>
      </c>
      <c r="G112" s="122">
        <f t="shared" si="15"/>
        <v>0.11507768416821049</v>
      </c>
      <c r="H112" s="122">
        <f t="shared" si="16"/>
        <v>3.8102993871602785E-2</v>
      </c>
      <c r="I112" s="122">
        <f t="shared" si="17"/>
        <v>0.11932770981210009</v>
      </c>
      <c r="J112" s="122">
        <f t="shared" si="18"/>
        <v>-1.7409748909924957E-2</v>
      </c>
      <c r="K112" s="122">
        <f t="shared" si="19"/>
        <v>5.5512742781527742E-2</v>
      </c>
      <c r="Y112" s="126">
        <f>IF($Z$1, C112, -0.2)</f>
        <v>-0.2</v>
      </c>
    </row>
    <row r="113" spans="2:25" x14ac:dyDescent="0.3">
      <c r="B113" s="122">
        <v>0.11923538006698148</v>
      </c>
      <c r="C113" s="122">
        <f t="shared" si="11"/>
        <v>1.0501830420726395E-2</v>
      </c>
      <c r="D113" s="126">
        <f t="shared" si="12"/>
        <v>2.8051052666441974E-2</v>
      </c>
      <c r="E113" s="122">
        <f t="shared" si="13"/>
        <v>7.6152923986603713E-2</v>
      </c>
      <c r="F113" s="122">
        <f t="shared" si="14"/>
        <v>7.6006223701047856E-2</v>
      </c>
      <c r="G113" s="122">
        <f t="shared" si="15"/>
        <v>0.1171053776841517</v>
      </c>
      <c r="H113" s="122">
        <f t="shared" si="16"/>
        <v>3.8471897377111056E-2</v>
      </c>
      <c r="I113" s="122">
        <f t="shared" si="17"/>
        <v>0.12136538244981125</v>
      </c>
      <c r="J113" s="122">
        <f t="shared" si="18"/>
        <v>-1.7468236535658262E-2</v>
      </c>
      <c r="K113" s="122">
        <f t="shared" si="19"/>
        <v>5.5940133912769315E-2</v>
      </c>
      <c r="Y113" s="126">
        <f>IF($Z$1, C113, -0.2)</f>
        <v>-0.2</v>
      </c>
    </row>
    <row r="114" spans="2:25" x14ac:dyDescent="0.3">
      <c r="B114" s="122">
        <v>0.12128315538743634</v>
      </c>
      <c r="C114" s="122">
        <f t="shared" si="11"/>
        <v>1.0657355160670332E-2</v>
      </c>
      <c r="D114" s="126">
        <f t="shared" si="12"/>
        <v>2.8263651783654867E-2</v>
      </c>
      <c r="E114" s="122">
        <f t="shared" si="13"/>
        <v>7.5743368922512738E-2</v>
      </c>
      <c r="F114" s="122">
        <f t="shared" si="14"/>
        <v>7.5599017457383219E-2</v>
      </c>
      <c r="G114" s="122">
        <f t="shared" si="15"/>
        <v>0.11914848578745679</v>
      </c>
      <c r="H114" s="122">
        <f t="shared" si="16"/>
        <v>3.8840279030393644E-2</v>
      </c>
      <c r="I114" s="122">
        <f t="shared" si="17"/>
        <v>0.12341782498741588</v>
      </c>
      <c r="J114" s="122">
        <f t="shared" si="18"/>
        <v>-1.7525568709052981E-2</v>
      </c>
      <c r="K114" s="122">
        <f t="shared" si="19"/>
        <v>5.6365847739446626E-2</v>
      </c>
      <c r="Y114" s="126">
        <f>IF($Z$1, C114, -0.2)</f>
        <v>-0.2</v>
      </c>
    </row>
    <row r="115" spans="2:25" x14ac:dyDescent="0.3">
      <c r="B115" s="122">
        <v>0.12334594178451425</v>
      </c>
      <c r="C115" s="122">
        <f t="shared" si="11"/>
        <v>1.0813172042980547E-2</v>
      </c>
      <c r="D115" s="126">
        <f t="shared" si="12"/>
        <v>2.8475387565992123E-2</v>
      </c>
      <c r="E115" s="122">
        <f t="shared" si="13"/>
        <v>7.5330811643097156E-2</v>
      </c>
      <c r="F115" s="122">
        <f t="shared" si="14"/>
        <v>7.5188800819083482E-2</v>
      </c>
      <c r="G115" s="122">
        <f t="shared" si="15"/>
        <v>0.12120692830469006</v>
      </c>
      <c r="H115" s="122">
        <f t="shared" si="16"/>
        <v>3.9208106773784016E-2</v>
      </c>
      <c r="I115" s="122">
        <f t="shared" si="17"/>
        <v>0.12548495526433845</v>
      </c>
      <c r="J115" s="122">
        <f t="shared" si="18"/>
        <v>-1.7581762687822924E-2</v>
      </c>
      <c r="K115" s="122">
        <f t="shared" si="19"/>
        <v>5.678986946160694E-2</v>
      </c>
      <c r="Y115" s="126">
        <f>IF($Z$1, C115, -0.2)</f>
        <v>-0.2</v>
      </c>
    </row>
    <row r="116" spans="2:25" x14ac:dyDescent="0.3">
      <c r="B116" s="122">
        <v>0.12542365749622042</v>
      </c>
      <c r="C116" s="122">
        <f t="shared" si="11"/>
        <v>1.0969256363649121E-2</v>
      </c>
      <c r="D116" s="126">
        <f t="shared" si="12"/>
        <v>2.868625267157111E-2</v>
      </c>
      <c r="E116" s="122">
        <f t="shared" si="13"/>
        <v>7.4915268500755916E-2</v>
      </c>
      <c r="F116" s="122">
        <f t="shared" si="14"/>
        <v>7.4775589627990385E-2</v>
      </c>
      <c r="G116" s="122">
        <f t="shared" si="15"/>
        <v>0.12328062443052792</v>
      </c>
      <c r="H116" s="122">
        <f t="shared" si="16"/>
        <v>3.9575348400426341E-2</v>
      </c>
      <c r="I116" s="122">
        <f t="shared" si="17"/>
        <v>0.12756669056191292</v>
      </c>
      <c r="J116" s="122">
        <f t="shared" si="18"/>
        <v>-1.7636835673128102E-2</v>
      </c>
      <c r="K116" s="122">
        <f t="shared" si="19"/>
        <v>5.7212184073554447E-2</v>
      </c>
      <c r="Y116" s="126">
        <f>IF($Z$1, C116, -0.2)</f>
        <v>-0.2</v>
      </c>
    </row>
    <row r="117" spans="2:25" x14ac:dyDescent="0.3">
      <c r="B117" s="122">
        <v>0.12751622016881176</v>
      </c>
      <c r="C117" s="122">
        <f t="shared" si="11"/>
        <v>1.1125583376267088E-2</v>
      </c>
      <c r="D117" s="126">
        <f t="shared" si="12"/>
        <v>2.8896239660739856E-2</v>
      </c>
      <c r="E117" s="122">
        <f t="shared" si="13"/>
        <v>7.4496755966237657E-2</v>
      </c>
      <c r="F117" s="122">
        <f t="shared" si="14"/>
        <v>7.4359399849680277E-2</v>
      </c>
      <c r="G117" s="122">
        <f t="shared" si="15"/>
        <v>0.1253694927306131</v>
      </c>
      <c r="H117" s="122">
        <f t="shared" si="16"/>
        <v>3.9941971557942463E-2</v>
      </c>
      <c r="I117" s="122">
        <f t="shared" si="17"/>
        <v>0.12966294760701041</v>
      </c>
      <c r="J117" s="122">
        <f t="shared" si="18"/>
        <v>-1.7690804805408283E-2</v>
      </c>
      <c r="K117" s="122">
        <f t="shared" si="19"/>
        <v>5.7632776363350742E-2</v>
      </c>
      <c r="Y117" s="126">
        <f>IF($Z$1, C117, -0.2)</f>
        <v>-0.2</v>
      </c>
    </row>
    <row r="118" spans="2:25" x14ac:dyDescent="0.3">
      <c r="B118" s="122">
        <v>0.12962354686006083</v>
      </c>
      <c r="C118" s="122">
        <f t="shared" si="11"/>
        <v>1.1282128295947845E-2</v>
      </c>
      <c r="D118" s="126">
        <f t="shared" si="12"/>
        <v>2.9105340995835911E-2</v>
      </c>
      <c r="E118" s="122">
        <f t="shared" si="13"/>
        <v>7.407529062798783E-2</v>
      </c>
      <c r="F118" s="122">
        <f t="shared" si="14"/>
        <v>7.3940247572979415E-2</v>
      </c>
      <c r="G118" s="122">
        <f t="shared" si="15"/>
        <v>0.12747345114442832</v>
      </c>
      <c r="H118" s="122">
        <f t="shared" si="16"/>
        <v>4.0307943752150022E-2</v>
      </c>
      <c r="I118" s="122">
        <f t="shared" si="17"/>
        <v>0.13177364257569335</v>
      </c>
      <c r="J118" s="122">
        <f t="shared" si="18"/>
        <v>-1.7743687160254335E-2</v>
      </c>
      <c r="K118" s="122">
        <f t="shared" si="19"/>
        <v>5.805163091240436E-2</v>
      </c>
      <c r="Y118" s="126">
        <f>IF($Z$1, C118, -0.2)</f>
        <v>-0.2</v>
      </c>
    </row>
    <row r="119" spans="2:25" x14ac:dyDescent="0.3">
      <c r="B119" s="122">
        <v>0.13174555404254384</v>
      </c>
      <c r="C119" s="122">
        <f t="shared" si="11"/>
        <v>1.1438866303256702E-2</v>
      </c>
      <c r="D119" s="126">
        <f t="shared" si="12"/>
        <v>2.9313549040988703E-2</v>
      </c>
      <c r="E119" s="122">
        <f t="shared" si="13"/>
        <v>7.3650889191491237E-2</v>
      </c>
      <c r="F119" s="122">
        <f t="shared" si="14"/>
        <v>7.3518149009472872E-2</v>
      </c>
      <c r="G119" s="122">
        <f t="shared" si="15"/>
        <v>0.12959241698819038</v>
      </c>
      <c r="H119" s="122">
        <f t="shared" si="16"/>
        <v>4.0673232350831937E-2</v>
      </c>
      <c r="I119" s="122">
        <f t="shared" si="17"/>
        <v>0.13389869109689731</v>
      </c>
      <c r="J119" s="122">
        <f t="shared" si="18"/>
        <v>-1.7795499744318537E-2</v>
      </c>
      <c r="K119" s="122">
        <f t="shared" si="19"/>
        <v>5.8468732095150473E-2</v>
      </c>
      <c r="Y119" s="126">
        <f>IF($Z$1, C119, -0.2)</f>
        <v>-0.2</v>
      </c>
    </row>
    <row r="120" spans="2:25" x14ac:dyDescent="0.3">
      <c r="B120" s="122">
        <v>0.13388215760695088</v>
      </c>
      <c r="C120" s="122">
        <f t="shared" si="11"/>
        <v>1.1595772548145845E-2</v>
      </c>
      <c r="D120" s="126">
        <f t="shared" si="12"/>
        <v>2.9520856061966069E-2</v>
      </c>
      <c r="E120" s="122">
        <f t="shared" si="13"/>
        <v>7.3223568478609821E-2</v>
      </c>
      <c r="F120" s="122">
        <f t="shared" si="14"/>
        <v>7.3093120493006425E-2</v>
      </c>
      <c r="G120" s="122">
        <f t="shared" si="15"/>
        <v>0.13172630695776363</v>
      </c>
      <c r="H120" s="122">
        <f t="shared" si="16"/>
        <v>4.1037804587557083E-2</v>
      </c>
      <c r="I120" s="122">
        <f t="shared" si="17"/>
        <v>0.13603800825613813</v>
      </c>
      <c r="J120" s="122">
        <f t="shared" si="18"/>
        <v>-1.7846259491265389E-2</v>
      </c>
      <c r="K120" s="122">
        <f t="shared" si="19"/>
        <v>5.8884064078822469E-2</v>
      </c>
      <c r="Y120" s="126">
        <f>IF($Z$1, C120, -0.2)</f>
        <v>-0.2</v>
      </c>
    </row>
    <row r="121" spans="2:25" x14ac:dyDescent="0.3">
      <c r="B121" s="122">
        <v>0.13603327286542016</v>
      </c>
      <c r="C121" s="122">
        <f t="shared" si="11"/>
        <v>1.1752822153894232E-2</v>
      </c>
      <c r="D121" s="126">
        <f t="shared" si="12"/>
        <v>2.9727254226065501E-2</v>
      </c>
      <c r="E121" s="122">
        <f t="shared" si="13"/>
        <v>7.279334542691597E-2</v>
      </c>
      <c r="F121" s="122">
        <f t="shared" si="14"/>
        <v>7.2665178479182052E-2</v>
      </c>
      <c r="G121" s="122">
        <f t="shared" si="15"/>
        <v>0.13387503713159393</v>
      </c>
      <c r="H121" s="122">
        <f t="shared" si="16"/>
        <v>4.1401627565552303E-2</v>
      </c>
      <c r="I121" s="122">
        <f t="shared" si="17"/>
        <v>0.13819150859924639</v>
      </c>
      <c r="J121" s="122">
        <f t="shared" si="18"/>
        <v>-1.7895983257763835E-2</v>
      </c>
      <c r="K121" s="122">
        <f t="shared" si="19"/>
        <v>5.9297610823316138E-2</v>
      </c>
      <c r="Y121" s="126">
        <f>IF($Z$1, C121, -0.2)</f>
        <v>-0.2</v>
      </c>
    </row>
    <row r="122" spans="2:25" x14ac:dyDescent="0.3">
      <c r="B122" s="122">
        <v>0.13819881455489452</v>
      </c>
      <c r="C122" s="122">
        <f t="shared" si="11"/>
        <v>1.1909990221051639E-2</v>
      </c>
      <c r="D122" s="126">
        <f t="shared" si="12"/>
        <v>2.9932735602050693E-2</v>
      </c>
      <c r="E122" s="122">
        <f t="shared" si="13"/>
        <v>7.2360237089021104E-2</v>
      </c>
      <c r="F122" s="122">
        <f t="shared" si="14"/>
        <v>7.2234339544846315E-2</v>
      </c>
      <c r="G122" s="122">
        <f t="shared" si="15"/>
        <v>0.1360385229736622</v>
      </c>
      <c r="H122" s="122">
        <f t="shared" si="16"/>
        <v>4.1764668261625615E-2</v>
      </c>
      <c r="I122" s="122">
        <f t="shared" si="17"/>
        <v>0.14035910613612684</v>
      </c>
      <c r="J122" s="122">
        <f t="shared" si="18"/>
        <v>-1.7944687819522333E-2</v>
      </c>
      <c r="K122" s="122">
        <f t="shared" si="19"/>
        <v>5.9709356081147948E-2</v>
      </c>
      <c r="Y122" s="126">
        <f>IF($Z$1, C122, -0.2)</f>
        <v>-0.2</v>
      </c>
    </row>
    <row r="123" spans="2:25" x14ac:dyDescent="0.3">
      <c r="B123" s="122">
        <v>0.14037869684050097</v>
      </c>
      <c r="C123" s="122">
        <f t="shared" si="11"/>
        <v>1.2067251831386371E-2</v>
      </c>
      <c r="D123" s="126">
        <f t="shared" si="12"/>
        <v>3.0137292160134017E-2</v>
      </c>
      <c r="E123" s="122">
        <f t="shared" si="13"/>
        <v>7.1924260631899814E-2</v>
      </c>
      <c r="F123" s="122">
        <f t="shared" si="14"/>
        <v>7.1800620387572248E-2</v>
      </c>
      <c r="G123" s="122">
        <f t="shared" si="15"/>
        <v>0.13821667933645823</v>
      </c>
      <c r="H123" s="122">
        <f t="shared" si="16"/>
        <v>4.2126893530140666E-2</v>
      </c>
      <c r="I123" s="122">
        <f t="shared" si="17"/>
        <v>0.14254071434454371</v>
      </c>
      <c r="J123" s="122">
        <f t="shared" si="18"/>
        <v>-1.7992389867367925E-2</v>
      </c>
      <c r="K123" s="122">
        <f t="shared" si="19"/>
        <v>6.0119283397508591E-2</v>
      </c>
      <c r="Y123" s="126">
        <f>IF($Z$1, C123, -0.2)</f>
        <v>-0.2</v>
      </c>
    </row>
    <row r="124" spans="2:25" x14ac:dyDescent="0.3">
      <c r="B124" s="122">
        <v>0.1425728333189531</v>
      </c>
      <c r="C124" s="122">
        <f t="shared" si="11"/>
        <v>1.2224582051835912E-2</v>
      </c>
      <c r="D124" s="126">
        <f t="shared" si="12"/>
        <v>3.0340915772005497E-2</v>
      </c>
      <c r="E124" s="122">
        <f t="shared" si="13"/>
        <v>7.1485433336209381E-2</v>
      </c>
      <c r="F124" s="122">
        <f t="shared" si="14"/>
        <v>7.1364037825134161E-2</v>
      </c>
      <c r="G124" s="122">
        <f t="shared" si="15"/>
        <v>0.14040942046397481</v>
      </c>
      <c r="H124" s="122">
        <f t="shared" si="16"/>
        <v>4.2488270107042377E-2</v>
      </c>
      <c r="I124" s="122">
        <f t="shared" si="17"/>
        <v>0.14473624617393138</v>
      </c>
      <c r="J124" s="122">
        <f t="shared" si="18"/>
        <v>-1.8039106003370553E-2</v>
      </c>
      <c r="K124" s="122">
        <f t="shared" si="19"/>
        <v>6.052737611041293E-2</v>
      </c>
      <c r="Y124" s="126">
        <f>IF($Z$1, C124, -0.2)</f>
        <v>-0.2</v>
      </c>
    </row>
    <row r="125" spans="2:25" x14ac:dyDescent="0.3">
      <c r="B125" s="122">
        <v>0.14478113702197559</v>
      </c>
      <c r="C125" s="122">
        <f t="shared" si="11"/>
        <v>1.2381955938459952E-2</v>
      </c>
      <c r="D125" s="126">
        <f t="shared" si="12"/>
        <v>3.0543598210908678E-2</v>
      </c>
      <c r="E125" s="122">
        <f t="shared" si="13"/>
        <v>7.104377259560489E-2</v>
      </c>
      <c r="F125" s="122">
        <f t="shared" si="14"/>
        <v>7.0924608794975808E-2</v>
      </c>
      <c r="G125" s="122">
        <f t="shared" si="15"/>
        <v>0.14261665999472145</v>
      </c>
      <c r="H125" s="122">
        <f t="shared" si="16"/>
        <v>4.284876461393354E-2</v>
      </c>
      <c r="I125" s="122">
        <f t="shared" si="17"/>
        <v>0.14694561404922973</v>
      </c>
      <c r="J125" s="122">
        <f t="shared" si="18"/>
        <v>-1.808485273701364E-2</v>
      </c>
      <c r="K125" s="122">
        <f t="shared" si="19"/>
        <v>6.0933617350947183E-2</v>
      </c>
      <c r="Y125" s="126">
        <f>IF($Z$1, C125, -0.2)</f>
        <v>-0.2</v>
      </c>
    </row>
    <row r="126" spans="2:25" x14ac:dyDescent="0.3">
      <c r="B126" s="122">
        <v>0.14700352041975151</v>
      </c>
      <c r="C126" s="122">
        <f t="shared" si="11"/>
        <v>1.2539348540395122E-2</v>
      </c>
      <c r="D126" s="126">
        <f t="shared" si="12"/>
        <v>3.0745331151764074E-2</v>
      </c>
      <c r="E126" s="122">
        <f t="shared" si="13"/>
        <v>7.0599295916049701E-2</v>
      </c>
      <c r="F126" s="122">
        <f t="shared" si="14"/>
        <v>7.0482350353671439E-2</v>
      </c>
      <c r="G126" s="122">
        <f t="shared" si="15"/>
        <v>0.14483831096475908</v>
      </c>
      <c r="H126" s="122">
        <f t="shared" si="16"/>
        <v>4.3208343562202503E-2</v>
      </c>
      <c r="I126" s="122">
        <f t="shared" si="17"/>
        <v>0.14916872987474394</v>
      </c>
      <c r="J126" s="122">
        <f t="shared" si="18"/>
        <v>-1.8129646481412257E-2</v>
      </c>
      <c r="K126" s="122">
        <f t="shared" si="19"/>
        <v>6.133799004361476E-2</v>
      </c>
      <c r="Y126" s="126">
        <f>IF($Z$1, C126, -0.2)</f>
        <v>-0.2</v>
      </c>
    </row>
    <row r="127" spans="2:25" x14ac:dyDescent="0.3">
      <c r="B127" s="122">
        <v>0.14923989542439159</v>
      </c>
      <c r="C127" s="122">
        <f t="shared" si="11"/>
        <v>1.2696734903810826E-2</v>
      </c>
      <c r="D127" s="126">
        <f t="shared" si="12"/>
        <v>3.0946106171340675E-2</v>
      </c>
      <c r="E127" s="122">
        <f t="shared" si="13"/>
        <v>7.0152020915121682E-2</v>
      </c>
      <c r="F127" s="122">
        <f t="shared" si="14"/>
        <v>7.0037279676380154E-2</v>
      </c>
      <c r="G127" s="122">
        <f t="shared" si="15"/>
        <v>0.14707428581075452</v>
      </c>
      <c r="H127" s="122">
        <f t="shared" si="16"/>
        <v>4.3566973357201694E-2</v>
      </c>
      <c r="I127" s="122">
        <f t="shared" si="17"/>
        <v>0.15140550503802866</v>
      </c>
      <c r="J127" s="122">
        <f t="shared" si="18"/>
        <v>-1.8173503549580042E-2</v>
      </c>
      <c r="K127" s="122">
        <f t="shared" si="19"/>
        <v>6.1740476906781735E-2</v>
      </c>
      <c r="Y127" s="126">
        <f>IF($Z$1, C127, -0.2)</f>
        <v>-0.2</v>
      </c>
    </row>
    <row r="128" spans="2:25" x14ac:dyDescent="0.3">
      <c r="B128" s="122">
        <v>0.15149017339342569</v>
      </c>
      <c r="C128" s="122">
        <f t="shared" si="11"/>
        <v>1.2854090075865552E-2</v>
      </c>
      <c r="D128" s="126">
        <f t="shared" si="12"/>
        <v>3.114591474847592E-2</v>
      </c>
      <c r="E128" s="122">
        <f t="shared" si="13"/>
        <v>6.9701965321314868E-2</v>
      </c>
      <c r="F128" s="122">
        <f t="shared" si="14"/>
        <v>6.9589414056293222E-2</v>
      </c>
      <c r="G128" s="122">
        <f t="shared" si="15"/>
        <v>0.14932449637305556</v>
      </c>
      <c r="H128" s="122">
        <f t="shared" si="16"/>
        <v>4.3924620302476916E-2</v>
      </c>
      <c r="I128" s="122">
        <f t="shared" si="17"/>
        <v>0.15365585041379581</v>
      </c>
      <c r="J128" s="122">
        <f t="shared" si="18"/>
        <v>-1.8216440150745816E-2</v>
      </c>
      <c r="K128" s="122">
        <f t="shared" si="19"/>
        <v>6.2141060453222735E-2</v>
      </c>
      <c r="Y128" s="126">
        <f>IF($Z$1, C128, -0.2)</f>
        <v>-0.2</v>
      </c>
    </row>
    <row r="129" spans="2:25" x14ac:dyDescent="0.3">
      <c r="B129" s="122">
        <v>0.15375426513331653</v>
      </c>
      <c r="C129" s="122">
        <f t="shared" ref="C129:C192" si="20">IF($A$1=0, 0, IF(B129&lt;=$A$2, ($A$1/$A$2^2)*(2*$A$2*B129-B129^2), ($A$1/(1-$A$2)^2)*((1-2*$A$2)+2*$A$2*B129-B129^2)))</f>
        <v>1.3011389108663033E-2</v>
      </c>
      <c r="D129" s="126">
        <f t="shared" ref="D129:D192" si="21">IF(B129&lt;$N$1, ($A$3/0.2)*($O$1*SQRT(B129)+$P$1*B129+$Q$1*(B129^2)+$R$1*(B129^3)), ($A$3/0.2)*($S$1+$T$1*(1-B129)+$U$1*((1-B129)^2)+$V$1*((1-B129)^3)))</f>
        <v>3.134474826434467E-2</v>
      </c>
      <c r="E129" s="122">
        <f t="shared" ref="E129:E192" si="22">IF($A$1=0, 0, IF(B129&lt;=$A$2, ($A$1/$A$2^2) *(2*$A$2-2*B129), ($A$1/(1-$A$2)^2)*(2*$A$2-2*B129)))</f>
        <v>6.92491469733367E-2</v>
      </c>
      <c r="F129" s="122">
        <f t="shared" ref="F129:F192" si="23">IF($A$1=0, 0,  ATAN(E129))</f>
        <v>6.9138770904074304E-2</v>
      </c>
      <c r="G129" s="122">
        <f t="shared" ref="G129:G192" si="24">B129-D129*SIN(F129)</f>
        <v>0.15158885389878679</v>
      </c>
      <c r="H129" s="122">
        <f t="shared" ref="H129:H192" si="25">C129+D129*COS(F129)</f>
        <v>4.4281250604047223E-2</v>
      </c>
      <c r="I129" s="122">
        <f t="shared" ref="I129:I192" si="26">B129+D129*SIN(F129)</f>
        <v>0.15591967636784626</v>
      </c>
      <c r="J129" s="122">
        <f t="shared" ref="J129:J192" si="27">C129-D129*COS(F129)</f>
        <v>-1.8258472386721153E-2</v>
      </c>
      <c r="K129" s="122">
        <f t="shared" ref="K129:K192" si="28">2*D129*COS(F129)</f>
        <v>6.2539722990768376E-2</v>
      </c>
      <c r="Y129" s="126">
        <f>IF($Z$1, C129, -0.2)</f>
        <v>-0.2</v>
      </c>
    </row>
    <row r="130" spans="2:25" x14ac:dyDescent="0.3">
      <c r="B130" s="122">
        <v>0.15603208090299492</v>
      </c>
      <c r="C130" s="122">
        <f t="shared" si="20"/>
        <v>1.3168607063207617E-2</v>
      </c>
      <c r="D130" s="126">
        <f t="shared" si="21"/>
        <v>3.1542598002777651E-2</v>
      </c>
      <c r="E130" s="122">
        <f t="shared" si="22"/>
        <v>6.8793583819401025E-2</v>
      </c>
      <c r="F130" s="122">
        <f t="shared" si="23"/>
        <v>6.8685367747292905E-2</v>
      </c>
      <c r="G130" s="122">
        <f t="shared" si="24"/>
        <v>0.15386726904496573</v>
      </c>
      <c r="H130" s="122">
        <f t="shared" si="25"/>
        <v>4.463683037473521E-2</v>
      </c>
      <c r="I130" s="122">
        <f t="shared" si="26"/>
        <v>0.15819689276102411</v>
      </c>
      <c r="J130" s="122">
        <f t="shared" si="27"/>
        <v>-1.8299616248319973E-2</v>
      </c>
      <c r="K130" s="122">
        <f t="shared" si="28"/>
        <v>6.2936446623055184E-2</v>
      </c>
      <c r="Y130" s="126">
        <f>IF($Z$1, C130, -0.2)</f>
        <v>-0.2</v>
      </c>
    </row>
    <row r="131" spans="2:25" x14ac:dyDescent="0.3">
      <c r="B131" s="122">
        <v>0.15832353041741654</v>
      </c>
      <c r="C131" s="122">
        <f t="shared" si="20"/>
        <v>1.3325719013358193E-2</v>
      </c>
      <c r="D131" s="126">
        <f t="shared" si="21"/>
        <v>3.1739455150629689E-2</v>
      </c>
      <c r="E131" s="122">
        <f t="shared" si="22"/>
        <v>6.8335293916516701E-2</v>
      </c>
      <c r="F131" s="122">
        <f t="shared" si="23"/>
        <v>6.8229222229850728E-2</v>
      </c>
      <c r="G131" s="122">
        <f t="shared" si="24"/>
        <v>0.15615965188163941</v>
      </c>
      <c r="H131" s="122">
        <f t="shared" si="25"/>
        <v>4.4991325638547561E-2</v>
      </c>
      <c r="I131" s="122">
        <f t="shared" si="26"/>
        <v>0.16048740895319366</v>
      </c>
      <c r="J131" s="122">
        <f t="shared" si="27"/>
        <v>-1.8339887611831172E-2</v>
      </c>
      <c r="K131" s="122">
        <f t="shared" si="28"/>
        <v>6.3331213250378729E-2</v>
      </c>
      <c r="Y131" s="126">
        <f>IF($Z$1, C131, -0.2)</f>
        <v>-0.2</v>
      </c>
    </row>
    <row r="132" spans="2:25" x14ac:dyDescent="0.3">
      <c r="B132" s="122">
        <v>0.1606285228511411</v>
      </c>
      <c r="C132" s="122">
        <f t="shared" si="20"/>
        <v>1.3482700049780156E-2</v>
      </c>
      <c r="D132" s="126">
        <f t="shared" si="21"/>
        <v>3.1935310798198398E-2</v>
      </c>
      <c r="E132" s="122">
        <f t="shared" si="22"/>
        <v>6.7874295429771789E-2</v>
      </c>
      <c r="F132" s="122">
        <f t="shared" si="23"/>
        <v>6.7770352111400894E-2</v>
      </c>
      <c r="G132" s="122">
        <f t="shared" si="24"/>
        <v>0.15846591189504286</v>
      </c>
      <c r="H132" s="122">
        <f t="shared" si="25"/>
        <v>4.5344702335105708E-2</v>
      </c>
      <c r="I132" s="122">
        <f t="shared" si="26"/>
        <v>0.16279113380723934</v>
      </c>
      <c r="J132" s="122">
        <f t="shared" si="27"/>
        <v>-1.8379302235545399E-2</v>
      </c>
      <c r="K132" s="122">
        <f t="shared" si="28"/>
        <v>6.372400457065111E-2</v>
      </c>
      <c r="Y132" s="126">
        <f>IF($Z$1, C132, -0.2)</f>
        <v>-0.2</v>
      </c>
    </row>
    <row r="133" spans="2:25" x14ac:dyDescent="0.3">
      <c r="B133" s="122">
        <v>0.1629469668419315</v>
      </c>
      <c r="C133" s="122">
        <f t="shared" si="20"/>
        <v>1.3639525283894597E-2</v>
      </c>
      <c r="D133" s="126">
        <f t="shared" si="21"/>
        <v>3.2130155939693324E-2</v>
      </c>
      <c r="E133" s="122">
        <f t="shared" si="22"/>
        <v>6.7410606631613704E-2</v>
      </c>
      <c r="F133" s="122">
        <f t="shared" si="23"/>
        <v>6.7308775266760323E-2</v>
      </c>
      <c r="G133" s="122">
        <f t="shared" si="24"/>
        <v>0.16078595799077655</v>
      </c>
      <c r="H133" s="122">
        <f t="shared" si="25"/>
        <v>4.5696926324126162E-2</v>
      </c>
      <c r="I133" s="122">
        <f t="shared" si="26"/>
        <v>0.16510797569308644</v>
      </c>
      <c r="J133" s="122">
        <f t="shared" si="27"/>
        <v>-1.8417875756336972E-2</v>
      </c>
      <c r="K133" s="122">
        <f t="shared" si="28"/>
        <v>6.4114802080463135E-2</v>
      </c>
      <c r="Y133" s="126">
        <f>IF($Z$1, C133, -0.2)</f>
        <v>-0.2</v>
      </c>
    </row>
    <row r="134" spans="2:25" x14ac:dyDescent="0.3">
      <c r="B134" s="122">
        <v>0.16527877049437611</v>
      </c>
      <c r="C134" s="122">
        <f t="shared" si="20"/>
        <v>1.3796169851824348E-2</v>
      </c>
      <c r="D134" s="126">
        <f t="shared" si="21"/>
        <v>3.2323981473756411E-2</v>
      </c>
      <c r="E134" s="122">
        <f t="shared" si="22"/>
        <v>6.6944245901124785E-2</v>
      </c>
      <c r="F134" s="122">
        <f t="shared" si="23"/>
        <v>6.6844509685314704E-2</v>
      </c>
      <c r="G134" s="122">
        <f t="shared" si="24"/>
        <v>0.16311969849700747</v>
      </c>
      <c r="H134" s="122">
        <f t="shared" si="25"/>
        <v>4.6047963389950666E-2</v>
      </c>
      <c r="I134" s="122">
        <f t="shared" si="26"/>
        <v>0.16743784249174476</v>
      </c>
      <c r="J134" s="122">
        <f t="shared" si="27"/>
        <v>-1.8455623686301968E-2</v>
      </c>
      <c r="K134" s="122">
        <f t="shared" si="28"/>
        <v>6.450358707625263E-2</v>
      </c>
      <c r="Y134" s="126">
        <f>IF($Z$1, C134, -0.2)</f>
        <v>-0.2</v>
      </c>
    </row>
    <row r="135" spans="2:25" x14ac:dyDescent="0.3">
      <c r="B135" s="122">
        <v>0.16762384138353059</v>
      </c>
      <c r="C135" s="122">
        <f t="shared" si="20"/>
        <v>1.3952608918335958E-2</v>
      </c>
      <c r="D135" s="126">
        <f t="shared" si="21"/>
        <v>3.2516778204033744E-2</v>
      </c>
      <c r="E135" s="122">
        <f t="shared" si="22"/>
        <v>6.6475231723293879E-2</v>
      </c>
      <c r="F135" s="122">
        <f t="shared" si="23"/>
        <v>6.6377573470416701E-2</v>
      </c>
      <c r="G135" s="122">
        <f t="shared" si="24"/>
        <v>0.16546704116768904</v>
      </c>
      <c r="H135" s="122">
        <f t="shared" si="25"/>
        <v>4.6397779246125426E-2</v>
      </c>
      <c r="I135" s="122">
        <f t="shared" si="26"/>
        <v>0.16978064159937215</v>
      </c>
      <c r="J135" s="122">
        <f t="shared" si="27"/>
        <v>-1.8492561409453507E-2</v>
      </c>
      <c r="K135" s="122">
        <f t="shared" si="28"/>
        <v>6.4890340655578929E-2</v>
      </c>
      <c r="Y135" s="126">
        <f>IF($Z$1, C135, -0.2)</f>
        <v>-0.2</v>
      </c>
    </row>
    <row r="136" spans="2:25" x14ac:dyDescent="0.3">
      <c r="B136" s="122">
        <v>0.16998208655858127</v>
      </c>
      <c r="C136" s="122">
        <f t="shared" si="20"/>
        <v>1.4108817680777225E-2</v>
      </c>
      <c r="D136" s="126">
        <f t="shared" si="21"/>
        <v>3.2708536839798991E-2</v>
      </c>
      <c r="E136" s="122">
        <f t="shared" si="22"/>
        <v>6.6003582688283755E-2</v>
      </c>
      <c r="F136" s="122">
        <f t="shared" si="23"/>
        <v>6.5907984838776926E-2</v>
      </c>
      <c r="G136" s="122">
        <f t="shared" si="24"/>
        <v>0.16782789318580343</v>
      </c>
      <c r="H136" s="122">
        <f t="shared" si="25"/>
        <v>4.6746339540029463E-2</v>
      </c>
      <c r="I136" s="122">
        <f t="shared" si="26"/>
        <v>0.1721362799313591</v>
      </c>
      <c r="J136" s="122">
        <f t="shared" si="27"/>
        <v>-1.8528704178475016E-2</v>
      </c>
      <c r="K136" s="122">
        <f t="shared" si="28"/>
        <v>6.5275043718504483E-2</v>
      </c>
      <c r="Y136" s="126">
        <f>IF($Z$1, C136, -0.2)</f>
        <v>-0.2</v>
      </c>
    </row>
    <row r="137" spans="2:25" x14ac:dyDescent="0.3">
      <c r="B137" s="122">
        <v>0.17235341254652992</v>
      </c>
      <c r="C137" s="122">
        <f t="shared" si="20"/>
        <v>1.4264771373009558E-2</v>
      </c>
      <c r="D137" s="126">
        <f t="shared" si="21"/>
        <v>3.2899247996629195E-2</v>
      </c>
      <c r="E137" s="122">
        <f t="shared" si="22"/>
        <v>6.5529317490694017E-2</v>
      </c>
      <c r="F137" s="122">
        <f t="shared" si="23"/>
        <v>6.5435762119847612E-2</v>
      </c>
      <c r="G137" s="122">
        <f t="shared" si="24"/>
        <v>0.17020216116662562</v>
      </c>
      <c r="H137" s="122">
        <f t="shared" si="25"/>
        <v>4.7093609857551927E-2</v>
      </c>
      <c r="I137" s="122">
        <f t="shared" si="26"/>
        <v>0.17450466392643421</v>
      </c>
      <c r="J137" s="122">
        <f t="shared" si="27"/>
        <v>-1.8564067111532814E-2</v>
      </c>
      <c r="K137" s="122">
        <f t="shared" si="28"/>
        <v>6.5657676969084741E-2</v>
      </c>
      <c r="Y137" s="126">
        <f>IF($Z$1, C137, -0.2)</f>
        <v>-0.2</v>
      </c>
    </row>
    <row r="138" spans="2:25" x14ac:dyDescent="0.3">
      <c r="B138" s="122">
        <v>0.17473772535589804</v>
      </c>
      <c r="C138" s="122">
        <f t="shared" si="20"/>
        <v>1.4420445269334479E-2</v>
      </c>
      <c r="D138" s="126">
        <f t="shared" si="21"/>
        <v>3.3088902197132668E-2</v>
      </c>
      <c r="E138" s="122">
        <f t="shared" si="22"/>
        <v>6.5052454928820391E-2</v>
      </c>
      <c r="F138" s="122">
        <f t="shared" si="23"/>
        <v>6.4960923755199476E-2</v>
      </c>
      <c r="G138" s="122">
        <f t="shared" si="24"/>
        <v>0.17258975116100783</v>
      </c>
      <c r="H138" s="122">
        <f t="shared" si="25"/>
        <v>4.7439555727817412E-2</v>
      </c>
      <c r="I138" s="122">
        <f t="shared" si="26"/>
        <v>0.17688569955078826</v>
      </c>
      <c r="J138" s="122">
        <f t="shared" si="27"/>
        <v>-1.8598665189148451E-2</v>
      </c>
      <c r="K138" s="122">
        <f t="shared" si="28"/>
        <v>6.6038220916965859E-2</v>
      </c>
      <c r="Y138" s="126">
        <f>IF($Z$1, C138, -0.2)</f>
        <v>-0.2</v>
      </c>
    </row>
    <row r="139" spans="2:25" x14ac:dyDescent="0.3">
      <c r="B139" s="122">
        <v>0.17713493048045287</v>
      </c>
      <c r="C139" s="122">
        <f t="shared" si="20"/>
        <v>1.4575814688413799E-2</v>
      </c>
      <c r="D139" s="126">
        <f t="shared" si="21"/>
        <v>3.3277489871729717E-2</v>
      </c>
      <c r="E139" s="122">
        <f t="shared" si="22"/>
        <v>6.4573013903909432E-2</v>
      </c>
      <c r="F139" s="122">
        <f t="shared" si="23"/>
        <v>6.4483488297891092E-2</v>
      </c>
      <c r="G139" s="122">
        <f t="shared" si="24"/>
        <v>0.17499056865868698</v>
      </c>
      <c r="H139" s="122">
        <f t="shared" si="25"/>
        <v>4.7784142627959728E-2</v>
      </c>
      <c r="I139" s="122">
        <f t="shared" si="26"/>
        <v>0.17927929230221876</v>
      </c>
      <c r="J139" s="122">
        <f t="shared" si="27"/>
        <v>-1.8632513251132132E-2</v>
      </c>
      <c r="K139" s="122">
        <f t="shared" si="28"/>
        <v>6.641665587909186E-2</v>
      </c>
      <c r="Y139" s="126">
        <f>IF($Z$1, C139, -0.2)</f>
        <v>-0.2</v>
      </c>
    </row>
    <row r="140" spans="2:25" x14ac:dyDescent="0.3">
      <c r="B140" s="122">
        <v>0.17954493290295315</v>
      </c>
      <c r="C140" s="122">
        <f t="shared" si="20"/>
        <v>1.473085499718272E-2</v>
      </c>
      <c r="D140" s="126">
        <f t="shared" si="21"/>
        <v>3.3465001359486261E-2</v>
      </c>
      <c r="E140" s="122">
        <f t="shared" si="22"/>
        <v>6.4091013419409371E-2</v>
      </c>
      <c r="F140" s="122">
        <f t="shared" si="23"/>
        <v>6.4003474411831268E-2</v>
      </c>
      <c r="G140" s="122">
        <f t="shared" si="24"/>
        <v>0.17740451859161327</v>
      </c>
      <c r="H140" s="122">
        <f t="shared" si="25"/>
        <v>4.8127335987943241E-2</v>
      </c>
      <c r="I140" s="122">
        <f t="shared" si="26"/>
        <v>0.18168534721429302</v>
      </c>
      <c r="J140" s="122">
        <f t="shared" si="27"/>
        <v>-1.8665625993577802E-2</v>
      </c>
      <c r="K140" s="122">
        <f t="shared" si="28"/>
        <v>6.6792961981521043E-2</v>
      </c>
      <c r="Y140" s="126">
        <f>IF($Z$1, C140, -0.2)</f>
        <v>-0.2</v>
      </c>
    </row>
    <row r="141" spans="2:25" x14ac:dyDescent="0.3">
      <c r="B141" s="122">
        <v>0.18196763709891517</v>
      </c>
      <c r="C141" s="122">
        <f t="shared" si="20"/>
        <v>1.488554161475527E-2</v>
      </c>
      <c r="D141" s="126">
        <f t="shared" si="21"/>
        <v>3.3651426909000616E-2</v>
      </c>
      <c r="E141" s="122">
        <f t="shared" si="22"/>
        <v>6.3606472580216969E-2</v>
      </c>
      <c r="F141" s="122">
        <f t="shared" si="23"/>
        <v>6.3520900871134281E-2</v>
      </c>
      <c r="G141" s="122">
        <f t="shared" si="24"/>
        <v>0.1798315053373008</v>
      </c>
      <c r="H141" s="122">
        <f t="shared" si="25"/>
        <v>4.846910119543154E-2</v>
      </c>
      <c r="I141" s="122">
        <f t="shared" si="26"/>
        <v>0.18410376886052954</v>
      </c>
      <c r="J141" s="122">
        <f t="shared" si="27"/>
        <v>-1.8698017965921E-2</v>
      </c>
      <c r="K141" s="122">
        <f t="shared" si="28"/>
        <v>6.716711916135254E-2</v>
      </c>
      <c r="Y141" s="126">
        <f>IF($Z$1, C141, -0.2)</f>
        <v>-0.2</v>
      </c>
    </row>
    <row r="142" spans="2:25" x14ac:dyDescent="0.3">
      <c r="B142" s="122">
        <v>0.18440294704039933</v>
      </c>
      <c r="C142" s="122">
        <f t="shared" si="20"/>
        <v>1.5039850016321502E-2</v>
      </c>
      <c r="D142" s="126">
        <f t="shared" si="21"/>
        <v>3.3836756679343667E-2</v>
      </c>
      <c r="E142" s="122">
        <f t="shared" si="22"/>
        <v>6.3119410591920139E-2</v>
      </c>
      <c r="F142" s="122">
        <f t="shared" si="23"/>
        <v>6.3035786559467663E-2</v>
      </c>
      <c r="G142" s="122">
        <f t="shared" si="24"/>
        <v>0.18227143272220089</v>
      </c>
      <c r="H142" s="122">
        <f t="shared" si="25"/>
        <v>4.8809403600703148E-2</v>
      </c>
      <c r="I142" s="122">
        <f t="shared" si="26"/>
        <v>0.18653446135859778</v>
      </c>
      <c r="J142" s="122">
        <f t="shared" si="27"/>
        <v>-1.8729703568060148E-2</v>
      </c>
      <c r="K142" s="122">
        <f t="shared" si="28"/>
        <v>6.7539107168763296E-2</v>
      </c>
      <c r="Y142" s="126">
        <f>IF($Z$1, C142, -0.2)</f>
        <v>-0.2</v>
      </c>
    </row>
    <row r="143" spans="2:25" x14ac:dyDescent="0.3">
      <c r="B143" s="122">
        <v>0.18685076619981611</v>
      </c>
      <c r="C143" s="122">
        <f t="shared" si="20"/>
        <v>1.5193755737035778E-2</v>
      </c>
      <c r="D143" s="126">
        <f t="shared" si="21"/>
        <v>3.4020980741052601E-2</v>
      </c>
      <c r="E143" s="122">
        <f t="shared" si="22"/>
        <v>6.2629846760036786E-2</v>
      </c>
      <c r="F143" s="122">
        <f t="shared" si="23"/>
        <v>6.2548150469393118E-2</v>
      </c>
      <c r="G143" s="122">
        <f t="shared" si="24"/>
        <v>0.18472420402509709</v>
      </c>
      <c r="H143" s="122">
        <f t="shared" si="25"/>
        <v>4.9148208521613619E-2</v>
      </c>
      <c r="I143" s="122">
        <f t="shared" si="26"/>
        <v>0.18897732837453513</v>
      </c>
      <c r="J143" s="122">
        <f t="shared" si="27"/>
        <v>-1.8760697047542067E-2</v>
      </c>
      <c r="K143" s="122">
        <f t="shared" si="28"/>
        <v>6.7908905569155686E-2</v>
      </c>
      <c r="Y143" s="126">
        <f>IF($Z$1, C143, -0.2)</f>
        <v>-0.2</v>
      </c>
    </row>
    <row r="144" spans="2:25" x14ac:dyDescent="0.3">
      <c r="B144" s="122">
        <v>0.18931099755375197</v>
      </c>
      <c r="C144" s="122">
        <f t="shared" si="20"/>
        <v>1.5347234375895531E-2</v>
      </c>
      <c r="D144" s="126">
        <f t="shared" si="21"/>
        <v>3.4204089077178423E-2</v>
      </c>
      <c r="E144" s="122">
        <f t="shared" si="22"/>
        <v>6.2137800489249606E-2</v>
      </c>
      <c r="F144" s="122">
        <f t="shared" si="23"/>
        <v>6.2058011701700035E-2</v>
      </c>
      <c r="G144" s="122">
        <f t="shared" si="24"/>
        <v>0.18718972198052286</v>
      </c>
      <c r="H144" s="122">
        <f t="shared" si="25"/>
        <v>4.948548124860383E-2</v>
      </c>
      <c r="I144" s="122">
        <f t="shared" si="26"/>
        <v>0.19143227312698108</v>
      </c>
      <c r="J144" s="122">
        <f t="shared" si="27"/>
        <v>-1.8791012496812767E-2</v>
      </c>
      <c r="K144" s="122">
        <f t="shared" si="28"/>
        <v>6.8276493745416597E-2</v>
      </c>
      <c r="Y144" s="126">
        <f>IF($Z$1, C144, -0.2)</f>
        <v>-0.2</v>
      </c>
    </row>
    <row r="145" spans="2:25" x14ac:dyDescent="0.3">
      <c r="B145" s="122">
        <v>0.19178354358681554</v>
      </c>
      <c r="C145" s="122">
        <f t="shared" si="20"/>
        <v>1.5500261599609958E-2</v>
      </c>
      <c r="D145" s="126">
        <f t="shared" si="21"/>
        <v>3.4386071584387459E-2</v>
      </c>
      <c r="E145" s="122">
        <f t="shared" si="22"/>
        <v>6.1643291282636896E-2</v>
      </c>
      <c r="F145" s="122">
        <f t="shared" si="23"/>
        <v>6.156538946473173E-2</v>
      </c>
      <c r="G145" s="122">
        <f t="shared" si="24"/>
        <v>0.18966788878220264</v>
      </c>
      <c r="H145" s="122">
        <f t="shared" si="25"/>
        <v>4.9821187049753884E-2</v>
      </c>
      <c r="I145" s="122">
        <f t="shared" si="26"/>
        <v>0.19389919839142844</v>
      </c>
      <c r="J145" s="122">
        <f t="shared" si="27"/>
        <v>-1.8820663850533964E-2</v>
      </c>
      <c r="K145" s="122">
        <f t="shared" si="28"/>
        <v>6.8641850900287849E-2</v>
      </c>
      <c r="Y145" s="126">
        <f>IF($Z$1, C145, -0.2)</f>
        <v>-0.2</v>
      </c>
    </row>
    <row r="146" spans="2:25" x14ac:dyDescent="0.3">
      <c r="B146" s="122">
        <v>0.1942683062955024</v>
      </c>
      <c r="C146" s="122">
        <f t="shared" si="20"/>
        <v>1.5652813146457927E-2</v>
      </c>
      <c r="D146" s="126">
        <f t="shared" si="21"/>
        <v>3.4566918074116749E-2</v>
      </c>
      <c r="E146" s="122">
        <f t="shared" si="22"/>
        <v>6.1146338740899524E-2</v>
      </c>
      <c r="F146" s="122">
        <f t="shared" si="23"/>
        <v>6.107030307370459E-2</v>
      </c>
      <c r="G146" s="122">
        <f t="shared" si="24"/>
        <v>0.19215860608651478</v>
      </c>
      <c r="H146" s="122">
        <f t="shared" si="25"/>
        <v>5.0155291175882091E-2</v>
      </c>
      <c r="I146" s="122">
        <f t="shared" si="26"/>
        <v>0.19637800650449003</v>
      </c>
      <c r="J146" s="122">
        <f t="shared" si="27"/>
        <v>-1.8849664882966233E-2</v>
      </c>
      <c r="K146" s="122">
        <f t="shared" si="28"/>
        <v>6.9004956058848321E-2</v>
      </c>
      <c r="Y146" s="126">
        <f>IF($Z$1, C146, -0.2)</f>
        <v>-0.2</v>
      </c>
    </row>
    <row r="147" spans="2:25" x14ac:dyDescent="0.3">
      <c r="B147" s="122">
        <v>0.19676518719207969</v>
      </c>
      <c r="C147" s="122">
        <f t="shared" si="20"/>
        <v>1.5804864830134553E-2</v>
      </c>
      <c r="D147" s="126">
        <f t="shared" si="21"/>
        <v>3.4746618273783753E-2</v>
      </c>
      <c r="E147" s="122">
        <f t="shared" si="22"/>
        <v>6.0646962561584063E-2</v>
      </c>
      <c r="F147" s="122">
        <f t="shared" si="23"/>
        <v>6.0572771950019963E-2</v>
      </c>
      <c r="G147" s="122">
        <f t="shared" si="24"/>
        <v>0.19466177501597806</v>
      </c>
      <c r="H147" s="122">
        <f t="shared" si="25"/>
        <v>5.0487758865688598E-2</v>
      </c>
      <c r="I147" s="122">
        <f t="shared" si="26"/>
        <v>0.19886859936818133</v>
      </c>
      <c r="J147" s="122">
        <f t="shared" si="27"/>
        <v>-1.8878029205419491E-2</v>
      </c>
      <c r="K147" s="122">
        <f t="shared" si="28"/>
        <v>6.9365788071108089E-2</v>
      </c>
      <c r="Y147" s="126">
        <f>IF($Z$1, C147, -0.2)</f>
        <v>-0.2</v>
      </c>
    </row>
    <row r="148" spans="2:25" x14ac:dyDescent="0.3">
      <c r="B148" s="122">
        <v>0.19927408730849</v>
      </c>
      <c r="C148" s="122">
        <f t="shared" si="20"/>
        <v>1.5956392543585829E-2</v>
      </c>
      <c r="D148" s="126">
        <f t="shared" si="21"/>
        <v>3.4925161828050291E-2</v>
      </c>
      <c r="E148" s="122">
        <f t="shared" si="22"/>
        <v>6.0145182538302006E-2</v>
      </c>
      <c r="F148" s="122">
        <f t="shared" si="23"/>
        <v>6.0072815620568751E-2</v>
      </c>
      <c r="G148" s="122">
        <f t="shared" si="24"/>
        <v>0.19717729616276147</v>
      </c>
      <c r="H148" s="122">
        <f t="shared" si="25"/>
        <v>5.0818555350943262E-2</v>
      </c>
      <c r="I148" s="122">
        <f t="shared" si="26"/>
        <v>0.20137087845421853</v>
      </c>
      <c r="J148" s="122">
        <f t="shared" si="27"/>
        <v>-1.8905770263771604E-2</v>
      </c>
      <c r="K148" s="122">
        <f t="shared" si="28"/>
        <v>6.9724325614714866E-2</v>
      </c>
      <c r="Y148" s="126">
        <f>IF($Z$1, C148, -0.2)</f>
        <v>-0.2</v>
      </c>
    </row>
    <row r="149" spans="2:25" x14ac:dyDescent="0.3">
      <c r="B149" s="122">
        <v>0.20179490720027371</v>
      </c>
      <c r="C149" s="122">
        <f t="shared" si="20"/>
        <v>1.6107372262830665E-2</v>
      </c>
      <c r="D149" s="126">
        <f t="shared" si="21"/>
        <v>3.5102538300140707E-2</v>
      </c>
      <c r="E149" s="122">
        <f t="shared" si="22"/>
        <v>5.9641018559945261E-2</v>
      </c>
      <c r="F149" s="122">
        <f t="shared" si="23"/>
        <v>5.9570453717028869E-2</v>
      </c>
      <c r="G149" s="122">
        <f t="shared" si="24"/>
        <v>0.19970506959221698</v>
      </c>
      <c r="H149" s="122">
        <f t="shared" si="25"/>
        <v>5.1147645861716801E-2</v>
      </c>
      <c r="I149" s="122">
        <f t="shared" si="26"/>
        <v>0.20388474480833044</v>
      </c>
      <c r="J149" s="122">
        <f t="shared" si="27"/>
        <v>-1.8932901336055474E-2</v>
      </c>
      <c r="K149" s="122">
        <f t="shared" si="28"/>
        <v>7.0080547197772278E-2</v>
      </c>
      <c r="Y149" s="126">
        <f>IF($Z$1, C149, -0.2)</f>
        <v>-0.2</v>
      </c>
    </row>
    <row r="150" spans="2:25" x14ac:dyDescent="0.3">
      <c r="B150" s="122">
        <v>0.20432754695051125</v>
      </c>
      <c r="C150" s="122">
        <f t="shared" si="20"/>
        <v>1.6257780050769787E-2</v>
      </c>
      <c r="D150" s="126">
        <f t="shared" si="21"/>
        <v>3.5278737173214531E-2</v>
      </c>
      <c r="E150" s="122">
        <f t="shared" si="22"/>
        <v>5.9134490609897755E-2</v>
      </c>
      <c r="F150" s="122">
        <f t="shared" si="23"/>
        <v>5.9065705975155348E-2</v>
      </c>
      <c r="G150" s="122">
        <f t="shared" si="24"/>
        <v>0.20224499484643663</v>
      </c>
      <c r="H150" s="122">
        <f t="shared" si="25"/>
        <v>5.1474995631655265E-2</v>
      </c>
      <c r="I150" s="122">
        <f t="shared" si="26"/>
        <v>0.20641009905458588</v>
      </c>
      <c r="J150" s="122">
        <f t="shared" si="27"/>
        <v>-1.8959435530115695E-2</v>
      </c>
      <c r="K150" s="122">
        <f t="shared" si="28"/>
        <v>7.0434431161770963E-2</v>
      </c>
      <c r="Y150" s="126">
        <f>IF($Z$1, C150, -0.2)</f>
        <v>-0.2</v>
      </c>
    </row>
    <row r="151" spans="2:25" x14ac:dyDescent="0.3">
      <c r="B151" s="122">
        <v>0.20687190617378309</v>
      </c>
      <c r="C151" s="122">
        <f t="shared" si="20"/>
        <v>1.6407592060980858E-2</v>
      </c>
      <c r="D151" s="126">
        <f t="shared" si="21"/>
        <v>3.5453747851793546E-2</v>
      </c>
      <c r="E151" s="122">
        <f t="shared" si="22"/>
        <v>5.8625618765243387E-2</v>
      </c>
      <c r="F151" s="122">
        <f t="shared" si="23"/>
        <v>5.8558592234063289E-2</v>
      </c>
      <c r="G151" s="122">
        <f t="shared" si="24"/>
        <v>0.20479697094783278</v>
      </c>
      <c r="H151" s="122">
        <f t="shared" si="25"/>
        <v>5.1800569903296782E-2</v>
      </c>
      <c r="I151" s="122">
        <f t="shared" si="26"/>
        <v>0.20894684139973341</v>
      </c>
      <c r="J151" s="122">
        <f t="shared" si="27"/>
        <v>-1.8985385781335067E-2</v>
      </c>
      <c r="K151" s="122">
        <f t="shared" si="28"/>
        <v>7.0785955684631849E-2</v>
      </c>
      <c r="Y151" s="126">
        <f>IF($Z$1, C151, -0.2)</f>
        <v>-0.2</v>
      </c>
    </row>
    <row r="152" spans="2:25" x14ac:dyDescent="0.3">
      <c r="B152" s="122">
        <v>0.20942788402014861</v>
      </c>
      <c r="C152" s="122">
        <f t="shared" si="20"/>
        <v>1.655678454149918E-2</v>
      </c>
      <c r="D152" s="126">
        <f t="shared" si="21"/>
        <v>3.5627559663243102E-2</v>
      </c>
      <c r="E152" s="122">
        <f t="shared" si="22"/>
        <v>5.811442319597028E-2</v>
      </c>
      <c r="F152" s="122">
        <f t="shared" si="23"/>
        <v>5.8049132435503636E-2</v>
      </c>
      <c r="G152" s="122">
        <f t="shared" si="24"/>
        <v>0.20736089640274238</v>
      </c>
      <c r="H152" s="122">
        <f t="shared" si="25"/>
        <v>5.2124333933429967E-2</v>
      </c>
      <c r="I152" s="122">
        <f t="shared" si="26"/>
        <v>0.21149487163755484</v>
      </c>
      <c r="J152" s="122">
        <f t="shared" si="27"/>
        <v>-1.901076485043161E-2</v>
      </c>
      <c r="K152" s="122">
        <f t="shared" si="28"/>
        <v>7.1135098783861581E-2</v>
      </c>
      <c r="Y152" s="126">
        <f>IF($Z$1, C152, -0.2)</f>
        <v>-0.2</v>
      </c>
    </row>
    <row r="153" spans="2:25" x14ac:dyDescent="0.3">
      <c r="B153" s="122">
        <v>0.21199537917914374</v>
      </c>
      <c r="C153" s="122">
        <f t="shared" si="20"/>
        <v>1.670533383858348E-2</v>
      </c>
      <c r="D153" s="126">
        <f t="shared" si="21"/>
        <v>3.5800161859308038E-2</v>
      </c>
      <c r="E153" s="122">
        <f t="shared" si="22"/>
        <v>5.7600924164171258E-2</v>
      </c>
      <c r="F153" s="122">
        <f t="shared" si="23"/>
        <v>5.7537346623131598E-2</v>
      </c>
      <c r="G153" s="122">
        <f t="shared" si="24"/>
        <v>0.20993666920505596</v>
      </c>
      <c r="H153" s="122">
        <f t="shared" si="25"/>
        <v>5.2446252998493814E-2</v>
      </c>
      <c r="I153" s="122">
        <f t="shared" si="26"/>
        <v>0.21405408915323151</v>
      </c>
      <c r="J153" s="122">
        <f t="shared" si="27"/>
        <v>-1.9035585321326851E-2</v>
      </c>
      <c r="K153" s="122">
        <f t="shared" si="28"/>
        <v>7.1481838319820662E-2</v>
      </c>
      <c r="Y153" s="126">
        <f>IF($Z$1, C153, -0.2)</f>
        <v>-0.2</v>
      </c>
    </row>
    <row r="154" spans="2:25" x14ac:dyDescent="0.3">
      <c r="B154" s="122">
        <v>0.21457428988379634</v>
      </c>
      <c r="C154" s="122">
        <f t="shared" si="20"/>
        <v>1.6853216400466088E-2</v>
      </c>
      <c r="D154" s="126">
        <f t="shared" si="21"/>
        <v>3.5971543617702773E-2</v>
      </c>
      <c r="E154" s="122">
        <f t="shared" si="22"/>
        <v>5.7085142023240734E-2</v>
      </c>
      <c r="F154" s="122">
        <f t="shared" si="23"/>
        <v>5.7023254941767923E-2</v>
      </c>
      <c r="G154" s="122">
        <f t="shared" si="24"/>
        <v>0.21252418683987048</v>
      </c>
      <c r="H154" s="122">
        <f t="shared" si="25"/>
        <v>5.2766292400017824E-2</v>
      </c>
      <c r="I154" s="122">
        <f t="shared" si="26"/>
        <v>0.2166243929277222</v>
      </c>
      <c r="J154" s="122">
        <f t="shared" si="27"/>
        <v>-1.9059859599085648E-2</v>
      </c>
      <c r="K154" s="122">
        <f t="shared" si="28"/>
        <v>7.1826151999103471E-2</v>
      </c>
      <c r="Y154" s="126">
        <f>IF($Z$1, C154, -0.2)</f>
        <v>-0.2</v>
      </c>
    </row>
    <row r="155" spans="2:25" x14ac:dyDescent="0.3">
      <c r="B155" s="122">
        <v>0.21716451391466002</v>
      </c>
      <c r="C155" s="122">
        <f t="shared" si="20"/>
        <v>1.7000408781086947E-2</v>
      </c>
      <c r="D155" s="126">
        <f t="shared" si="21"/>
        <v>3.6141694043755779E-2</v>
      </c>
      <c r="E155" s="122">
        <f t="shared" si="22"/>
        <v>5.6567097217067999E-2</v>
      </c>
      <c r="F155" s="122">
        <f t="shared" si="23"/>
        <v>5.6506877636652991E-2</v>
      </c>
      <c r="G155" s="122">
        <f t="shared" si="24"/>
        <v>0.21512334628716698</v>
      </c>
      <c r="H155" s="122">
        <f t="shared" si="25"/>
        <v>5.3084417470102174E-2</v>
      </c>
      <c r="I155" s="122">
        <f t="shared" si="26"/>
        <v>0.21920568154215306</v>
      </c>
      <c r="J155" s="122">
        <f t="shared" si="27"/>
        <v>-1.9083599907928281E-2</v>
      </c>
      <c r="K155" s="122">
        <f t="shared" si="28"/>
        <v>7.2168017378030455E-2</v>
      </c>
      <c r="Y155" s="126">
        <f>IF($Z$1, C155, -0.2)</f>
        <v>-0.2</v>
      </c>
    </row>
    <row r="156" spans="2:25" x14ac:dyDescent="0.3">
      <c r="B156" s="122">
        <v>0.21976594860386583</v>
      </c>
      <c r="C156" s="122">
        <f t="shared" si="20"/>
        <v>1.7146887643810883E-2</v>
      </c>
      <c r="D156" s="126">
        <f t="shared" si="21"/>
        <v>3.631060217210829E-2</v>
      </c>
      <c r="E156" s="122">
        <f t="shared" si="22"/>
        <v>5.6046810279226839E-2</v>
      </c>
      <c r="F156" s="122">
        <f t="shared" si="23"/>
        <v>5.5988235052693618E-2</v>
      </c>
      <c r="G156" s="122">
        <f t="shared" si="24"/>
        <v>0.21773404402551302</v>
      </c>
      <c r="H156" s="122">
        <f t="shared" si="25"/>
        <v>5.3400593576937008E-2</v>
      </c>
      <c r="I156" s="122">
        <f t="shared" si="26"/>
        <v>0.22179785318221865</v>
      </c>
      <c r="J156" s="122">
        <f t="shared" si="27"/>
        <v>-1.910681828931524E-2</v>
      </c>
      <c r="K156" s="122">
        <f t="shared" si="28"/>
        <v>7.2507411866252244E-2</v>
      </c>
      <c r="Y156" s="126">
        <f>IF($Z$1, C156, -0.2)</f>
        <v>-0.2</v>
      </c>
    </row>
    <row r="157" spans="2:25" x14ac:dyDescent="0.3">
      <c r="B157" s="122">
        <v>0.22237849083919142</v>
      </c>
      <c r="C157" s="122">
        <f t="shared" si="20"/>
        <v>1.729262976512751E-2</v>
      </c>
      <c r="D157" s="126">
        <f t="shared" si="21"/>
        <v>3.6478256968466891E-2</v>
      </c>
      <c r="E157" s="122">
        <f t="shared" si="22"/>
        <v>5.552430183216172E-2</v>
      </c>
      <c r="F157" s="122">
        <f t="shared" si="23"/>
        <v>5.5467347633702771E-2</v>
      </c>
      <c r="G157" s="122">
        <f t="shared" si="24"/>
        <v>0.22035617603579005</v>
      </c>
      <c r="H157" s="122">
        <f t="shared" si="25"/>
        <v>5.3714786130360015E-2</v>
      </c>
      <c r="I157" s="122">
        <f t="shared" si="26"/>
        <v>0.22440080564259279</v>
      </c>
      <c r="J157" s="122">
        <f t="shared" si="27"/>
        <v>-1.9129526600104998E-2</v>
      </c>
      <c r="K157" s="122">
        <f t="shared" si="28"/>
        <v>7.2844312730465016E-2</v>
      </c>
      <c r="Y157" s="126">
        <f>IF($Z$1, C157, -0.2)</f>
        <v>-0.2</v>
      </c>
    </row>
    <row r="158" spans="2:25" x14ac:dyDescent="0.3">
      <c r="B158" s="122">
        <v>0.22500203706814847</v>
      </c>
      <c r="C158" s="122">
        <f t="shared" si="20"/>
        <v>1.7437612038333199E-2</v>
      </c>
      <c r="D158" s="126">
        <f t="shared" si="21"/>
        <v>3.6644647331410443E-2</v>
      </c>
      <c r="E158" s="122">
        <f t="shared" si="22"/>
        <v>5.4999592586370306E-2</v>
      </c>
      <c r="F158" s="122">
        <f t="shared" si="23"/>
        <v>5.494423592163198E-2</v>
      </c>
      <c r="G158" s="122">
        <f t="shared" si="24"/>
        <v>0.22298963780494624</v>
      </c>
      <c r="H158" s="122">
        <f t="shared" si="25"/>
        <v>5.40269605874521E-2</v>
      </c>
      <c r="I158" s="122">
        <f t="shared" si="26"/>
        <v>0.22701443633135071</v>
      </c>
      <c r="J158" s="122">
        <f t="shared" si="27"/>
        <v>-1.9151736510785704E-2</v>
      </c>
      <c r="K158" s="122">
        <f t="shared" si="28"/>
        <v>7.3178697098237808E-2</v>
      </c>
      <c r="Y158" s="126">
        <f>IF($Z$1, C158, -0.2)</f>
        <v>-0.2</v>
      </c>
    </row>
    <row r="159" spans="2:25" x14ac:dyDescent="0.3">
      <c r="B159" s="122">
        <v>0.22763648330208675</v>
      </c>
      <c r="C159" s="122">
        <f t="shared" si="20"/>
        <v>1.7581811477194554E-2</v>
      </c>
      <c r="D159" s="126">
        <f t="shared" si="21"/>
        <v>3.6809762094250451E-2</v>
      </c>
      <c r="E159" s="122">
        <f t="shared" si="22"/>
        <v>5.4472703339582651E-2</v>
      </c>
      <c r="F159" s="122">
        <f t="shared" si="23"/>
        <v>5.4418920555796724E-2</v>
      </c>
      <c r="G159" s="122">
        <f t="shared" si="24"/>
        <v>0.22563432432977412</v>
      </c>
      <c r="H159" s="122">
        <f t="shared" si="25"/>
        <v>5.4337082458169594E-2</v>
      </c>
      <c r="I159" s="122">
        <f t="shared" si="26"/>
        <v>0.22963864227439937</v>
      </c>
      <c r="J159" s="122">
        <f t="shared" si="27"/>
        <v>-1.9173459503780483E-2</v>
      </c>
      <c r="K159" s="122">
        <f t="shared" si="28"/>
        <v>7.3510541961950074E-2</v>
      </c>
      <c r="Y159" s="126">
        <f>IF($Z$1, C159, -0.2)</f>
        <v>-0.2</v>
      </c>
    </row>
    <row r="160" spans="2:25" x14ac:dyDescent="0.3">
      <c r="B160" s="122">
        <v>0.23028172512031608</v>
      </c>
      <c r="C160" s="122">
        <f t="shared" si="20"/>
        <v>1.7725205219592727E-2</v>
      </c>
      <c r="D160" s="126">
        <f t="shared" si="21"/>
        <v>3.6973590026945273E-2</v>
      </c>
      <c r="E160" s="122">
        <f t="shared" si="22"/>
        <v>5.3943654975936783E-2</v>
      </c>
      <c r="F160" s="122">
        <f t="shared" si="23"/>
        <v>5.3891422272094536E-2</v>
      </c>
      <c r="G160" s="122">
        <f t="shared" si="24"/>
        <v>0.22829013012071461</v>
      </c>
      <c r="H160" s="122">
        <f t="shared" si="25"/>
        <v>5.4645117311012847E-2</v>
      </c>
      <c r="I160" s="122">
        <f t="shared" si="26"/>
        <v>0.23227332011991755</v>
      </c>
      <c r="J160" s="122">
        <f t="shared" si="27"/>
        <v>-1.9194706871827394E-2</v>
      </c>
      <c r="K160" s="122">
        <f t="shared" si="28"/>
        <v>7.3839824182840241E-2</v>
      </c>
      <c r="Y160" s="126">
        <f>IF($Z$1, C160, -0.2)</f>
        <v>-0.2</v>
      </c>
    </row>
    <row r="161" spans="2:25" x14ac:dyDescent="0.3">
      <c r="B161" s="122">
        <v>0.23293765767424529</v>
      </c>
      <c r="C161" s="122">
        <f t="shared" si="20"/>
        <v>1.7867770531148141E-2</v>
      </c>
      <c r="D161" s="126">
        <f t="shared" si="21"/>
        <v>3.7136119838067728E-2</v>
      </c>
      <c r="E161" s="122">
        <f t="shared" si="22"/>
        <v>5.3412468465150943E-2</v>
      </c>
      <c r="F161" s="122">
        <f t="shared" si="23"/>
        <v>5.3361761902216032E-2</v>
      </c>
      <c r="G161" s="122">
        <f t="shared" si="24"/>
        <v>0.23095694920568632</v>
      </c>
      <c r="H161" s="122">
        <f t="shared" si="25"/>
        <v>5.4951030778730287E-2</v>
      </c>
      <c r="I161" s="122">
        <f t="shared" si="26"/>
        <v>0.23491836614280426</v>
      </c>
      <c r="J161" s="122">
        <f t="shared" si="27"/>
        <v>-1.9215489716434008E-2</v>
      </c>
      <c r="K161" s="122">
        <f t="shared" si="28"/>
        <v>7.4166520495164298E-2</v>
      </c>
      <c r="Y161" s="126">
        <f>IF($Z$1, C161, -0.2)</f>
        <v>-0.2</v>
      </c>
    </row>
    <row r="162" spans="2:25" x14ac:dyDescent="0.3">
      <c r="B162" s="122">
        <v>0.23560417569153802</v>
      </c>
      <c r="C162" s="122">
        <f t="shared" si="20"/>
        <v>1.8009484808824892E-2</v>
      </c>
      <c r="D162" s="126">
        <f t="shared" si="21"/>
        <v>3.7297340176825948E-2</v>
      </c>
      <c r="E162" s="122">
        <f t="shared" si="22"/>
        <v>5.2879164861692397E-2</v>
      </c>
      <c r="F162" s="122">
        <f t="shared" si="23"/>
        <v>5.2829960372848775E-2</v>
      </c>
      <c r="G162" s="122">
        <f t="shared" si="24"/>
        <v>0.23363467513394129</v>
      </c>
      <c r="H162" s="122">
        <f t="shared" si="25"/>
        <v>5.5254788564056925E-2</v>
      </c>
      <c r="I162" s="122">
        <f t="shared" si="26"/>
        <v>0.23757367624913475</v>
      </c>
      <c r="J162" s="122">
        <f t="shared" si="27"/>
        <v>-1.9235818946407138E-2</v>
      </c>
      <c r="K162" s="122">
        <f t="shared" si="28"/>
        <v>7.449060751046406E-2</v>
      </c>
      <c r="Y162" s="126">
        <f>IF($Z$1, C162, -0.2)</f>
        <v>-0.2</v>
      </c>
    </row>
    <row r="163" spans="2:25" x14ac:dyDescent="0.3">
      <c r="B163" s="122">
        <v>0.23828117348028521</v>
      </c>
      <c r="C163" s="122">
        <f t="shared" si="20"/>
        <v>1.8150325584514345E-2</v>
      </c>
      <c r="D163" s="126">
        <f t="shared" si="21"/>
        <v>3.7457239635137161E-2</v>
      </c>
      <c r="E163" s="122">
        <f t="shared" si="22"/>
        <v>5.2343765303942962E-2</v>
      </c>
      <c r="F163" s="122">
        <f t="shared" si="23"/>
        <v>5.2296038704874148E-2</v>
      </c>
      <c r="G163" s="122">
        <f t="shared" si="24"/>
        <v>0.23632320097994644</v>
      </c>
      <c r="H163" s="122">
        <f t="shared" si="25"/>
        <v>5.5556356445486579E-2</v>
      </c>
      <c r="I163" s="122">
        <f t="shared" si="26"/>
        <v>0.24023914598062399</v>
      </c>
      <c r="J163" s="122">
        <f t="shared" si="27"/>
        <v>-1.9255705276457893E-2</v>
      </c>
      <c r="K163" s="122">
        <f t="shared" si="28"/>
        <v>7.4812061721944476E-2</v>
      </c>
      <c r="Y163" s="126">
        <f>IF($Z$1, C163, -0.2)</f>
        <v>-0.2</v>
      </c>
    </row>
    <row r="164" spans="2:25" x14ac:dyDescent="0.3">
      <c r="B164" s="122">
        <v>0.24096854493319464</v>
      </c>
      <c r="C164" s="122">
        <f t="shared" si="20"/>
        <v>1.8290270528597361E-2</v>
      </c>
      <c r="D164" s="126">
        <f t="shared" si="21"/>
        <v>3.7615806749754226E-2</v>
      </c>
      <c r="E164" s="122">
        <f t="shared" si="22"/>
        <v>5.1806291013361074E-2</v>
      </c>
      <c r="F164" s="122">
        <f t="shared" si="23"/>
        <v>5.1760018012556953E-2</v>
      </c>
      <c r="G164" s="122">
        <f t="shared" si="24"/>
        <v>0.2390224193472921</v>
      </c>
      <c r="H164" s="122">
        <f t="shared" si="25"/>
        <v>5.5855700283077084E-2</v>
      </c>
      <c r="I164" s="122">
        <f t="shared" si="26"/>
        <v>0.24291467051909718</v>
      </c>
      <c r="J164" s="122">
        <f t="shared" si="27"/>
        <v>-1.9275159225882365E-2</v>
      </c>
      <c r="K164" s="122">
        <f t="shared" si="28"/>
        <v>7.5130859508959452E-2</v>
      </c>
      <c r="Y164" s="126">
        <f>IF($Z$1, C164, -0.2)</f>
        <v>-0.2</v>
      </c>
    </row>
    <row r="165" spans="2:25" x14ac:dyDescent="0.3">
      <c r="B165" s="122">
        <v>0.24366618353179648</v>
      </c>
      <c r="C165" s="122">
        <f t="shared" si="20"/>
        <v>1.8429297453484535E-2</v>
      </c>
      <c r="D165" s="126">
        <f t="shared" si="21"/>
        <v>3.7773030004444597E-2</v>
      </c>
      <c r="E165" s="122">
        <f t="shared" si="22"/>
        <v>5.1266763293640709E-2</v>
      </c>
      <c r="F165" s="122">
        <f t="shared" si="23"/>
        <v>5.1221919502728162E-2</v>
      </c>
      <c r="G165" s="122">
        <f t="shared" si="24"/>
        <v>0.24173222237262676</v>
      </c>
      <c r="H165" s="122">
        <f t="shared" si="25"/>
        <v>5.6152786024287402E-2</v>
      </c>
      <c r="I165" s="122">
        <f t="shared" si="26"/>
        <v>0.24560014469096619</v>
      </c>
      <c r="J165" s="122">
        <f t="shared" si="27"/>
        <v>-1.9294191117318334E-2</v>
      </c>
      <c r="K165" s="122">
        <f t="shared" si="28"/>
        <v>7.5446977141605739E-2</v>
      </c>
      <c r="Y165" s="126">
        <f>IF($Z$1, C165, -0.2)</f>
        <v>-0.2</v>
      </c>
    </row>
    <row r="166" spans="2:25" x14ac:dyDescent="0.3">
      <c r="B166" s="122">
        <v>0.24637398235066521</v>
      </c>
      <c r="C166" s="122">
        <f t="shared" si="20"/>
        <v>1.8567384317133933E-2</v>
      </c>
      <c r="D166" s="126">
        <f t="shared" si="21"/>
        <v>3.792889783222135E-2</v>
      </c>
      <c r="E166" s="122">
        <f t="shared" si="22"/>
        <v>5.0725203529866959E-2</v>
      </c>
      <c r="F166" s="122">
        <f t="shared" si="23"/>
        <v>5.0681764473960486E-2</v>
      </c>
      <c r="G166" s="122">
        <f t="shared" si="24"/>
        <v>0.24445250172961877</v>
      </c>
      <c r="H166" s="122">
        <f t="shared" si="25"/>
        <v>5.6447579709845791E-2</v>
      </c>
      <c r="I166" s="122">
        <f t="shared" si="26"/>
        <v>0.24829546297171165</v>
      </c>
      <c r="J166" s="122">
        <f t="shared" si="27"/>
        <v>-1.9312811075577922E-2</v>
      </c>
      <c r="K166" s="122">
        <f t="shared" si="28"/>
        <v>7.5760390785423709E-2</v>
      </c>
      <c r="Y166" s="126">
        <f>IF($Z$1, C166, -0.2)</f>
        <v>-0.2</v>
      </c>
    </row>
    <row r="167" spans="2:25" x14ac:dyDescent="0.3">
      <c r="B167" s="122">
        <v>0.2490918340616583</v>
      </c>
      <c r="C167" s="122">
        <f t="shared" si="20"/>
        <v>1.8704509226545759E-2</v>
      </c>
      <c r="D167" s="126">
        <f t="shared" si="21"/>
        <v>3.8083398617626087E-2</v>
      </c>
      <c r="E167" s="122">
        <f t="shared" si="22"/>
        <v>5.0181633187668342E-2</v>
      </c>
      <c r="F167" s="122">
        <f t="shared" si="23"/>
        <v>5.0139574315736929E-2</v>
      </c>
      <c r="G167" s="122">
        <f t="shared" si="24"/>
        <v>0.24718314863294558</v>
      </c>
      <c r="H167" s="122">
        <f t="shared" si="25"/>
        <v>5.6740047479648267E-2</v>
      </c>
      <c r="I167" s="122">
        <f t="shared" si="26"/>
        <v>0.251000519490371</v>
      </c>
      <c r="J167" s="122">
        <f t="shared" si="27"/>
        <v>-1.9331029026556753E-2</v>
      </c>
      <c r="K167" s="122">
        <f t="shared" si="28"/>
        <v>7.6071076506205024E-2</v>
      </c>
      <c r="Y167" s="126">
        <f>IF($Z$1, C167, -0.2)</f>
        <v>-0.2</v>
      </c>
    </row>
    <row r="168" spans="2:25" x14ac:dyDescent="0.3">
      <c r="B168" s="122">
        <v>0.25181963093816961</v>
      </c>
      <c r="C168" s="122">
        <f t="shared" si="20"/>
        <v>1.884065044123337E-2</v>
      </c>
      <c r="D168" s="126">
        <f t="shared" si="21"/>
        <v>3.8236520699063241E-2</v>
      </c>
      <c r="E168" s="122">
        <f t="shared" si="22"/>
        <v>4.963607381236608E-2</v>
      </c>
      <c r="F168" s="122">
        <f t="shared" si="23"/>
        <v>4.9595370507612507E-2</v>
      </c>
      <c r="G168" s="122">
        <f t="shared" si="24"/>
        <v>0.24992405384230926</v>
      </c>
      <c r="H168" s="122">
        <f t="shared" si="25"/>
        <v>5.7030155578686265E-2</v>
      </c>
      <c r="I168" s="122">
        <f t="shared" si="26"/>
        <v>0.25371520803402997</v>
      </c>
      <c r="J168" s="122">
        <f t="shared" si="27"/>
        <v>-1.9348854696219525E-2</v>
      </c>
      <c r="K168" s="122">
        <f t="shared" si="28"/>
        <v>7.637901027490579E-2</v>
      </c>
      <c r="Y168" s="126">
        <f>IF($Z$1, C168, -0.2)</f>
        <v>-0.2</v>
      </c>
    </row>
    <row r="169" spans="2:25" x14ac:dyDescent="0.3">
      <c r="B169" s="122">
        <v>0.25455726485940006</v>
      </c>
      <c r="C169" s="122">
        <f t="shared" si="20"/>
        <v>1.8975786376670134E-2</v>
      </c>
      <c r="D169" s="126">
        <f t="shared" si="21"/>
        <v>3.8388252371185358E-2</v>
      </c>
      <c r="E169" s="122">
        <f t="shared" si="22"/>
        <v>4.9088547028119989E-2</v>
      </c>
      <c r="F169" s="122">
        <f t="shared" si="23"/>
        <v>4.9049174618368746E-2</v>
      </c>
      <c r="G169" s="122">
        <f t="shared" si="24"/>
        <v>0.25267510766648088</v>
      </c>
      <c r="H169" s="122">
        <f t="shared" si="25"/>
        <v>5.7317870363002447E-2</v>
      </c>
      <c r="I169" s="122">
        <f t="shared" si="26"/>
        <v>0.25643942205231923</v>
      </c>
      <c r="J169" s="122">
        <f t="shared" si="27"/>
        <v>-1.9366297609662179E-2</v>
      </c>
      <c r="K169" s="122">
        <f t="shared" si="28"/>
        <v>7.6684167972664627E-2</v>
      </c>
      <c r="Y169" s="126">
        <f>IF($Z$1, C169, -0.2)</f>
        <v>-0.2</v>
      </c>
    </row>
    <row r="170" spans="2:25" x14ac:dyDescent="0.3">
      <c r="B170" s="122">
        <v>0.25730462731464265</v>
      </c>
      <c r="C170" s="122">
        <f t="shared" si="20"/>
        <v>1.9109895607711553E-2</v>
      </c>
      <c r="D170" s="126">
        <f t="shared" si="21"/>
        <v>3.853858188732915E-2</v>
      </c>
      <c r="E170" s="122">
        <f t="shared" si="22"/>
        <v>4.8539074537071472E-2</v>
      </c>
      <c r="F170" s="122">
        <f t="shared" si="23"/>
        <v>4.8501008305161561E-2</v>
      </c>
      <c r="G170" s="122">
        <f t="shared" si="24"/>
        <v>0.25543619996737116</v>
      </c>
      <c r="H170" s="122">
        <f t="shared" si="25"/>
        <v>5.7603158305673932E-2</v>
      </c>
      <c r="I170" s="122">
        <f t="shared" si="26"/>
        <v>0.25917305466191415</v>
      </c>
      <c r="J170" s="122">
        <f t="shared" si="27"/>
        <v>-1.938336709025083E-2</v>
      </c>
      <c r="K170" s="122">
        <f t="shared" si="28"/>
        <v>7.6986525395924765E-2</v>
      </c>
      <c r="Y170" s="126">
        <f>IF($Z$1, C170, -0.2)</f>
        <v>-0.2</v>
      </c>
    </row>
    <row r="171" spans="2:25" x14ac:dyDescent="0.3">
      <c r="B171" s="122">
        <v>0.26006160940758349</v>
      </c>
      <c r="C171" s="122">
        <f t="shared" si="20"/>
        <v>1.9242956871992099E-2</v>
      </c>
      <c r="D171" s="126">
        <f t="shared" si="21"/>
        <v>3.8687497462001716E-2</v>
      </c>
      <c r="E171" s="122">
        <f t="shared" si="22"/>
        <v>4.7987678118483305E-2</v>
      </c>
      <c r="F171" s="122">
        <f t="shared" si="23"/>
        <v>4.7950893312662009E-2</v>
      </c>
      <c r="G171" s="122">
        <f t="shared" si="24"/>
        <v>0.25820722016413006</v>
      </c>
      <c r="H171" s="122">
        <f t="shared" si="25"/>
        <v>5.7885986002821813E-2</v>
      </c>
      <c r="I171" s="122">
        <f t="shared" si="26"/>
        <v>0.26191599865103693</v>
      </c>
      <c r="J171" s="122">
        <f t="shared" si="27"/>
        <v>-1.9400072258837612E-2</v>
      </c>
      <c r="K171" s="122">
        <f t="shared" si="28"/>
        <v>7.7286058261659421E-2</v>
      </c>
      <c r="Y171" s="126">
        <f>IF($Z$1, C171, -0.2)</f>
        <v>-0.2</v>
      </c>
    </row>
    <row r="172" spans="2:25" x14ac:dyDescent="0.3">
      <c r="B172" s="122">
        <v>0.26282810186061856</v>
      </c>
      <c r="C172" s="122">
        <f t="shared" si="20"/>
        <v>1.9374949073296288E-2</v>
      </c>
      <c r="D172" s="126">
        <f t="shared" si="21"/>
        <v>3.8834987273416534E-2</v>
      </c>
      <c r="E172" s="122">
        <f t="shared" si="22"/>
        <v>4.7434379627876291E-2</v>
      </c>
      <c r="F172" s="122">
        <f t="shared" si="23"/>
        <v>4.7398851472190182E-2</v>
      </c>
      <c r="G172" s="122">
        <f t="shared" si="24"/>
        <v>0.26098805723727414</v>
      </c>
      <c r="H172" s="122">
        <f t="shared" si="25"/>
        <v>5.8166320179645771E-2</v>
      </c>
      <c r="I172" s="122">
        <f t="shared" si="26"/>
        <v>0.26466814648396297</v>
      </c>
      <c r="J172" s="122">
        <f t="shared" si="27"/>
        <v>-1.9416422033053195E-2</v>
      </c>
      <c r="K172" s="122">
        <f t="shared" si="28"/>
        <v>7.7582742212698966E-2</v>
      </c>
      <c r="Y172" s="126">
        <f>IF($Z$1, C172, -0.2)</f>
        <v>-0.2</v>
      </c>
    </row>
    <row r="173" spans="2:25" x14ac:dyDescent="0.3">
      <c r="B173" s="122">
        <v>0.26560399501918452</v>
      </c>
      <c r="C173" s="122">
        <f t="shared" si="20"/>
        <v>1.9505851284903356E-2</v>
      </c>
      <c r="D173" s="126">
        <f t="shared" si="21"/>
        <v>3.8981039466078844E-2</v>
      </c>
      <c r="E173" s="122">
        <f t="shared" si="22"/>
        <v>4.6879200996163099E-2</v>
      </c>
      <c r="F173" s="122">
        <f t="shared" si="23"/>
        <v>4.6844904700842467E-2</v>
      </c>
      <c r="G173" s="122">
        <f t="shared" si="24"/>
        <v>0.2637785997328419</v>
      </c>
      <c r="H173" s="122">
        <f t="shared" si="25"/>
        <v>5.8444127696483189E-2</v>
      </c>
      <c r="I173" s="122">
        <f t="shared" si="26"/>
        <v>0.26742939030552715</v>
      </c>
      <c r="J173" s="122">
        <f t="shared" si="27"/>
        <v>-1.9432425126676478E-2</v>
      </c>
      <c r="K173" s="122">
        <f t="shared" si="28"/>
        <v>7.7876552823159667E-2</v>
      </c>
      <c r="Y173" s="126">
        <f>IF($Z$1, C173, -0.2)</f>
        <v>-0.2</v>
      </c>
    </row>
    <row r="174" spans="2:25" x14ac:dyDescent="0.3">
      <c r="B174" s="122">
        <v>0.26838917885610541</v>
      </c>
      <c r="C174" s="122">
        <f t="shared" si="20"/>
        <v>1.9635642752905087E-2</v>
      </c>
      <c r="D174" s="126">
        <f t="shared" si="21"/>
        <v>3.9125642153419807E-2</v>
      </c>
      <c r="E174" s="122">
        <f t="shared" si="22"/>
        <v>4.6322164228778918E-2</v>
      </c>
      <c r="F174" s="122">
        <f t="shared" si="23"/>
        <v>4.6289075000611767E-2</v>
      </c>
      <c r="G174" s="122">
        <f t="shared" si="24"/>
        <v>0.26657873576657809</v>
      </c>
      <c r="H174" s="122">
        <f t="shared" si="25"/>
        <v>5.8719375554891179E-2</v>
      </c>
      <c r="I174" s="122">
        <f t="shared" si="26"/>
        <v>0.27019962194563274</v>
      </c>
      <c r="J174" s="122">
        <f t="shared" si="27"/>
        <v>-1.9448090049081004E-2</v>
      </c>
      <c r="K174" s="122">
        <f t="shared" si="28"/>
        <v>7.8167465603972183E-2</v>
      </c>
      <c r="Y174" s="126">
        <f>IF($Z$1, C174, -0.2)</f>
        <v>-0.2</v>
      </c>
    </row>
    <row r="175" spans="2:25" x14ac:dyDescent="0.3">
      <c r="B175" s="122">
        <v>0.27118354297595382</v>
      </c>
      <c r="C175" s="122">
        <f t="shared" si="20"/>
        <v>1.9764302899496284E-2</v>
      </c>
      <c r="D175" s="126">
        <f t="shared" si="21"/>
        <v>3.9268783420478993E-2</v>
      </c>
      <c r="E175" s="122">
        <f t="shared" si="22"/>
        <v>4.5763291404809239E-2</v>
      </c>
      <c r="F175" s="122">
        <f t="shared" si="23"/>
        <v>4.5731384457501079E-2</v>
      </c>
      <c r="G175" s="122">
        <f t="shared" si="24"/>
        <v>0.26938835302814651</v>
      </c>
      <c r="H175" s="122">
        <f t="shared" si="25"/>
        <v>5.8992030903750839E-2</v>
      </c>
      <c r="I175" s="122">
        <f t="shared" si="26"/>
        <v>0.27297873292376112</v>
      </c>
      <c r="J175" s="122">
        <f t="shared" si="27"/>
        <v>-1.9463425104758274E-2</v>
      </c>
      <c r="K175" s="122">
        <f t="shared" si="28"/>
        <v>7.8455456008509117E-2</v>
      </c>
      <c r="Y175" s="126">
        <f>IF($Z$1, C175, -0.2)</f>
        <v>-0.2</v>
      </c>
    </row>
    <row r="176" spans="2:25" x14ac:dyDescent="0.3">
      <c r="B176" s="122">
        <v>0.27398697661942611</v>
      </c>
      <c r="C176" s="122">
        <f t="shared" si="20"/>
        <v>1.9891811326237217E-2</v>
      </c>
      <c r="D176" s="126">
        <f t="shared" si="21"/>
        <v>3.9410451326634677E-2</v>
      </c>
      <c r="E176" s="122">
        <f t="shared" si="22"/>
        <v>4.5202604676114783E-2</v>
      </c>
      <c r="F176" s="122">
        <f t="shared" si="23"/>
        <v>4.5171855240630415E-2</v>
      </c>
      <c r="G176" s="122">
        <f t="shared" si="24"/>
        <v>0.27220733878537123</v>
      </c>
      <c r="H176" s="122">
        <f t="shared" si="25"/>
        <v>5.9262061045392431E-2</v>
      </c>
      <c r="I176" s="122">
        <f t="shared" si="26"/>
        <v>0.275766614453481</v>
      </c>
      <c r="J176" s="122">
        <f t="shared" si="27"/>
        <v>-1.9478438392917994E-2</v>
      </c>
      <c r="K176" s="122">
        <f t="shared" si="28"/>
        <v>7.8740499438310421E-2</v>
      </c>
      <c r="Y176" s="126">
        <f>IF($Z$1, C176, -0.2)</f>
        <v>-0.2</v>
      </c>
    </row>
    <row r="177" spans="2:25" x14ac:dyDescent="0.3">
      <c r="B177" s="122">
        <v>0.27679936866773314</v>
      </c>
      <c r="C177" s="122">
        <f t="shared" si="20"/>
        <v>2.0018147817287751E-2</v>
      </c>
      <c r="D177" s="126">
        <f t="shared" si="21"/>
        <v>3.9550633908381393E-2</v>
      </c>
      <c r="E177" s="122">
        <f t="shared" si="22"/>
        <v>4.4640126266453375E-2</v>
      </c>
      <c r="F177" s="122">
        <f t="shared" si="23"/>
        <v>4.4610509601336862E-2</v>
      </c>
      <c r="G177" s="122">
        <f t="shared" si="24"/>
        <v>0.27503557988850769</v>
      </c>
      <c r="H177" s="122">
        <f t="shared" si="25"/>
        <v>5.9529433441740498E-2</v>
      </c>
      <c r="I177" s="122">
        <f t="shared" si="26"/>
        <v>0.27856315744695859</v>
      </c>
      <c r="J177" s="122">
        <f t="shared" si="27"/>
        <v>-1.9493137807164995E-2</v>
      </c>
      <c r="K177" s="122">
        <f t="shared" si="28"/>
        <v>7.9022571248905493E-2</v>
      </c>
      <c r="Y177" s="126">
        <f>IF($Z$1, C177, -0.2)</f>
        <v>-0.2</v>
      </c>
    </row>
    <row r="178" spans="2:25" x14ac:dyDescent="0.3">
      <c r="B178" s="122">
        <v>0.27962060764700436</v>
      </c>
      <c r="C178" s="122">
        <f t="shared" si="20"/>
        <v>2.0143292342612442E-2</v>
      </c>
      <c r="D178" s="126">
        <f t="shared" si="21"/>
        <v>3.9689319182154084E-2</v>
      </c>
      <c r="E178" s="122">
        <f t="shared" si="22"/>
        <v>4.4075878470599128E-2</v>
      </c>
      <c r="F178" s="122">
        <f t="shared" si="23"/>
        <v>4.4047369872268156E-2</v>
      </c>
      <c r="G178" s="122">
        <f t="shared" si="24"/>
        <v>0.27787296277454238</v>
      </c>
      <c r="H178" s="122">
        <f t="shared" si="25"/>
        <v>5.9794115720477645E-2</v>
      </c>
      <c r="I178" s="122">
        <f t="shared" si="26"/>
        <v>0.28136825251946634</v>
      </c>
      <c r="J178" s="122">
        <f t="shared" si="27"/>
        <v>-1.9507531035252757E-2</v>
      </c>
      <c r="K178" s="122">
        <f t="shared" si="28"/>
        <v>7.9301646755730398E-2</v>
      </c>
      <c r="Y178" s="126">
        <f>IF($Z$1, C178, -0.2)</f>
        <v>-0.2</v>
      </c>
    </row>
    <row r="179" spans="2:25" x14ac:dyDescent="0.3">
      <c r="B179" s="122">
        <v>0.2824505817327061</v>
      </c>
      <c r="C179" s="122">
        <f t="shared" si="20"/>
        <v>2.0267225061156205E-2</v>
      </c>
      <c r="D179" s="126">
        <f t="shared" si="21"/>
        <v>3.9826495147198375E-2</v>
      </c>
      <c r="E179" s="122">
        <f t="shared" si="22"/>
        <v>4.3509883653458786E-2</v>
      </c>
      <c r="F179" s="122">
        <f t="shared" si="23"/>
        <v>4.3482458466469635E-2</v>
      </c>
      <c r="G179" s="122">
        <f t="shared" si="24"/>
        <v>0.28071937347152204</v>
      </c>
      <c r="H179" s="122">
        <f t="shared" si="25"/>
        <v>6.0056075681225937E-2</v>
      </c>
      <c r="I179" s="122">
        <f t="shared" si="26"/>
        <v>0.28418178999389015</v>
      </c>
      <c r="J179" s="122">
        <f t="shared" si="27"/>
        <v>-1.9521625558913527E-2</v>
      </c>
      <c r="K179" s="122">
        <f t="shared" si="28"/>
        <v>7.9577701240139465E-2</v>
      </c>
      <c r="Y179" s="126">
        <f>IF($Z$1, C179, -0.2)</f>
        <v>-0.2</v>
      </c>
    </row>
    <row r="180" spans="2:25" x14ac:dyDescent="0.3">
      <c r="B180" s="122">
        <v>0.28528917875407439</v>
      </c>
      <c r="C180" s="122">
        <f t="shared" si="20"/>
        <v>2.0389926323990018E-2</v>
      </c>
      <c r="D180" s="126">
        <f t="shared" si="21"/>
        <v>3.9962149788486299E-2</v>
      </c>
      <c r="E180" s="122">
        <f t="shared" si="22"/>
        <v>4.2942164249185122E-2</v>
      </c>
      <c r="F180" s="122">
        <f t="shared" si="23"/>
        <v>4.2915797876464497E-2</v>
      </c>
      <c r="G180" s="122">
        <f t="shared" si="24"/>
        <v>0.28357469760291265</v>
      </c>
      <c r="H180" s="122">
        <f t="shared" si="25"/>
        <v>6.0315281301744773E-2</v>
      </c>
      <c r="I180" s="122">
        <f t="shared" si="26"/>
        <v>0.28700365990523613</v>
      </c>
      <c r="J180" s="122">
        <f t="shared" si="27"/>
        <v>-1.9535428653764737E-2</v>
      </c>
      <c r="K180" s="122">
        <f t="shared" si="28"/>
        <v>7.9850709955509511E-2</v>
      </c>
      <c r="Y180" s="126">
        <f>IF($Z$1, C180, -0.2)</f>
        <v>-0.2</v>
      </c>
    </row>
    <row r="181" spans="2:25" x14ac:dyDescent="0.3">
      <c r="B181" s="122">
        <v>0.28813628619856047</v>
      </c>
      <c r="C181" s="122">
        <f t="shared" si="20"/>
        <v>2.0511376677426172E-2</v>
      </c>
      <c r="D181" s="126">
        <f t="shared" si="21"/>
        <v>4.0096271079676719E-2</v>
      </c>
      <c r="E181" s="122">
        <f t="shared" si="22"/>
        <v>4.2372742760287907E-2</v>
      </c>
      <c r="F181" s="122">
        <f t="shared" si="23"/>
        <v>4.2347410673327819E-2</v>
      </c>
      <c r="G181" s="122">
        <f t="shared" si="24"/>
        <v>0.28643882039198765</v>
      </c>
      <c r="H181" s="122">
        <f t="shared" si="25"/>
        <v>6.0571700744143808E-2</v>
      </c>
      <c r="I181" s="122">
        <f t="shared" si="26"/>
        <v>0.28983375200513328</v>
      </c>
      <c r="J181" s="122">
        <f t="shared" si="27"/>
        <v>-1.9548947389291461E-2</v>
      </c>
      <c r="K181" s="122">
        <f t="shared" si="28"/>
        <v>8.0120648133435265E-2</v>
      </c>
      <c r="Y181" s="126">
        <f>IF($Z$1, C181, -0.2)</f>
        <v>-0.2</v>
      </c>
    </row>
    <row r="182" spans="2:25" x14ac:dyDescent="0.3">
      <c r="B182" s="122">
        <v>0.29099179121629093</v>
      </c>
      <c r="C182" s="122">
        <f t="shared" si="20"/>
        <v>2.0631556866102546E-2</v>
      </c>
      <c r="D182" s="126">
        <f t="shared" si="21"/>
        <v>4.0228846986120059E-2</v>
      </c>
      <c r="E182" s="122">
        <f t="shared" si="22"/>
        <v>4.1801641756741816E-2</v>
      </c>
      <c r="F182" s="122">
        <f t="shared" si="23"/>
        <v>4.1777319505753814E-2</v>
      </c>
      <c r="G182" s="122">
        <f t="shared" si="24"/>
        <v>0.28931162666624699</v>
      </c>
      <c r="H182" s="122">
        <f t="shared" si="25"/>
        <v>6.0825302361110056E-2</v>
      </c>
      <c r="I182" s="122">
        <f t="shared" si="26"/>
        <v>0.29267195576633487</v>
      </c>
      <c r="J182" s="122">
        <f t="shared" si="27"/>
        <v>-1.9562188628904964E-2</v>
      </c>
      <c r="K182" s="122">
        <f t="shared" si="28"/>
        <v>8.038749099001502E-2</v>
      </c>
      <c r="Y182" s="126">
        <f>IF($Z$1, C182, -0.2)</f>
        <v>-0.2</v>
      </c>
    </row>
    <row r="183" spans="2:25" x14ac:dyDescent="0.3">
      <c r="B183" s="122">
        <v>0.29385558062454042</v>
      </c>
      <c r="C183" s="122">
        <f t="shared" si="20"/>
        <v>2.0750447836035465E-2</v>
      </c>
      <c r="D183" s="126">
        <f t="shared" si="21"/>
        <v>4.035986546790634E-2</v>
      </c>
      <c r="E183" s="122">
        <f t="shared" si="22"/>
        <v>4.1228883875091916E-2</v>
      </c>
      <c r="F183" s="122">
        <f t="shared" si="23"/>
        <v>4.1205547099116897E-2</v>
      </c>
      <c r="G183" s="122">
        <f t="shared" si="24"/>
        <v>0.29219300086186489</v>
      </c>
      <c r="H183" s="122">
        <f t="shared" si="25"/>
        <v>6.107605470214772E-2</v>
      </c>
      <c r="I183" s="122">
        <f t="shared" si="26"/>
        <v>0.29551816038721596</v>
      </c>
      <c r="J183" s="122">
        <f t="shared" si="27"/>
        <v>-1.9575159030076793E-2</v>
      </c>
      <c r="K183" s="122">
        <f t="shared" si="28"/>
        <v>8.0651213732224517E-2</v>
      </c>
      <c r="Y183" s="126">
        <f>IF($Z$1, C183, -0.2)</f>
        <v>-0.2</v>
      </c>
    </row>
    <row r="184" spans="2:25" x14ac:dyDescent="0.3">
      <c r="B184" s="122">
        <v>0.29672754091221787</v>
      </c>
      <c r="C184" s="122">
        <f t="shared" si="20"/>
        <v>2.0868030737640597E-2</v>
      </c>
      <c r="D184" s="126">
        <f t="shared" si="21"/>
        <v>4.0489314482956153E-2</v>
      </c>
      <c r="E184" s="122">
        <f t="shared" si="22"/>
        <v>4.0654491817556426E-2</v>
      </c>
      <c r="F184" s="122">
        <f t="shared" si="23"/>
        <v>4.063211625452632E-2</v>
      </c>
      <c r="G184" s="122">
        <f t="shared" si="24"/>
        <v>0.29508282702816896</v>
      </c>
      <c r="H184" s="122">
        <f t="shared" si="25"/>
        <v>6.1323926519829618E-2</v>
      </c>
      <c r="I184" s="122">
        <f t="shared" si="26"/>
        <v>0.29837225479626678</v>
      </c>
      <c r="J184" s="122">
        <f t="shared" si="27"/>
        <v>-1.9587865044548423E-2</v>
      </c>
      <c r="K184" s="122">
        <f t="shared" si="28"/>
        <v>8.0911791564378041E-2</v>
      </c>
      <c r="Y184" s="126">
        <f>IF($Z$1, C184, -0.2)</f>
        <v>-0.2</v>
      </c>
    </row>
    <row r="185" spans="2:25" x14ac:dyDescent="0.3">
      <c r="B185" s="122">
        <v>0.29960755824436569</v>
      </c>
      <c r="C185" s="122">
        <f t="shared" si="20"/>
        <v>2.0984286928721473E-2</v>
      </c>
      <c r="D185" s="126">
        <f t="shared" si="21"/>
        <v>4.0617181990153406E-2</v>
      </c>
      <c r="E185" s="122">
        <f t="shared" si="22"/>
        <v>4.0078488351126866E-2</v>
      </c>
      <c r="F185" s="122">
        <f t="shared" si="23"/>
        <v>4.0057049847874469E-2</v>
      </c>
      <c r="G185" s="122">
        <f t="shared" si="24"/>
        <v>0.29798098883214902</v>
      </c>
      <c r="H185" s="122">
        <f t="shared" si="25"/>
        <v>6.1568886776058679E-2</v>
      </c>
      <c r="I185" s="122">
        <f t="shared" si="26"/>
        <v>0.30123412765658236</v>
      </c>
      <c r="J185" s="122">
        <f t="shared" si="27"/>
        <v>-1.9600312918615734E-2</v>
      </c>
      <c r="K185" s="122">
        <f t="shared" si="28"/>
        <v>8.1169199694674413E-2</v>
      </c>
      <c r="Y185" s="126">
        <f>IF($Z$1, C185, -0.2)</f>
        <v>-0.2</v>
      </c>
    </row>
    <row r="186" spans="2:25" x14ac:dyDescent="0.3">
      <c r="B186" s="122">
        <v>0.30249551846667189</v>
      </c>
      <c r="C186" s="122">
        <f t="shared" si="20"/>
        <v>2.1099197977425127E-2</v>
      </c>
      <c r="D186" s="126">
        <f t="shared" si="21"/>
        <v>4.0743455952519651E-2</v>
      </c>
      <c r="E186" s="122">
        <f t="shared" si="22"/>
        <v>3.9500896306665624E-2</v>
      </c>
      <c r="F186" s="122">
        <f t="shared" si="23"/>
        <v>3.9480370828878938E-2</v>
      </c>
      <c r="G186" s="122">
        <f t="shared" si="24"/>
        <v>0.30088736956299672</v>
      </c>
      <c r="H186" s="122">
        <f t="shared" si="25"/>
        <v>6.1810904648338806E-2</v>
      </c>
      <c r="I186" s="122">
        <f t="shared" si="26"/>
        <v>0.30410366737034705</v>
      </c>
      <c r="J186" s="122">
        <f t="shared" si="27"/>
        <v>-1.9612508693488552E-2</v>
      </c>
      <c r="K186" s="122">
        <f t="shared" si="28"/>
        <v>8.1423413341827358E-2</v>
      </c>
      <c r="Y186" s="126">
        <f>IF($Z$1, C186, -0.2)</f>
        <v>-0.2</v>
      </c>
    </row>
    <row r="187" spans="2:25" x14ac:dyDescent="0.3">
      <c r="B187" s="122">
        <v>0.30539130710999463</v>
      </c>
      <c r="C187" s="122">
        <f t="shared" si="20"/>
        <v>2.1212745665164359E-2</v>
      </c>
      <c r="D187" s="126">
        <f t="shared" si="21"/>
        <v>4.086812434042876E-2</v>
      </c>
      <c r="E187" s="122">
        <f t="shared" si="22"/>
        <v>3.8921738578001075E-2</v>
      </c>
      <c r="F187" s="122">
        <f t="shared" si="23"/>
        <v>3.8902102220118411E-2</v>
      </c>
      <c r="G187" s="122">
        <f t="shared" si="24"/>
        <v>0.30380185213667538</v>
      </c>
      <c r="H187" s="122">
        <f t="shared" si="25"/>
        <v>6.2049949536053174E-2</v>
      </c>
      <c r="I187" s="122">
        <f t="shared" si="26"/>
        <v>0.30698076208331387</v>
      </c>
      <c r="J187" s="122">
        <f t="shared" si="27"/>
        <v>-1.9624458205724456E-2</v>
      </c>
      <c r="K187" s="122">
        <f t="shared" si="28"/>
        <v>8.167440774177763E-2</v>
      </c>
      <c r="Y187" s="126">
        <f>IF($Z$1, C187, -0.2)</f>
        <v>-0.2</v>
      </c>
    </row>
    <row r="188" spans="2:25" x14ac:dyDescent="0.3">
      <c r="B188" s="122">
        <v>0.30829480939489962</v>
      </c>
      <c r="C188" s="122">
        <f t="shared" si="20"/>
        <v>2.1324911989506215E-2</v>
      </c>
      <c r="D188" s="126">
        <f t="shared" si="21"/>
        <v>4.0991175134861384E-2</v>
      </c>
      <c r="E188" s="122">
        <f t="shared" si="22"/>
        <v>3.8341038121020077E-2</v>
      </c>
      <c r="F188" s="122">
        <f t="shared" si="23"/>
        <v>3.8322267116062354E-2</v>
      </c>
      <c r="G188" s="122">
        <f t="shared" si="24"/>
        <v>0.30672431910052095</v>
      </c>
      <c r="H188" s="122">
        <f t="shared" si="25"/>
        <v>6.228599106674905E-2</v>
      </c>
      <c r="I188" s="122">
        <f t="shared" si="26"/>
        <v>0.30986529968927828</v>
      </c>
      <c r="J188" s="122">
        <f t="shared" si="27"/>
        <v>-1.963616708773662E-2</v>
      </c>
      <c r="K188" s="122">
        <f t="shared" si="28"/>
        <v>8.1922158154485669E-2</v>
      </c>
      <c r="Y188" s="126">
        <f>IF($Z$1, C188, -0.2)</f>
        <v>-0.2</v>
      </c>
    </row>
    <row r="189" spans="2:25" x14ac:dyDescent="0.3">
      <c r="B189" s="122">
        <v>0.31120591023620925</v>
      </c>
      <c r="C189" s="122">
        <f t="shared" si="20"/>
        <v>2.1435679167026173E-2</v>
      </c>
      <c r="D189" s="126">
        <f t="shared" si="21"/>
        <v>4.111259633069838E-2</v>
      </c>
      <c r="E189" s="122">
        <f t="shared" si="22"/>
        <v>3.775881795275815E-2</v>
      </c>
      <c r="F189" s="122">
        <f t="shared" si="23"/>
        <v>3.7740888682094735E-2</v>
      </c>
      <c r="G189" s="122">
        <f t="shared" si="24"/>
        <v>0.30965465263787351</v>
      </c>
      <c r="H189" s="122">
        <f t="shared" si="25"/>
        <v>6.2518999102427683E-2</v>
      </c>
      <c r="I189" s="122">
        <f t="shared" si="26"/>
        <v>0.31275716783454499</v>
      </c>
      <c r="J189" s="122">
        <f t="shared" si="27"/>
        <v>-1.964764076837534E-2</v>
      </c>
      <c r="K189" s="122">
        <f t="shared" si="28"/>
        <v>8.2166639870803027E-2</v>
      </c>
      <c r="Y189" s="126">
        <f>IF($Z$1, C189, -0.2)</f>
        <v>-0.2</v>
      </c>
    </row>
    <row r="190" spans="2:25" x14ac:dyDescent="0.3">
      <c r="B190" s="122">
        <v>0.31412449424756461</v>
      </c>
      <c r="C190" s="122">
        <f t="shared" si="20"/>
        <v>2.1545029636127637E-2</v>
      </c>
      <c r="D190" s="126">
        <f t="shared" si="21"/>
        <v>4.1232375940052315E-2</v>
      </c>
      <c r="E190" s="122">
        <f t="shared" si="22"/>
        <v>3.7175101150487076E-2</v>
      </c>
      <c r="F190" s="122">
        <f t="shared" si="23"/>
        <v>3.7157990153531516E-2</v>
      </c>
      <c r="G190" s="122">
        <f t="shared" si="24"/>
        <v>0.31259273457274017</v>
      </c>
      <c r="H190" s="122">
        <f t="shared" si="25"/>
        <v>6.2748943745837976E-2</v>
      </c>
      <c r="I190" s="122">
        <f t="shared" si="26"/>
        <v>0.31565625392238905</v>
      </c>
      <c r="J190" s="122">
        <f t="shared" si="27"/>
        <v>-1.9658884473582702E-2</v>
      </c>
      <c r="K190" s="122">
        <f t="shared" si="28"/>
        <v>8.2407828219420678E-2</v>
      </c>
      <c r="Y190" s="126">
        <f>IF($Z$1, C190, -0.2)</f>
        <v>-0.2</v>
      </c>
    </row>
    <row r="191" spans="2:25" x14ac:dyDescent="0.3">
      <c r="B191" s="122">
        <v>0.31705044574599883</v>
      </c>
      <c r="C191" s="122">
        <f t="shared" si="20"/>
        <v>2.165294605982623E-2</v>
      </c>
      <c r="D191" s="126">
        <f t="shared" si="21"/>
        <v>4.1350501995636293E-2</v>
      </c>
      <c r="E191" s="122">
        <f t="shared" si="22"/>
        <v>3.6589910850800232E-2</v>
      </c>
      <c r="F191" s="122">
        <f t="shared" si="23"/>
        <v>3.6573594834632378E-2</v>
      </c>
      <c r="G191" s="122">
        <f t="shared" si="24"/>
        <v>0.31553844637448841</v>
      </c>
      <c r="H191" s="122">
        <f t="shared" si="25"/>
        <v>6.2975795346772473E-2</v>
      </c>
      <c r="I191" s="122">
        <f t="shared" si="26"/>
        <v>0.31856244511750925</v>
      </c>
      <c r="J191" s="122">
        <f t="shared" si="27"/>
        <v>-1.9669903227120009E-2</v>
      </c>
      <c r="K191" s="122">
        <f t="shared" si="28"/>
        <v>8.2645698573892479E-2</v>
      </c>
      <c r="Y191" s="126">
        <f>IF($Z$1, C191, -0.2)</f>
        <v>-0.2</v>
      </c>
    </row>
    <row r="192" spans="2:25" x14ac:dyDescent="0.3">
      <c r="B192" s="122">
        <v>0.31998364875652208</v>
      </c>
      <c r="C192" s="122">
        <f t="shared" si="20"/>
        <v>2.1759411328498481E-2</v>
      </c>
      <c r="D192" s="126">
        <f t="shared" si="21"/>
        <v>4.1466962554169123E-2</v>
      </c>
      <c r="E192" s="122">
        <f t="shared" si="22"/>
        <v>3.6003270248695589E-2</v>
      </c>
      <c r="F192" s="122">
        <f t="shared" si="23"/>
        <v>3.5987726097606504E-2</v>
      </c>
      <c r="G192" s="122">
        <f t="shared" si="24"/>
        <v>0.31849166916257082</v>
      </c>
      <c r="H192" s="122">
        <f t="shared" si="25"/>
        <v>6.3199524508364399E-2</v>
      </c>
      <c r="I192" s="122">
        <f t="shared" si="26"/>
        <v>0.32147562835047333</v>
      </c>
      <c r="J192" s="122">
        <f t="shared" si="27"/>
        <v>-1.968070185136744E-2</v>
      </c>
      <c r="K192" s="122">
        <f t="shared" si="28"/>
        <v>8.2880226359731843E-2</v>
      </c>
      <c r="Y192" s="126">
        <f>IF($Z$1, C192, -0.2)</f>
        <v>-0.2</v>
      </c>
    </row>
    <row r="193" spans="2:25" x14ac:dyDescent="0.3">
      <c r="B193" s="122">
        <v>0.32292398701671898</v>
      </c>
      <c r="C193" s="122">
        <f t="shared" ref="C193:C256" si="29">IF($A$1=0, 0, IF(B193&lt;=$A$2, ($A$1/$A$2^2)*(2*$A$2*B193-B193^2), ($A$1/(1-$A$2)^2)*((1-2*$A$2)+2*$A$2*B193-B193^2)))</f>
        <v>2.186440856259449E-2</v>
      </c>
      <c r="D193" s="126">
        <f t="shared" ref="D193:D256" si="30">IF(B193&lt;$N$1, ($A$3/0.2)*($O$1*SQRT(B193)+$P$1*B193+$Q$1*(B193^2)+$R$1*(B193^3)), ($A$3/0.2)*($S$1+$T$1*(1-B193)+$U$1*((1-B193)^2)+$V$1*((1-B193)^3)))</f>
        <v>4.1581745699816125E-2</v>
      </c>
      <c r="E193" s="122">
        <f t="shared" ref="E193:E256" si="31">IF($A$1=0, 0, IF(B193&lt;=$A$2, ($A$1/$A$2^2) *(2*$A$2-2*B193), ($A$1/(1-$A$2)^2)*(2*$A$2-2*B193)))</f>
        <v>3.5415202596656203E-2</v>
      </c>
      <c r="F193" s="122">
        <f t="shared" ref="F193:F256" si="32">IF($A$1=0, 0,  ATAN(E193))</f>
        <v>3.5400407381612362E-2</v>
      </c>
      <c r="G193" s="122">
        <f t="shared" ref="G193:G256" si="33">B193-D193*SIN(F193)</f>
        <v>0.32145228371128148</v>
      </c>
      <c r="H193" s="122">
        <f t="shared" ref="H193:H256" si="34">C193+D193*COS(F193)</f>
        <v>6.3420102093384487E-2</v>
      </c>
      <c r="I193" s="122">
        <f t="shared" ref="I193:I256" si="35">B193+D193*SIN(F193)</f>
        <v>0.32439569032215648</v>
      </c>
      <c r="J193" s="122">
        <f t="shared" ref="J193:J256" si="36">C193-D193*COS(F193)</f>
        <v>-1.9691284968195503E-2</v>
      </c>
      <c r="K193" s="122">
        <f t="shared" ref="K193:K256" si="37">2*D193*COS(F193)</f>
        <v>8.3111387061579986E-2</v>
      </c>
      <c r="Y193" s="126">
        <f>IF($Z$1, C193, -0.2)</f>
        <v>-0.2</v>
      </c>
    </row>
    <row r="194" spans="2:25" x14ac:dyDescent="0.3">
      <c r="B194" s="122">
        <v>0.32587134398135642</v>
      </c>
      <c r="C194" s="122">
        <f t="shared" si="29"/>
        <v>2.1967921115314093E-2</v>
      </c>
      <c r="D194" s="126">
        <f t="shared" si="30"/>
        <v>4.1694839547664453E-2</v>
      </c>
      <c r="E194" s="122">
        <f t="shared" si="31"/>
        <v>3.482573120372872E-2</v>
      </c>
      <c r="F194" s="122">
        <f t="shared" si="32"/>
        <v>3.4811662191751969E-2</v>
      </c>
      <c r="G194" s="122">
        <f t="shared" si="33"/>
        <v>0.32442017045454291</v>
      </c>
      <c r="H194" s="122">
        <f t="shared" si="34"/>
        <v>6.3637499230535743E-2</v>
      </c>
      <c r="I194" s="122">
        <f t="shared" si="35"/>
        <v>0.32732251750816993</v>
      </c>
      <c r="J194" s="122">
        <f t="shared" si="36"/>
        <v>-1.9701656999907557E-2</v>
      </c>
      <c r="K194" s="122">
        <f t="shared" si="37"/>
        <v>8.3339156230443301E-2</v>
      </c>
      <c r="Y194" s="126">
        <f>IF($Z$1, C194, -0.2)</f>
        <v>-0.2</v>
      </c>
    </row>
    <row r="195" spans="2:25" x14ac:dyDescent="0.3">
      <c r="B195" s="122">
        <v>0.32882560282700324</v>
      </c>
      <c r="C195" s="122">
        <f t="shared" si="29"/>
        <v>2.2069932575246115E-2</v>
      </c>
      <c r="D195" s="126">
        <f t="shared" si="30"/>
        <v>4.180623224723222E-2</v>
      </c>
      <c r="E195" s="122">
        <f t="shared" si="31"/>
        <v>3.4234879434599352E-2</v>
      </c>
      <c r="F195" s="122">
        <f t="shared" si="32"/>
        <v>3.4221514098059222E-2</v>
      </c>
      <c r="G195" s="122">
        <f t="shared" si="33"/>
        <v>0.32739520949072509</v>
      </c>
      <c r="H195" s="122">
        <f t="shared" si="34"/>
        <v>6.3851687320745379E-2</v>
      </c>
      <c r="I195" s="122">
        <f t="shared" si="35"/>
        <v>0.33025599616328138</v>
      </c>
      <c r="J195" s="122">
        <f t="shared" si="36"/>
        <v>-1.9711822170253149E-2</v>
      </c>
      <c r="K195" s="122">
        <f t="shared" si="37"/>
        <v>8.3563509490998528E-2</v>
      </c>
      <c r="Y195" s="126">
        <f>IF($Z$1, C195, -0.2)</f>
        <v>-0.2</v>
      </c>
    </row>
    <row r="196" spans="2:25" x14ac:dyDescent="0.3">
      <c r="B196" s="122">
        <v>0.33178664645666067</v>
      </c>
      <c r="C196" s="122">
        <f t="shared" si="29"/>
        <v>2.2170426768970353E-2</v>
      </c>
      <c r="D196" s="126">
        <f t="shared" si="30"/>
        <v>4.1915911986010329E-2</v>
      </c>
      <c r="E196" s="122">
        <f t="shared" si="31"/>
        <v>3.3642670708667867E-2</v>
      </c>
      <c r="F196" s="122">
        <f t="shared" si="32"/>
        <v>3.3629986734482753E-2</v>
      </c>
      <c r="G196" s="122">
        <f t="shared" si="33"/>
        <v>0.33037728058749533</v>
      </c>
      <c r="H196" s="122">
        <f t="shared" si="34"/>
        <v>6.4062638043451858E-2</v>
      </c>
      <c r="I196" s="122">
        <f t="shared" si="35"/>
        <v>0.33319601232582602</v>
      </c>
      <c r="J196" s="122">
        <f t="shared" si="36"/>
        <v>-1.972178450551116E-2</v>
      </c>
      <c r="K196" s="122">
        <f t="shared" si="37"/>
        <v>8.3784422548963025E-2</v>
      </c>
      <c r="Y196" s="126">
        <f>IF($Z$1, C196, -0.2)</f>
        <v>-0.2</v>
      </c>
    </row>
    <row r="197" spans="2:25" x14ac:dyDescent="0.3">
      <c r="B197" s="122">
        <v>0.33475435750440363</v>
      </c>
      <c r="C197" s="122">
        <f t="shared" si="29"/>
        <v>2.2269387763621758E-2</v>
      </c>
      <c r="D197" s="126">
        <f t="shared" si="30"/>
        <v>4.2023866993036257E-2</v>
      </c>
      <c r="E197" s="122">
        <f t="shared" si="31"/>
        <v>3.3049128499119278E-2</v>
      </c>
      <c r="F197" s="122">
        <f t="shared" si="32"/>
        <v>3.3037103797863093E-2</v>
      </c>
      <c r="G197" s="122">
        <f t="shared" si="33"/>
        <v>0.33336626318670032</v>
      </c>
      <c r="H197" s="122">
        <f t="shared" si="34"/>
        <v>6.4270323362886239E-2</v>
      </c>
      <c r="I197" s="122">
        <f t="shared" si="35"/>
        <v>0.33614245182210695</v>
      </c>
      <c r="J197" s="122">
        <f t="shared" si="36"/>
        <v>-1.9731547835642717E-2</v>
      </c>
      <c r="K197" s="122">
        <f t="shared" si="37"/>
        <v>8.4001871198528949E-2</v>
      </c>
      <c r="Y197" s="126">
        <f>IF($Z$1, C197, -0.2)</f>
        <v>-0.2</v>
      </c>
    </row>
    <row r="198" spans="2:25" x14ac:dyDescent="0.3">
      <c r="B198" s="122">
        <v>0.33772861834003265</v>
      </c>
      <c r="C198" s="122">
        <f t="shared" si="29"/>
        <v>2.2366799869416521E-2</v>
      </c>
      <c r="D198" s="126">
        <f t="shared" si="30"/>
        <v>4.2130085542498481E-2</v>
      </c>
      <c r="E198" s="122">
        <f t="shared" si="31"/>
        <v>3.2454276331993472E-2</v>
      </c>
      <c r="F198" s="122">
        <f t="shared" si="32"/>
        <v>3.2442889046904427E-2</v>
      </c>
      <c r="G198" s="122">
        <f t="shared" si="33"/>
        <v>0.33636203640927875</v>
      </c>
      <c r="H198" s="122">
        <f t="shared" si="34"/>
        <v>6.4474715534345556E-2</v>
      </c>
      <c r="I198" s="122">
        <f t="shared" si="35"/>
        <v>0.33909520027078655</v>
      </c>
      <c r="J198" s="122">
        <f t="shared" si="36"/>
        <v>-1.9741115795512517E-2</v>
      </c>
      <c r="K198" s="122">
        <f t="shared" si="37"/>
        <v>8.4215831329858076E-2</v>
      </c>
      <c r="Y198" s="126">
        <f>IF($Z$1, C198, -0.2)</f>
        <v>-0.2</v>
      </c>
    </row>
    <row r="199" spans="2:25" x14ac:dyDescent="0.3">
      <c r="B199" s="122">
        <v>0.34070931107373681</v>
      </c>
      <c r="C199" s="122">
        <f t="shared" si="29"/>
        <v>2.2462647642139646E-2</v>
      </c>
      <c r="D199" s="126">
        <f t="shared" si="30"/>
        <v>4.2234555957371016E-2</v>
      </c>
      <c r="E199" s="122">
        <f t="shared" si="31"/>
        <v>3.1858137785252642E-2</v>
      </c>
      <c r="F199" s="122">
        <f t="shared" si="32"/>
        <v>3.1847366301140802E-2</v>
      </c>
      <c r="G199" s="122">
        <f t="shared" si="33"/>
        <v>0.33936447906020706</v>
      </c>
      <c r="H199" s="122">
        <f t="shared" si="34"/>
        <v>6.4675787110457905E-2</v>
      </c>
      <c r="I199" s="122">
        <f t="shared" si="35"/>
        <v>0.34205414308726656</v>
      </c>
      <c r="J199" s="122">
        <f t="shared" si="36"/>
        <v>-1.9750491826178617E-2</v>
      </c>
      <c r="K199" s="122">
        <f t="shared" si="37"/>
        <v>8.4426278936636526E-2</v>
      </c>
      <c r="Y199" s="126">
        <f>IF($Z$1, C199, -0.2)</f>
        <v>-0.2</v>
      </c>
    </row>
    <row r="200" spans="2:25" x14ac:dyDescent="0.3">
      <c r="B200" s="122">
        <v>0.34369631756076557</v>
      </c>
      <c r="C200" s="122">
        <f t="shared" si="29"/>
        <v>2.2556915885593498E-2</v>
      </c>
      <c r="D200" s="126">
        <f t="shared" si="30"/>
        <v>4.2337266613076616E-2</v>
      </c>
      <c r="E200" s="122">
        <f t="shared" si="31"/>
        <v>3.1260736487846885E-2</v>
      </c>
      <c r="F200" s="122">
        <f t="shared" si="32"/>
        <v>3.1250559439897234E-2</v>
      </c>
      <c r="G200" s="122">
        <f t="shared" si="33"/>
        <v>0.34237346963347437</v>
      </c>
      <c r="H200" s="122">
        <f t="shared" si="34"/>
        <v>6.4873510947436472E-2</v>
      </c>
      <c r="I200" s="122">
        <f t="shared" si="35"/>
        <v>0.34501916548805678</v>
      </c>
      <c r="J200" s="122">
        <f t="shared" si="36"/>
        <v>-1.9759679176249476E-2</v>
      </c>
      <c r="K200" s="122">
        <f t="shared" si="37"/>
        <v>8.4633190123685947E-2</v>
      </c>
      <c r="Y200" s="126">
        <f>IF($Z$1, C200, -0.2)</f>
        <v>-0.2</v>
      </c>
    </row>
    <row r="201" spans="2:25" x14ac:dyDescent="0.3">
      <c r="B201" s="122">
        <v>0.34668951940611281</v>
      </c>
      <c r="C201" s="122">
        <f t="shared" si="29"/>
        <v>2.2649589654007138E-2</v>
      </c>
      <c r="D201" s="126">
        <f t="shared" si="30"/>
        <v>4.2438205941177982E-2</v>
      </c>
      <c r="E201" s="122">
        <f t="shared" si="31"/>
        <v>3.0662096118777439E-2</v>
      </c>
      <c r="F201" s="122">
        <f t="shared" si="32"/>
        <v>3.0652492401245134E-2</v>
      </c>
      <c r="G201" s="122">
        <f t="shared" si="33"/>
        <v>0.34538888631709214</v>
      </c>
      <c r="H201" s="122">
        <f t="shared" si="34"/>
        <v>6.5067860211322159E-2</v>
      </c>
      <c r="I201" s="122">
        <f t="shared" si="35"/>
        <v>0.34799015249513349</v>
      </c>
      <c r="J201" s="122">
        <f t="shared" si="36"/>
        <v>-1.9768680903307884E-2</v>
      </c>
      <c r="K201" s="122">
        <f t="shared" si="37"/>
        <v>8.4836541114630043E-2</v>
      </c>
      <c r="Y201" s="126">
        <f>IF($Z$1, C201, -0.2)</f>
        <v>-0.2</v>
      </c>
    </row>
    <row r="202" spans="2:25" x14ac:dyDescent="0.3">
      <c r="B202" s="122">
        <v>0.34968879796920838</v>
      </c>
      <c r="C202" s="122">
        <f t="shared" si="29"/>
        <v>2.2740654254405857E-2</v>
      </c>
      <c r="D202" s="126">
        <f t="shared" si="30"/>
        <v>4.2537362433095562E-2</v>
      </c>
      <c r="E202" s="122">
        <f t="shared" si="31"/>
        <v>3.0062240406158326E-2</v>
      </c>
      <c r="F202" s="122">
        <f t="shared" si="32"/>
        <v>3.0053189180953004E-2</v>
      </c>
      <c r="G202" s="122">
        <f t="shared" si="33"/>
        <v>0.34841060699813203</v>
      </c>
      <c r="H202" s="122">
        <f t="shared" si="34"/>
        <v>6.5258808384212441E-2</v>
      </c>
      <c r="I202" s="122">
        <f t="shared" si="35"/>
        <v>0.35096698894028472</v>
      </c>
      <c r="J202" s="122">
        <f t="shared" si="36"/>
        <v>-1.9777499875400721E-2</v>
      </c>
      <c r="K202" s="122">
        <f t="shared" si="37"/>
        <v>8.5036308259613155E-2</v>
      </c>
      <c r="Y202" s="126">
        <f>IF($Z$1, C202, -0.2)</f>
        <v>-0.2</v>
      </c>
    </row>
    <row r="203" spans="2:25" x14ac:dyDescent="0.3">
      <c r="B203" s="122">
        <v>0.35269403436862179</v>
      </c>
      <c r="C203" s="122">
        <f t="shared" si="29"/>
        <v>2.2830095248940724E-2</v>
      </c>
      <c r="D203" s="126">
        <f t="shared" si="30"/>
        <v>4.2634724643851325E-2</v>
      </c>
      <c r="E203" s="122">
        <f t="shared" si="31"/>
        <v>2.9461193126275643E-2</v>
      </c>
      <c r="F203" s="122">
        <f t="shared" si="32"/>
        <v>2.9452673831431537E-2</v>
      </c>
      <c r="G203" s="122">
        <f t="shared" si="33"/>
        <v>0.35143850926779879</v>
      </c>
      <c r="H203" s="122">
        <f t="shared" si="34"/>
        <v>6.5446329270475612E-2</v>
      </c>
      <c r="I203" s="122">
        <f t="shared" si="35"/>
        <v>0.35394955946944479</v>
      </c>
      <c r="J203" s="122">
        <f t="shared" si="36"/>
        <v>-1.9786138772594157E-2</v>
      </c>
      <c r="K203" s="122">
        <f t="shared" si="37"/>
        <v>8.5232468043069762E-2</v>
      </c>
      <c r="Y203" s="126">
        <f>IF($Z$1, C203, -0.2)</f>
        <v>-0.2</v>
      </c>
    </row>
    <row r="204" spans="2:25" x14ac:dyDescent="0.3">
      <c r="B204" s="122">
        <v>0.35570510948677336</v>
      </c>
      <c r="C204" s="122">
        <f t="shared" si="29"/>
        <v>2.2917898457177593E-2</v>
      </c>
      <c r="D204" s="126">
        <f t="shared" si="30"/>
        <v>4.273028119583705E-2</v>
      </c>
      <c r="E204" s="122">
        <f t="shared" si="31"/>
        <v>2.885897810264533E-2</v>
      </c>
      <c r="F204" s="122">
        <f t="shared" si="32"/>
        <v>2.8850970460674075E-2</v>
      </c>
      <c r="G204" s="122">
        <f t="shared" si="33"/>
        <v>0.35447247042653168</v>
      </c>
      <c r="H204" s="122">
        <f t="shared" si="34"/>
        <v>6.5630397002948385E-2</v>
      </c>
      <c r="I204" s="122">
        <f t="shared" si="35"/>
        <v>0.35693774854701504</v>
      </c>
      <c r="J204" s="122">
        <f t="shared" si="36"/>
        <v>-1.9794600088593198E-2</v>
      </c>
      <c r="K204" s="122">
        <f t="shared" si="37"/>
        <v>8.5424997091541582E-2</v>
      </c>
      <c r="Y204" s="126">
        <f>IF($Z$1, C204, -0.2)</f>
        <v>-0.2</v>
      </c>
    </row>
    <row r="205" spans="2:25" x14ac:dyDescent="0.3">
      <c r="B205" s="122">
        <v>0.35872190397465631</v>
      </c>
      <c r="C205" s="122">
        <f t="shared" si="29"/>
        <v>2.3004049958345377E-2</v>
      </c>
      <c r="D205" s="126">
        <f t="shared" si="30"/>
        <v>4.2824020782606338E-2</v>
      </c>
      <c r="E205" s="122">
        <f t="shared" si="31"/>
        <v>2.8255619205068739E-2</v>
      </c>
      <c r="F205" s="122">
        <f t="shared" si="32"/>
        <v>2.8248103231191795E-2</v>
      </c>
      <c r="G205" s="122">
        <f t="shared" si="33"/>
        <v>0.35751236748913978</v>
      </c>
      <c r="H205" s="122">
        <f t="shared" si="34"/>
        <v>6.5810986049115811E-2</v>
      </c>
      <c r="I205" s="122">
        <f t="shared" si="35"/>
        <v>0.35993144046017284</v>
      </c>
      <c r="J205" s="122">
        <f t="shared" si="36"/>
        <v>-1.9802886132425052E-2</v>
      </c>
      <c r="K205" s="122">
        <f t="shared" si="37"/>
        <v>8.5613872181540859E-2</v>
      </c>
      <c r="Y205" s="126">
        <f>IF($Z$1, C205, -0.2)</f>
        <v>-0.2</v>
      </c>
    </row>
    <row r="206" spans="2:25" x14ac:dyDescent="0.3">
      <c r="B206" s="122">
        <v>0.36174429825656684</v>
      </c>
      <c r="C206" s="122">
        <f t="shared" si="29"/>
        <v>2.3088536093543086E-2</v>
      </c>
      <c r="D206" s="126">
        <f t="shared" si="30"/>
        <v>4.2915932172688888E-2</v>
      </c>
      <c r="E206" s="122">
        <f t="shared" si="31"/>
        <v>2.7651140348686633E-2</v>
      </c>
      <c r="F206" s="122">
        <f t="shared" si="32"/>
        <v>2.7644096358944239E-2</v>
      </c>
      <c r="G206" s="122">
        <f t="shared" si="33"/>
        <v>0.36055807718996724</v>
      </c>
      <c r="H206" s="122">
        <f t="shared" si="34"/>
        <v>6.598807121727128E-2</v>
      </c>
      <c r="I206" s="122">
        <f t="shared" si="35"/>
        <v>0.36293051932316645</v>
      </c>
      <c r="J206" s="122">
        <f t="shared" si="36"/>
        <v>-1.9810999030185104E-2</v>
      </c>
      <c r="K206" s="122">
        <f t="shared" si="37"/>
        <v>8.579907024745638E-2</v>
      </c>
      <c r="Y206" s="126">
        <f>IF($Z$1, C206, -0.2)</f>
        <v>-0.2</v>
      </c>
    </row>
    <row r="207" spans="2:25" x14ac:dyDescent="0.3">
      <c r="B207" s="122">
        <v>0.3647721725348439</v>
      </c>
      <c r="C207" s="122">
        <f t="shared" si="29"/>
        <v>2.3171343467905399E-2</v>
      </c>
      <c r="D207" s="126">
        <f t="shared" si="30"/>
        <v>4.3006004213426492E-2</v>
      </c>
      <c r="E207" s="122">
        <f t="shared" si="31"/>
        <v>2.7045565493031221E-2</v>
      </c>
      <c r="F207" s="122">
        <f t="shared" si="32"/>
        <v>2.7038974112264906E-2</v>
      </c>
      <c r="G207" s="122">
        <f t="shared" si="33"/>
        <v>0.36360947598809074</v>
      </c>
      <c r="H207" s="122">
        <f t="shared" si="34"/>
        <v>6.6161627662656028E-2</v>
      </c>
      <c r="I207" s="122">
        <f t="shared" si="35"/>
        <v>0.36593486908159706</v>
      </c>
      <c r="J207" s="122">
        <f t="shared" si="36"/>
        <v>-1.981894072684523E-2</v>
      </c>
      <c r="K207" s="122">
        <f t="shared" si="37"/>
        <v>8.5980568389501258E-2</v>
      </c>
      <c r="Y207" s="126">
        <f>IF($Z$1, C207, -0.2)</f>
        <v>-0.2</v>
      </c>
    </row>
    <row r="208" spans="2:25" x14ac:dyDescent="0.3">
      <c r="B208" s="122">
        <v>0.36780540679461771</v>
      </c>
      <c r="C208" s="122">
        <f t="shared" si="29"/>
        <v>2.3252458952726349E-2</v>
      </c>
      <c r="D208" s="126">
        <f t="shared" si="30"/>
        <v>4.3094225834828949E-2</v>
      </c>
      <c r="E208" s="122">
        <f t="shared" si="31"/>
        <v>2.6438918641076462E-2</v>
      </c>
      <c r="F208" s="122">
        <f t="shared" si="32"/>
        <v>2.6432760810782129E-2</v>
      </c>
      <c r="G208" s="122">
        <f t="shared" si="33"/>
        <v>0.36666644007254867</v>
      </c>
      <c r="H208" s="122">
        <f t="shared" si="34"/>
        <v>6.633163089357566E-2</v>
      </c>
      <c r="I208" s="122">
        <f t="shared" si="35"/>
        <v>0.36894437351668674</v>
      </c>
      <c r="J208" s="122">
        <f t="shared" si="36"/>
        <v>-1.9826712988122958E-2</v>
      </c>
      <c r="K208" s="122">
        <f t="shared" si="37"/>
        <v>8.6158343881698615E-2</v>
      </c>
      <c r="Y208" s="126">
        <f>IF($Z$1, C208, -0.2)</f>
        <v>-0.2</v>
      </c>
    </row>
    <row r="209" spans="2:25" x14ac:dyDescent="0.3">
      <c r="B209" s="122">
        <v>0.37084388080856684</v>
      </c>
      <c r="C209" s="122">
        <f t="shared" si="29"/>
        <v>2.3331869687540835E-2</v>
      </c>
      <c r="D209" s="126">
        <f t="shared" si="30"/>
        <v>4.3180586053449259E-2</v>
      </c>
      <c r="E209" s="122">
        <f t="shared" si="31"/>
        <v>2.5831223838286635E-2</v>
      </c>
      <c r="F209" s="122">
        <f t="shared" si="32"/>
        <v>2.582548082433531E-2</v>
      </c>
      <c r="G209" s="122">
        <f t="shared" si="33"/>
        <v>0.36972884536760092</v>
      </c>
      <c r="H209" s="122">
        <f t="shared" si="34"/>
        <v>6.6498056777492695E-2</v>
      </c>
      <c r="I209" s="122">
        <f t="shared" si="35"/>
        <v>0.37195891624953276</v>
      </c>
      <c r="J209" s="122">
        <f t="shared" si="36"/>
        <v>-1.9834317402411025E-2</v>
      </c>
      <c r="K209" s="122">
        <f t="shared" si="37"/>
        <v>8.633237417990372E-2</v>
      </c>
      <c r="Y209" s="126">
        <f>IF($Z$1, C209, -0.2)</f>
        <v>-0.2</v>
      </c>
    </row>
    <row r="210" spans="2:25" x14ac:dyDescent="0.3">
      <c r="B210" s="122">
        <v>0.37388747414168289</v>
      </c>
      <c r="C210" s="122">
        <f t="shared" si="29"/>
        <v>2.3409563082163531E-2</v>
      </c>
      <c r="D210" s="126">
        <f t="shared" si="30"/>
        <v>4.326507397627672E-2</v>
      </c>
      <c r="E210" s="122">
        <f t="shared" si="31"/>
        <v>2.5222505171663426E-2</v>
      </c>
      <c r="F210" s="122">
        <f t="shared" si="32"/>
        <v>2.5217158571886836E-2</v>
      </c>
      <c r="G210" s="122">
        <f t="shared" si="33"/>
        <v>0.37279656753801993</v>
      </c>
      <c r="H210" s="122">
        <f t="shared" si="34"/>
        <v>6.6660881547093376E-2</v>
      </c>
      <c r="I210" s="122">
        <f t="shared" si="35"/>
        <v>0.37497838074534584</v>
      </c>
      <c r="J210" s="122">
        <f t="shared" si="36"/>
        <v>-1.9841755382766318E-2</v>
      </c>
      <c r="K210" s="122">
        <f t="shared" si="37"/>
        <v>8.6502636929859697E-2</v>
      </c>
      <c r="Y210" s="126">
        <f>IF($Z$1, C210, -0.2)</f>
        <v>-0.2</v>
      </c>
    </row>
    <row r="211" spans="2:25" x14ac:dyDescent="0.3">
      <c r="B211" s="122">
        <v>0.37693606615604525</v>
      </c>
      <c r="C211" s="122">
        <f t="shared" si="29"/>
        <v>2.3485526818685074E-2</v>
      </c>
      <c r="D211" s="126">
        <f t="shared" si="30"/>
        <v>4.3347678804646836E-2</v>
      </c>
      <c r="E211" s="122">
        <f t="shared" si="31"/>
        <v>2.4612786768790952E-2</v>
      </c>
      <c r="F211" s="122">
        <f t="shared" si="32"/>
        <v>2.4607818520429071E-2</v>
      </c>
      <c r="G211" s="122">
        <f t="shared" si="33"/>
        <v>0.37586948199441395</v>
      </c>
      <c r="H211" s="122">
        <f t="shared" si="34"/>
        <v>6.6820081806327286E-2</v>
      </c>
      <c r="I211" s="122">
        <f t="shared" si="35"/>
        <v>0.37800265031767655</v>
      </c>
      <c r="J211" s="122">
        <f t="shared" si="36"/>
        <v>-1.9849028168957134E-2</v>
      </c>
      <c r="K211" s="122">
        <f t="shared" si="37"/>
        <v>8.6669109975284417E-2</v>
      </c>
      <c r="Y211" s="126">
        <f>IF($Z$1, C211, -0.2)</f>
        <v>-0.2</v>
      </c>
    </row>
    <row r="212" spans="2:25" x14ac:dyDescent="0.3">
      <c r="B212" s="122">
        <v>0.37998953601560176</v>
      </c>
      <c r="C212" s="122">
        <f t="shared" si="29"/>
        <v>2.3559748853424947E-2</v>
      </c>
      <c r="D212" s="126">
        <f t="shared" si="30"/>
        <v>4.3428389838166721E-2</v>
      </c>
      <c r="E212" s="122">
        <f t="shared" si="31"/>
        <v>2.4002092796879648E-2</v>
      </c>
      <c r="F212" s="122">
        <f t="shared" si="32"/>
        <v>2.399748518388747E-2</v>
      </c>
      <c r="G212" s="122">
        <f t="shared" si="33"/>
        <v>0.37894746389857986</v>
      </c>
      <c r="H212" s="122">
        <f t="shared" si="34"/>
        <v>6.6975634536417861E-2</v>
      </c>
      <c r="I212" s="122">
        <f t="shared" si="35"/>
        <v>0.38103160813262366</v>
      </c>
      <c r="J212" s="122">
        <f t="shared" si="36"/>
        <v>-1.9856136829567959E-2</v>
      </c>
      <c r="K212" s="122">
        <f t="shared" si="37"/>
        <v>8.6831771365985813E-2</v>
      </c>
      <c r="Y212" s="126">
        <f>IF($Z$1, C212, -0.2)</f>
        <v>-0.2</v>
      </c>
    </row>
    <row r="213" spans="2:25" x14ac:dyDescent="0.3">
      <c r="B213" s="122">
        <v>0.38304776269095892</v>
      </c>
      <c r="C213" s="122">
        <f t="shared" si="29"/>
        <v>2.3632217418840973E-2</v>
      </c>
      <c r="D213" s="126">
        <f t="shared" si="30"/>
        <v>4.3507196478654996E-2</v>
      </c>
      <c r="E213" s="122">
        <f t="shared" si="31"/>
        <v>2.3390447461808218E-2</v>
      </c>
      <c r="F213" s="122">
        <f t="shared" si="32"/>
        <v>2.338618312201907E-2</v>
      </c>
      <c r="G213" s="122">
        <f t="shared" si="33"/>
        <v>0.38203038816888807</v>
      </c>
      <c r="H213" s="122">
        <f t="shared" si="34"/>
        <v>6.7127517101842699E-2</v>
      </c>
      <c r="I213" s="122">
        <f t="shared" si="35"/>
        <v>0.38406513721302976</v>
      </c>
      <c r="J213" s="122">
        <f t="shared" si="36"/>
        <v>-1.986308226416076E-2</v>
      </c>
      <c r="K213" s="122">
        <f t="shared" si="37"/>
        <v>8.6990599366003465E-2</v>
      </c>
      <c r="Y213" s="126">
        <f>IF($Z$1, C213, -0.2)</f>
        <v>-0.2</v>
      </c>
    </row>
    <row r="214" spans="2:25" x14ac:dyDescent="0.3">
      <c r="B214" s="122">
        <v>0.38611062496417881</v>
      </c>
      <c r="C214" s="122">
        <f t="shared" si="29"/>
        <v>2.3702921025395007E-2</v>
      </c>
      <c r="D214" s="126">
        <f t="shared" si="30"/>
        <v>4.3584088234094855E-2</v>
      </c>
      <c r="E214" s="122">
        <f t="shared" si="31"/>
        <v>2.2777875007164241E-2</v>
      </c>
      <c r="F214" s="122">
        <f t="shared" si="32"/>
        <v>2.2773936939306912E-2</v>
      </c>
      <c r="G214" s="122">
        <f t="shared" si="33"/>
        <v>0.38511812948569779</v>
      </c>
      <c r="H214" s="122">
        <f t="shared" si="34"/>
        <v>6.7275707256281833E-2</v>
      </c>
      <c r="I214" s="122">
        <f t="shared" si="35"/>
        <v>0.38710312044265982</v>
      </c>
      <c r="J214" s="122">
        <f t="shared" si="36"/>
        <v>-1.9869865205491818E-2</v>
      </c>
      <c r="K214" s="122">
        <f t="shared" si="37"/>
        <v>8.7145572461773652E-2</v>
      </c>
      <c r="Y214" s="126">
        <f>IF($Z$1, C214, -0.2)</f>
        <v>-0.2</v>
      </c>
    </row>
    <row r="215" spans="2:25" x14ac:dyDescent="0.3">
      <c r="B215" s="122">
        <v>0.38917800143358394</v>
      </c>
      <c r="C215" s="122">
        <f t="shared" si="29"/>
        <v>2.3771848463374531E-2</v>
      </c>
      <c r="D215" s="126">
        <f t="shared" si="30"/>
        <v>4.3659054722599011E-2</v>
      </c>
      <c r="E215" s="122">
        <f t="shared" si="31"/>
        <v>2.2164399713283212E-2</v>
      </c>
      <c r="F215" s="122">
        <f t="shared" si="32"/>
        <v>2.2160771283850366E-2</v>
      </c>
      <c r="G215" s="122">
        <f t="shared" si="33"/>
        <v>0.38821056229680295</v>
      </c>
      <c r="H215" s="122">
        <f t="shared" si="34"/>
        <v>6.7420183148531987E-2</v>
      </c>
      <c r="I215" s="122">
        <f t="shared" si="35"/>
        <v>0.39014544057036493</v>
      </c>
      <c r="J215" s="122">
        <f t="shared" si="36"/>
        <v>-1.9876486221782924E-2</v>
      </c>
      <c r="K215" s="122">
        <f t="shared" si="37"/>
        <v>8.7296669370314911E-2</v>
      </c>
      <c r="Y215" s="126">
        <f>IF($Z$1, C215, -0.2)</f>
        <v>-0.2</v>
      </c>
    </row>
    <row r="216" spans="2:25" x14ac:dyDescent="0.3">
      <c r="B216" s="122">
        <v>0.39224977051856891</v>
      </c>
      <c r="C216" s="122">
        <f t="shared" si="29"/>
        <v>2.3838988804669895E-2</v>
      </c>
      <c r="D216" s="126">
        <f t="shared" si="30"/>
        <v>4.3732085676385528E-2</v>
      </c>
      <c r="E216" s="122">
        <f t="shared" si="31"/>
        <v>2.1550045896286219E-2</v>
      </c>
      <c r="F216" s="122">
        <f t="shared" si="32"/>
        <v>2.1546710846251482E-2</v>
      </c>
      <c r="G216" s="122">
        <f t="shared" si="33"/>
        <v>0.39130756082290841</v>
      </c>
      <c r="H216" s="122">
        <f t="shared" si="34"/>
        <v>6.7560923328386105E-2</v>
      </c>
      <c r="I216" s="122">
        <f t="shared" si="35"/>
        <v>0.39319198021422941</v>
      </c>
      <c r="J216" s="122">
        <f t="shared" si="36"/>
        <v>-1.9882945719046318E-2</v>
      </c>
      <c r="K216" s="122">
        <f t="shared" si="37"/>
        <v>8.7443869047432427E-2</v>
      </c>
      <c r="Y216" s="126">
        <f>IF($Z$1, C216, -0.2)</f>
        <v>-0.2</v>
      </c>
    </row>
    <row r="217" spans="2:25" x14ac:dyDescent="0.3">
      <c r="B217" s="122">
        <v>0.39532581046441984</v>
      </c>
      <c r="C217" s="122">
        <f t="shared" si="29"/>
        <v>2.3904331404506943E-2</v>
      </c>
      <c r="D217" s="126">
        <f t="shared" si="30"/>
        <v>4.380317094576304E-2</v>
      </c>
      <c r="E217" s="122">
        <f t="shared" si="31"/>
        <v>2.0934837907116033E-2</v>
      </c>
      <c r="F217" s="122">
        <f t="shared" si="32"/>
        <v>2.0931780358497295E-2</v>
      </c>
      <c r="G217" s="122">
        <f t="shared" si="33"/>
        <v>0.39440899906313703</v>
      </c>
      <c r="H217" s="122">
        <f t="shared" si="34"/>
        <v>6.7697906752475695E-2</v>
      </c>
      <c r="I217" s="122">
        <f t="shared" si="35"/>
        <v>0.39624262186570264</v>
      </c>
      <c r="J217" s="122">
        <f t="shared" si="36"/>
        <v>-1.9889243943461817E-2</v>
      </c>
      <c r="K217" s="122">
        <f t="shared" si="37"/>
        <v>8.7587150695937518E-2</v>
      </c>
      <c r="Y217" s="126">
        <f>IF($Z$1, C217, -0.2)</f>
        <v>-0.2</v>
      </c>
    </row>
    <row r="218" spans="2:25" x14ac:dyDescent="0.3">
      <c r="B218" s="122">
        <v>0.39840599934713983</v>
      </c>
      <c r="C218" s="122">
        <f t="shared" si="29"/>
        <v>2.3967865903134666E-2</v>
      </c>
      <c r="D218" s="126">
        <f t="shared" si="30"/>
        <v>4.3872300503124177E-2</v>
      </c>
      <c r="E218" s="122">
        <f t="shared" si="31"/>
        <v>2.0318800130572037E-2</v>
      </c>
      <c r="F218" s="122">
        <f t="shared" si="32"/>
        <v>2.0316004592838506E-2</v>
      </c>
      <c r="G218" s="122">
        <f t="shared" si="33"/>
        <v>0.39751475080056614</v>
      </c>
      <c r="H218" s="122">
        <f t="shared" si="34"/>
        <v>6.7831112790074768E-2</v>
      </c>
      <c r="I218" s="122">
        <f t="shared" si="35"/>
        <v>0.39929724789371351</v>
      </c>
      <c r="J218" s="122">
        <f t="shared" si="36"/>
        <v>-1.9895380983805434E-2</v>
      </c>
      <c r="K218" s="122">
        <f t="shared" si="37"/>
        <v>8.7726493773880199E-2</v>
      </c>
      <c r="Y218" s="126">
        <f>IF($Z$1, C218, -0.2)</f>
        <v>-0.2</v>
      </c>
    </row>
    <row r="219" spans="2:25" x14ac:dyDescent="0.3">
      <c r="B219" s="122">
        <v>0.40149021507828209</v>
      </c>
      <c r="C219" s="122">
        <f t="shared" si="29"/>
        <v>2.4029582227467691E-2</v>
      </c>
      <c r="D219" s="126">
        <f t="shared" si="30"/>
        <v>4.3939464446946123E-2</v>
      </c>
      <c r="E219" s="122">
        <f t="shared" si="31"/>
        <v>1.9701956984343585E-2</v>
      </c>
      <c r="F219" s="122">
        <f t="shared" si="32"/>
        <v>1.9699408360664219E-2</v>
      </c>
      <c r="G219" s="122">
        <f t="shared" si="33"/>
        <v>0.40062468960779474</v>
      </c>
      <c r="H219" s="122">
        <f t="shared" si="34"/>
        <v>6.7960521228863729E-2</v>
      </c>
      <c r="I219" s="122">
        <f t="shared" si="35"/>
        <v>0.40235574054876944</v>
      </c>
      <c r="J219" s="122">
        <f t="shared" si="36"/>
        <v>-1.9901356773928354E-2</v>
      </c>
      <c r="K219" s="122">
        <f t="shared" si="37"/>
        <v>8.786187800279209E-2</v>
      </c>
      <c r="Y219" s="126">
        <f>IF($Z$1, C219, -0.2)</f>
        <v>-0.2</v>
      </c>
    </row>
    <row r="220" spans="2:25" x14ac:dyDescent="0.3">
      <c r="B220" s="122">
        <v>0.40457833540978921</v>
      </c>
      <c r="C220" s="122">
        <f t="shared" si="29"/>
        <v>2.4089470592683335E-2</v>
      </c>
      <c r="D220" s="126">
        <f t="shared" si="30"/>
        <v>4.4004653005796757E-2</v>
      </c>
      <c r="E220" s="122">
        <f t="shared" si="31"/>
        <v>1.9084332918042159E-2</v>
      </c>
      <c r="F220" s="122">
        <f t="shared" si="32"/>
        <v>1.9082016511373173E-2</v>
      </c>
      <c r="G220" s="122">
        <f t="shared" si="33"/>
        <v>0.40373868885254022</v>
      </c>
      <c r="H220" s="122">
        <f t="shared" si="34"/>
        <v>6.8086112280651728E-2</v>
      </c>
      <c r="I220" s="122">
        <f t="shared" si="35"/>
        <v>0.40541798196703821</v>
      </c>
      <c r="J220" s="122">
        <f t="shared" si="36"/>
        <v>-1.9907171095285052E-2</v>
      </c>
      <c r="K220" s="122">
        <f t="shared" si="37"/>
        <v>8.7993283375936773E-2</v>
      </c>
      <c r="Y220" s="126">
        <f>IF($Z$1, C220, -0.2)</f>
        <v>-0.2</v>
      </c>
    </row>
    <row r="221" spans="2:25" x14ac:dyDescent="0.3">
      <c r="B221" s="122">
        <v>0.40767023793883778</v>
      </c>
      <c r="C221" s="122">
        <f t="shared" si="29"/>
        <v>2.4147521503772917E-2</v>
      </c>
      <c r="D221" s="126">
        <f t="shared" si="30"/>
        <v>4.4067856542345185E-2</v>
      </c>
      <c r="E221" s="122">
        <f t="shared" si="31"/>
        <v>1.8465952412232447E-2</v>
      </c>
      <c r="F221" s="122">
        <f t="shared" si="32"/>
        <v>1.8463853931241597E-2</v>
      </c>
      <c r="G221" s="122">
        <f t="shared" si="33"/>
        <v>0.40685662170326337</v>
      </c>
      <c r="H221" s="122">
        <f t="shared" si="34"/>
        <v>6.8207866587055285E-2</v>
      </c>
      <c r="I221" s="122">
        <f t="shared" si="35"/>
        <v>0.40848385417441219</v>
      </c>
      <c r="J221" s="122">
        <f t="shared" si="36"/>
        <v>-1.991282357950945E-2</v>
      </c>
      <c r="K221" s="122">
        <f t="shared" si="37"/>
        <v>8.8120690166564736E-2</v>
      </c>
      <c r="Y221" s="126">
        <f>IF($Z$1, C221, -0.2)</f>
        <v>-0.2</v>
      </c>
    </row>
    <row r="222" spans="2:25" x14ac:dyDescent="0.3">
      <c r="B222" s="122">
        <v>0.41076580011269126</v>
      </c>
      <c r="C222" s="122">
        <f t="shared" si="29"/>
        <v>2.4203725757047184E-2</v>
      </c>
      <c r="D222" s="126">
        <f t="shared" si="30"/>
        <v>4.4129065557375544E-2</v>
      </c>
      <c r="E222" s="122">
        <f t="shared" si="31"/>
        <v>1.784683997746175E-2</v>
      </c>
      <c r="F222" s="122">
        <f t="shared" si="32"/>
        <v>1.7844945542287206E-2</v>
      </c>
      <c r="G222" s="122">
        <f t="shared" si="33"/>
        <v>0.40997836113482511</v>
      </c>
      <c r="H222" s="122">
        <f t="shared" si="34"/>
        <v>6.832576522513259E-2</v>
      </c>
      <c r="I222" s="122">
        <f t="shared" si="35"/>
        <v>0.41155323909055741</v>
      </c>
      <c r="J222" s="122">
        <f t="shared" si="36"/>
        <v>-1.9918313711038214E-2</v>
      </c>
      <c r="K222" s="122">
        <f t="shared" si="37"/>
        <v>8.8244078936170797E-2</v>
      </c>
      <c r="Y222" s="126">
        <f>IF($Z$1, C222, -0.2)</f>
        <v>-0.2</v>
      </c>
    </row>
    <row r="223" spans="2:25" x14ac:dyDescent="0.3">
      <c r="B223" s="122">
        <v>0.41386489923355663</v>
      </c>
      <c r="C223" s="122">
        <f t="shared" si="29"/>
        <v>2.4258074441595466E-2</v>
      </c>
      <c r="D223" s="126">
        <f t="shared" si="30"/>
        <v>4.4188270693802524E-2</v>
      </c>
      <c r="E223" s="122">
        <f t="shared" si="31"/>
        <v>1.7227020153288676E-2</v>
      </c>
      <c r="F223" s="122">
        <f t="shared" si="32"/>
        <v>1.7225316301130354E-2</v>
      </c>
      <c r="G223" s="122">
        <f t="shared" si="33"/>
        <v>0.4131037799341698</v>
      </c>
      <c r="H223" s="122">
        <f t="shared" si="34"/>
        <v>6.8439789712970656E-2</v>
      </c>
      <c r="I223" s="122">
        <f t="shared" si="35"/>
        <v>0.41462601853294345</v>
      </c>
      <c r="J223" s="122">
        <f t="shared" si="36"/>
        <v>-1.9923640829779724E-2</v>
      </c>
      <c r="K223" s="122">
        <f t="shared" si="37"/>
        <v>8.8363430542750379E-2</v>
      </c>
      <c r="Y223" s="126">
        <f>IF($Z$1, C223, -0.2)</f>
        <v>-0.2</v>
      </c>
    </row>
    <row r="224" spans="2:25" x14ac:dyDescent="0.3">
      <c r="B224" s="122">
        <v>0.41696741246344804</v>
      </c>
      <c r="C224" s="122">
        <f t="shared" si="29"/>
        <v>2.4310558940698487E-2</v>
      </c>
      <c r="D224" s="126">
        <f t="shared" si="30"/>
        <v>4.4245462740687441E-2</v>
      </c>
      <c r="E224" s="122">
        <f t="shared" si="31"/>
        <v>1.6606517507310393E-2</v>
      </c>
      <c r="F224" s="122">
        <f t="shared" si="32"/>
        <v>1.6604991197851658E-2</v>
      </c>
      <c r="G224" s="122">
        <f t="shared" si="33"/>
        <v>0.41623275070603866</v>
      </c>
      <c r="H224" s="122">
        <f t="shared" si="34"/>
        <v>6.8549922015224779E-2</v>
      </c>
      <c r="I224" s="122">
        <f t="shared" si="35"/>
        <v>0.41770207422085742</v>
      </c>
      <c r="J224" s="122">
        <f t="shared" si="36"/>
        <v>-1.9928804133827804E-2</v>
      </c>
      <c r="K224" s="122">
        <f t="shared" si="37"/>
        <v>8.8478726149052583E-2</v>
      </c>
      <c r="Y224" s="126">
        <f>IF($Z$1, C224, -0.2)</f>
        <v>-0.2</v>
      </c>
    </row>
    <row r="225" spans="2:25" x14ac:dyDescent="0.3">
      <c r="B225" s="122">
        <v>0.42007321682905585</v>
      </c>
      <c r="C225" s="122">
        <f t="shared" si="29"/>
        <v>2.4361170933194488E-2</v>
      </c>
      <c r="D225" s="126">
        <f t="shared" si="30"/>
        <v>4.4300632637253583E-2</v>
      </c>
      <c r="E225" s="122">
        <f t="shared" si="31"/>
        <v>1.5985356634188829E-2</v>
      </c>
      <c r="F225" s="122">
        <f t="shared" si="32"/>
        <v>1.598399525484653E-2</v>
      </c>
      <c r="G225" s="122">
        <f t="shared" si="33"/>
        <v>0.41936514587871149</v>
      </c>
      <c r="H225" s="122">
        <f t="shared" si="34"/>
        <v>6.8656144548607967E-2</v>
      </c>
      <c r="I225" s="122">
        <f t="shared" si="35"/>
        <v>0.42078128777940021</v>
      </c>
      <c r="J225" s="122">
        <f t="shared" si="36"/>
        <v>-1.9933802682218983E-2</v>
      </c>
      <c r="K225" s="122">
        <f t="shared" si="37"/>
        <v>8.8589947230826943E-2</v>
      </c>
      <c r="Y225" s="126">
        <f>IF($Z$1, C225, -0.2)</f>
        <v>-0.2</v>
      </c>
    </row>
    <row r="226" spans="2:25" x14ac:dyDescent="0.3">
      <c r="B226" s="122">
        <v>0.42318218922662082</v>
      </c>
      <c r="C226" s="122">
        <f t="shared" si="29"/>
        <v>2.4409902394798531E-2</v>
      </c>
      <c r="D226" s="126">
        <f t="shared" si="30"/>
        <v>4.4353771476899312E-2</v>
      </c>
      <c r="E226" s="122">
        <f t="shared" si="31"/>
        <v>1.5363562154675837E-2</v>
      </c>
      <c r="F226" s="122">
        <f t="shared" si="32"/>
        <v>1.5362353525676754E-2</v>
      </c>
      <c r="G226" s="122">
        <f t="shared" si="33"/>
        <v>0.42250083770977631</v>
      </c>
      <c r="H226" s="122">
        <f t="shared" si="34"/>
        <v>6.8758440187328962E-2</v>
      </c>
      <c r="I226" s="122">
        <f t="shared" si="35"/>
        <v>0.42386354074346533</v>
      </c>
      <c r="J226" s="122">
        <f t="shared" si="36"/>
        <v>-1.9938635397731906E-2</v>
      </c>
      <c r="K226" s="122">
        <f t="shared" si="37"/>
        <v>8.8697075585060875E-2</v>
      </c>
      <c r="Y226" s="126">
        <f>IF($Z$1, C226, -0.2)</f>
        <v>-0.2</v>
      </c>
    </row>
    <row r="227" spans="2:25" x14ac:dyDescent="0.3">
      <c r="B227" s="122">
        <v>0.42629420642681332</v>
      </c>
      <c r="C227" s="122">
        <f t="shared" si="29"/>
        <v>2.445674559937468E-2</v>
      </c>
      <c r="D227" s="126">
        <f t="shared" si="30"/>
        <v>4.4404870511207867E-2</v>
      </c>
      <c r="E227" s="122">
        <f t="shared" si="31"/>
        <v>1.4741158714637338E-2</v>
      </c>
      <c r="F227" s="122">
        <f t="shared" si="32"/>
        <v>1.4740091093919126E-2</v>
      </c>
      <c r="G227" s="122">
        <f t="shared" si="33"/>
        <v>0.42563969829192677</v>
      </c>
      <c r="H227" s="122">
        <f t="shared" si="34"/>
        <v>6.8856792268477462E-2</v>
      </c>
      <c r="I227" s="122">
        <f t="shared" si="35"/>
        <v>0.42694871456169986</v>
      </c>
      <c r="J227" s="122">
        <f t="shared" si="36"/>
        <v>-1.9943301069728105E-2</v>
      </c>
      <c r="K227" s="122">
        <f t="shared" si="37"/>
        <v>8.8800093338205571E-2</v>
      </c>
      <c r="Y227" s="126">
        <f>IF($Z$1, C227, -0.2)</f>
        <v>-0.2</v>
      </c>
    </row>
    <row r="228" spans="2:25" x14ac:dyDescent="0.3">
      <c r="B228" s="122">
        <v>0.42940914507961764</v>
      </c>
      <c r="C228" s="122">
        <f t="shared" si="29"/>
        <v>2.4501693120160956E-2</v>
      </c>
      <c r="D228" s="126">
        <f t="shared" si="30"/>
        <v>4.4453921153952275E-2</v>
      </c>
      <c r="E228" s="122">
        <f t="shared" si="31"/>
        <v>1.4118170984076472E-2</v>
      </c>
      <c r="F228" s="122">
        <f t="shared" si="32"/>
        <v>1.4117233072011298E-2</v>
      </c>
      <c r="G228" s="122">
        <f t="shared" si="33"/>
        <v>0.42878159955878736</v>
      </c>
      <c r="H228" s="122">
        <f t="shared" si="34"/>
        <v>6.8951184597354387E-2</v>
      </c>
      <c r="I228" s="122">
        <f t="shared" si="35"/>
        <v>0.43003669060044791</v>
      </c>
      <c r="J228" s="122">
        <f t="shared" si="36"/>
        <v>-1.9947798357032476E-2</v>
      </c>
      <c r="K228" s="122">
        <f t="shared" si="37"/>
        <v>8.8898982954386863E-2</v>
      </c>
      <c r="Y228" s="126">
        <f>IF($Z$1, C228, -0.2)</f>
        <v>-0.2</v>
      </c>
    </row>
    <row r="229" spans="2:25" x14ac:dyDescent="0.3">
      <c r="B229" s="122">
        <v>0.43252688171922182</v>
      </c>
      <c r="C229" s="122">
        <f t="shared" si="29"/>
        <v>2.4544737830946812E-2</v>
      </c>
      <c r="D229" s="126">
        <f t="shared" si="30"/>
        <v>4.4500914985094266E-2</v>
      </c>
      <c r="E229" s="122">
        <f t="shared" si="31"/>
        <v>1.3494623656155636E-2</v>
      </c>
      <c r="F229" s="122">
        <f t="shared" si="32"/>
        <v>1.3493804600094729E-2</v>
      </c>
      <c r="G229" s="122">
        <f t="shared" si="33"/>
        <v>0.43192641329076636</v>
      </c>
      <c r="H229" s="122">
        <f t="shared" si="34"/>
        <v>6.9041601452746224E-2</v>
      </c>
      <c r="I229" s="122">
        <f t="shared" si="35"/>
        <v>0.43312735014767728</v>
      </c>
      <c r="J229" s="122">
        <f t="shared" si="36"/>
        <v>-1.9952125790852596E-2</v>
      </c>
      <c r="K229" s="122">
        <f t="shared" si="37"/>
        <v>8.8993727243598816E-2</v>
      </c>
      <c r="Y229" s="126">
        <f>IF($Z$1, C229, -0.2)</f>
        <v>-0.2</v>
      </c>
    </row>
    <row r="230" spans="2:25" x14ac:dyDescent="0.3">
      <c r="B230" s="122">
        <v>0.43564729276891079</v>
      </c>
      <c r="C230" s="122">
        <f t="shared" si="29"/>
        <v>2.4585872907202974E-2</v>
      </c>
      <c r="D230" s="126">
        <f t="shared" si="30"/>
        <v>4.4545843754775549E-2</v>
      </c>
      <c r="E230" s="122">
        <f t="shared" si="31"/>
        <v>1.2870541446217843E-2</v>
      </c>
      <c r="F230" s="122">
        <f t="shared" si="32"/>
        <v>1.2869830844855287E-2</v>
      </c>
      <c r="G230" s="122">
        <f t="shared" si="33"/>
        <v>0.43507401112093447</v>
      </c>
      <c r="H230" s="122">
        <f t="shared" si="34"/>
        <v>6.9128027592141261E-2</v>
      </c>
      <c r="I230" s="122">
        <f t="shared" si="35"/>
        <v>0.43622057441688711</v>
      </c>
      <c r="J230" s="122">
        <f t="shared" si="36"/>
        <v>-1.9956281777735306E-2</v>
      </c>
      <c r="K230" s="122">
        <f t="shared" si="37"/>
        <v>8.908430936987656E-2</v>
      </c>
      <c r="Y230" s="126">
        <f>IF($Z$1, C230, -0.2)</f>
        <v>-0.2</v>
      </c>
    </row>
    <row r="231" spans="2:25" x14ac:dyDescent="0.3">
      <c r="B231" s="122">
        <v>0.43877025454596486</v>
      </c>
      <c r="C231" s="122">
        <f t="shared" si="29"/>
        <v>2.4625091827163409E-2</v>
      </c>
      <c r="D231" s="126">
        <f t="shared" si="30"/>
        <v>4.4588699387300486E-2</v>
      </c>
      <c r="E231" s="122">
        <f t="shared" si="31"/>
        <v>1.2245949090807029E-2</v>
      </c>
      <c r="F231" s="122">
        <f t="shared" si="32"/>
        <v>1.2245336998361145E-2</v>
      </c>
      <c r="G231" s="122">
        <f t="shared" si="33"/>
        <v>0.438224264540931</v>
      </c>
      <c r="H231" s="122">
        <f t="shared" si="34"/>
        <v>6.9210448256886548E-2</v>
      </c>
      <c r="I231" s="122">
        <f t="shared" si="35"/>
        <v>0.43931624455099871</v>
      </c>
      <c r="J231" s="122">
        <f t="shared" si="36"/>
        <v>-1.9960264602559723E-2</v>
      </c>
      <c r="K231" s="122">
        <f t="shared" si="37"/>
        <v>8.9170712859446263E-2</v>
      </c>
      <c r="Y231" s="126">
        <f>IF($Z$1, C231, -0.2)</f>
        <v>-0.2</v>
      </c>
    </row>
    <row r="232" spans="2:25" x14ac:dyDescent="0.3">
      <c r="B232" s="122">
        <v>0.44189564326656183</v>
      </c>
      <c r="C232" s="122">
        <f t="shared" si="29"/>
        <v>2.4662388372859338E-2</v>
      </c>
      <c r="D232" s="126">
        <f t="shared" si="30"/>
        <v>4.4629473985108407E-2</v>
      </c>
      <c r="E232" s="122">
        <f t="shared" si="31"/>
        <v>1.1620871346687635E-2</v>
      </c>
      <c r="F232" s="122">
        <f t="shared" si="32"/>
        <v>1.1620348276898427E-2</v>
      </c>
      <c r="G232" s="122">
        <f t="shared" si="33"/>
        <v>0.44137704490689561</v>
      </c>
      <c r="H232" s="122">
        <f t="shared" si="34"/>
        <v>6.928884917728366E-2</v>
      </c>
      <c r="I232" s="122">
        <f t="shared" si="35"/>
        <v>0.44241424162622806</v>
      </c>
      <c r="J232" s="122">
        <f t="shared" si="36"/>
        <v>-1.9964072431564981E-2</v>
      </c>
      <c r="K232" s="122">
        <f t="shared" si="37"/>
        <v>8.9252921608848637E-2</v>
      </c>
      <c r="Y232" s="126">
        <f>IF($Z$1, C232, -0.2)</f>
        <v>-0.2</v>
      </c>
    </row>
    <row r="233" spans="2:25" x14ac:dyDescent="0.3">
      <c r="B233" s="122">
        <v>0.44502333505068348</v>
      </c>
      <c r="C233" s="122">
        <f t="shared" si="29"/>
        <v>2.4697756631105058E-2</v>
      </c>
      <c r="D233" s="126">
        <f t="shared" si="30"/>
        <v>4.466815983273445E-2</v>
      </c>
      <c r="E233" s="122">
        <f t="shared" si="31"/>
        <v>1.0995332989863306E-2</v>
      </c>
      <c r="F233" s="122">
        <f t="shared" si="32"/>
        <v>1.0994889919804463E-2</v>
      </c>
      <c r="G233" s="122">
        <f t="shared" si="33"/>
        <v>0.44453222344542614</v>
      </c>
      <c r="H233" s="122">
        <f t="shared" si="34"/>
        <v>6.9363216577621817E-2</v>
      </c>
      <c r="I233" s="122">
        <f t="shared" si="35"/>
        <v>0.44551444665594081</v>
      </c>
      <c r="J233" s="122">
        <f t="shared" si="36"/>
        <v>-1.99677033154117E-2</v>
      </c>
      <c r="K233" s="122">
        <f t="shared" si="37"/>
        <v>8.9330919893033517E-2</v>
      </c>
      <c r="Y233" s="126">
        <f>IF($Z$1, C233, -0.2)</f>
        <v>-0.2</v>
      </c>
    </row>
    <row r="234" spans="2:25" x14ac:dyDescent="0.3">
      <c r="B234" s="122">
        <v>0.44815320592702612</v>
      </c>
      <c r="C234" s="122">
        <f t="shared" si="29"/>
        <v>2.4731190994435465E-2</v>
      </c>
      <c r="D234" s="126">
        <f t="shared" si="30"/>
        <v>4.4704749400757623E-2</v>
      </c>
      <c r="E234" s="122">
        <f t="shared" si="31"/>
        <v>1.0369358814594776E-2</v>
      </c>
      <c r="F234" s="122">
        <f t="shared" si="32"/>
        <v>1.0368987188298802E-2</v>
      </c>
      <c r="G234" s="122">
        <f t="shared" si="33"/>
        <v>0.44768967125956188</v>
      </c>
      <c r="H234" s="122">
        <f t="shared" si="34"/>
        <v>6.9433537181146948E-2</v>
      </c>
      <c r="I234" s="122">
        <f t="shared" si="35"/>
        <v>0.44861674059449036</v>
      </c>
      <c r="J234" s="122">
        <f t="shared" si="36"/>
        <v>-1.9971155192276012E-2</v>
      </c>
      <c r="K234" s="122">
        <f t="shared" si="37"/>
        <v>8.9404692373422953E-2</v>
      </c>
      <c r="Y234" s="126">
        <f>IF($Z$1, C234, -0.2)</f>
        <v>-0.2</v>
      </c>
    </row>
    <row r="235" spans="2:25" x14ac:dyDescent="0.3">
      <c r="B235" s="122">
        <v>0.4512851318379138</v>
      </c>
      <c r="C235" s="122">
        <f t="shared" si="29"/>
        <v>2.4762686161995059E-2</v>
      </c>
      <c r="D235" s="126">
        <f t="shared" si="30"/>
        <v>4.4739235349734396E-2</v>
      </c>
      <c r="E235" s="122">
        <f t="shared" si="31"/>
        <v>9.7429736324172404E-3</v>
      </c>
      <c r="F235" s="122">
        <f t="shared" si="32"/>
        <v>9.7426653643123869E-3</v>
      </c>
      <c r="G235" s="122">
        <f t="shared" si="33"/>
        <v>0.4508492593347912</v>
      </c>
      <c r="H235" s="122">
        <f t="shared" si="34"/>
        <v>6.949979821496452E-2</v>
      </c>
      <c r="I235" s="122">
        <f t="shared" si="35"/>
        <v>0.4517210043410364</v>
      </c>
      <c r="J235" s="122">
        <f t="shared" si="36"/>
        <v>-1.9974425890974406E-2</v>
      </c>
      <c r="K235" s="122">
        <f t="shared" si="37"/>
        <v>8.9474224105938929E-2</v>
      </c>
      <c r="Y235" s="126">
        <f>IF($Z$1, C235, -0.2)</f>
        <v>-0.2</v>
      </c>
    </row>
    <row r="236" spans="2:25" x14ac:dyDescent="0.3">
      <c r="B236" s="122">
        <v>0.45441898864421604</v>
      </c>
      <c r="C236" s="122">
        <f t="shared" si="29"/>
        <v>2.4792237140378391E-2</v>
      </c>
      <c r="D236" s="126">
        <f t="shared" si="30"/>
        <v>4.4771610534116824E-2</v>
      </c>
      <c r="E236" s="122">
        <f t="shared" si="31"/>
        <v>9.1162022711567935E-3</v>
      </c>
      <c r="F236" s="122">
        <f t="shared" si="32"/>
        <v>9.1159497493144923E-3</v>
      </c>
      <c r="G236" s="122">
        <f t="shared" si="33"/>
        <v>0.45401085854508455</v>
      </c>
      <c r="H236" s="122">
        <f t="shared" si="34"/>
        <v>6.9561987414875376E-2</v>
      </c>
      <c r="I236" s="122">
        <f t="shared" si="35"/>
        <v>0.45482711874334752</v>
      </c>
      <c r="J236" s="122">
        <f t="shared" si="36"/>
        <v>-1.99775131341186E-2</v>
      </c>
      <c r="K236" s="122">
        <f t="shared" si="37"/>
        <v>8.9539500548993983E-2</v>
      </c>
      <c r="Y236" s="126">
        <f>IF($Z$1, C236, -0.2)</f>
        <v>-0.2</v>
      </c>
    </row>
    <row r="237" spans="2:25" x14ac:dyDescent="0.3">
      <c r="B237" s="122">
        <v>0.45755465213026802</v>
      </c>
      <c r="C237" s="122">
        <f t="shared" si="29"/>
        <v>2.4819839244421743E-2</v>
      </c>
      <c r="D237" s="126">
        <f t="shared" si="30"/>
        <v>4.4801868006153531E-2</v>
      </c>
      <c r="E237" s="122">
        <f t="shared" si="31"/>
        <v>8.4890695739463957E-3</v>
      </c>
      <c r="F237" s="122">
        <f t="shared" si="32"/>
        <v>8.4888656631379907E-3</v>
      </c>
      <c r="G237" s="122">
        <f t="shared" si="33"/>
        <v>0.4571743396589506</v>
      </c>
      <c r="H237" s="122">
        <f t="shared" si="34"/>
        <v>6.9620093030142244E-2</v>
      </c>
      <c r="I237" s="122">
        <f t="shared" si="35"/>
        <v>0.45793496460158545</v>
      </c>
      <c r="J237" s="122">
        <f t="shared" si="36"/>
        <v>-1.9980414541298751E-2</v>
      </c>
      <c r="K237" s="122">
        <f t="shared" si="37"/>
        <v>8.9600507571440988E-2</v>
      </c>
      <c r="Y237" s="126">
        <f>IF($Z$1, C237, -0.2)</f>
        <v>-0.2</v>
      </c>
    </row>
    <row r="238" spans="2:25" x14ac:dyDescent="0.3">
      <c r="B238" s="122">
        <v>0.46069199800879396</v>
      </c>
      <c r="C238" s="122">
        <f t="shared" si="29"/>
        <v>2.4845488097945935E-2</v>
      </c>
      <c r="D238" s="126">
        <f t="shared" si="30"/>
        <v>4.4830001019772539E-2</v>
      </c>
      <c r="E238" s="122">
        <f t="shared" si="31"/>
        <v>7.8616003982412089E-3</v>
      </c>
      <c r="F238" s="122">
        <f t="shared" si="32"/>
        <v>7.8614384428028414E-3</v>
      </c>
      <c r="G238" s="122">
        <f t="shared" si="33"/>
        <v>0.46033957334551651</v>
      </c>
      <c r="H238" s="122">
        <f t="shared" si="34"/>
        <v>6.9674103828185924E-2</v>
      </c>
      <c r="I238" s="122">
        <f t="shared" si="35"/>
        <v>0.46104442267207141</v>
      </c>
      <c r="J238" s="122">
        <f t="shared" si="36"/>
        <v>-1.9983127632294061E-2</v>
      </c>
      <c r="K238" s="122">
        <f t="shared" si="37"/>
        <v>8.9657231460479991E-2</v>
      </c>
      <c r="Y238" s="126">
        <f>IF($Z$1, C238, -0.2)</f>
        <v>-0.2</v>
      </c>
    </row>
    <row r="239" spans="2:25" x14ac:dyDescent="0.3">
      <c r="B239" s="122">
        <v>0.46383090192583382</v>
      </c>
      <c r="C239" s="122">
        <f t="shared" si="29"/>
        <v>2.4869179634450136E-2</v>
      </c>
      <c r="D239" s="126">
        <f t="shared" si="30"/>
        <v>4.4856003034444036E-2</v>
      </c>
      <c r="E239" s="122">
        <f t="shared" si="31"/>
        <v>7.2338196148332371E-3</v>
      </c>
      <c r="F239" s="122">
        <f t="shared" si="32"/>
        <v>7.2336934413378242E-3</v>
      </c>
      <c r="G239" s="122">
        <f t="shared" si="33"/>
        <v>0.46350643018063165</v>
      </c>
      <c r="H239" s="122">
        <f t="shared" si="34"/>
        <v>6.97240090992092E-2</v>
      </c>
      <c r="I239" s="122">
        <f t="shared" si="35"/>
        <v>0.46415537367103599</v>
      </c>
      <c r="J239" s="122">
        <f t="shared" si="36"/>
        <v>-1.9985649830308927E-2</v>
      </c>
      <c r="K239" s="122">
        <f t="shared" si="37"/>
        <v>8.9709658929518127E-2</v>
      </c>
      <c r="Y239" s="126">
        <f>IF($Z$1, C239, -0.2)</f>
        <v>-0.2</v>
      </c>
    </row>
    <row r="240" spans="2:25" x14ac:dyDescent="0.3">
      <c r="B240" s="122">
        <v>0.46697123946567209</v>
      </c>
      <c r="C240" s="122">
        <f t="shared" si="29"/>
        <v>2.4890910097756604E-2</v>
      </c>
      <c r="D240" s="126">
        <f t="shared" si="30"/>
        <v>4.4879867719022297E-2</v>
      </c>
      <c r="E240" s="122">
        <f t="shared" si="31"/>
        <v>6.6057521068655818E-3</v>
      </c>
      <c r="F240" s="122">
        <f t="shared" si="32"/>
        <v>6.6056560266008913E-3</v>
      </c>
      <c r="G240" s="122">
        <f t="shared" si="33"/>
        <v>0.46667478065299334</v>
      </c>
      <c r="H240" s="122">
        <f t="shared" si="34"/>
        <v>6.9769798660747159E-2</v>
      </c>
      <c r="I240" s="122">
        <f t="shared" si="35"/>
        <v>0.46726769827835085</v>
      </c>
      <c r="J240" s="122">
        <f t="shared" si="36"/>
        <v>-1.9987978465233952E-2</v>
      </c>
      <c r="K240" s="122">
        <f t="shared" si="37"/>
        <v>8.9757777125981111E-2</v>
      </c>
      <c r="Y240" s="126">
        <f>IF($Z$1, C240, -0.2)</f>
        <v>-0.2</v>
      </c>
    </row>
    <row r="241" spans="2:25" x14ac:dyDescent="0.3">
      <c r="B241" s="122">
        <v>0.47011288615576918</v>
      </c>
      <c r="C241" s="122">
        <f t="shared" si="29"/>
        <v>2.4910676042606199E-2</v>
      </c>
      <c r="D241" s="126">
        <f t="shared" si="30"/>
        <v>4.4901588955564932E-2</v>
      </c>
      <c r="E241" s="122">
        <f t="shared" si="31"/>
        <v>5.9774227688461634E-3</v>
      </c>
      <c r="F241" s="122">
        <f t="shared" si="32"/>
        <v>5.9773515800980535E-3</v>
      </c>
      <c r="G241" s="122">
        <f t="shared" si="33"/>
        <v>0.46984449517029497</v>
      </c>
      <c r="H241" s="122">
        <f t="shared" si="34"/>
        <v>6.9811462862142307E-2</v>
      </c>
      <c r="I241" s="122">
        <f t="shared" si="35"/>
        <v>0.47038127714124339</v>
      </c>
      <c r="J241" s="122">
        <f t="shared" si="36"/>
        <v>-1.9990110776929904E-2</v>
      </c>
      <c r="K241" s="122">
        <f t="shared" si="37"/>
        <v>8.9801573639072207E-2</v>
      </c>
      <c r="Y241" s="126">
        <f>IF($Z$1, C241, -0.2)</f>
        <v>-0.2</v>
      </c>
    </row>
    <row r="242" spans="2:25" x14ac:dyDescent="0.3">
      <c r="B242" s="122">
        <v>0.47325571747169526</v>
      </c>
      <c r="C242" s="122">
        <f t="shared" si="29"/>
        <v>2.492847433520462E-2</v>
      </c>
      <c r="D242" s="126">
        <f t="shared" si="30"/>
        <v>4.4921160843128291E-2</v>
      </c>
      <c r="E242" s="122">
        <f t="shared" si="31"/>
        <v>5.3488565056609488E-3</v>
      </c>
      <c r="F242" s="122">
        <f t="shared" si="32"/>
        <v>5.348805495800928E-3</v>
      </c>
      <c r="G242" s="122">
        <f t="shared" si="33"/>
        <v>0.47301544406539608</v>
      </c>
      <c r="H242" s="122">
        <f t="shared" si="34"/>
        <v>6.9848992588942838E-2</v>
      </c>
      <c r="I242" s="122">
        <f t="shared" si="35"/>
        <v>0.47349599087799443</v>
      </c>
      <c r="J242" s="122">
        <f t="shared" si="36"/>
        <v>-1.999204391853359E-2</v>
      </c>
      <c r="K242" s="122">
        <f t="shared" si="37"/>
        <v>8.9841036507476421E-2</v>
      </c>
      <c r="Y242" s="126">
        <f>IF($Z$1, C242, -0.2)</f>
        <v>-0.2</v>
      </c>
    </row>
    <row r="243" spans="2:25" x14ac:dyDescent="0.3">
      <c r="B243" s="122">
        <v>0.47639960884206567</v>
      </c>
      <c r="C243" s="122">
        <f t="shared" si="29"/>
        <v>2.4944302153719251E-2</v>
      </c>
      <c r="D243" s="126">
        <f t="shared" si="30"/>
        <v>4.4938577701537682E-2</v>
      </c>
      <c r="E243" s="122">
        <f t="shared" si="31"/>
        <v>4.7200782315868668E-3</v>
      </c>
      <c r="F243" s="122">
        <f t="shared" si="32"/>
        <v>4.7200431789631942E-3</v>
      </c>
      <c r="G243" s="122">
        <f t="shared" si="33"/>
        <v>0.47618749760251283</v>
      </c>
      <c r="H243" s="122">
        <f t="shared" si="34"/>
        <v>6.9882379267222836E-2</v>
      </c>
      <c r="I243" s="122">
        <f t="shared" si="35"/>
        <v>0.47661172008161851</v>
      </c>
      <c r="J243" s="122">
        <f t="shared" si="36"/>
        <v>-1.9993774959784338E-2</v>
      </c>
      <c r="K243" s="122">
        <f t="shared" si="37"/>
        <v>8.9876154227007177E-2</v>
      </c>
      <c r="Y243" s="126">
        <f>IF($Z$1, C243, -0.2)</f>
        <v>-0.2</v>
      </c>
    </row>
    <row r="244" spans="2:25" x14ac:dyDescent="0.3">
      <c r="B244" s="122">
        <v>0.4795444356534786</v>
      </c>
      <c r="C244" s="122">
        <f t="shared" si="29"/>
        <v>2.4958156988726533E-2</v>
      </c>
      <c r="D244" s="126">
        <f t="shared" si="30"/>
        <v>4.4953834075130893E-2</v>
      </c>
      <c r="E244" s="122">
        <f t="shared" si="31"/>
        <v>4.0911128693042814E-3</v>
      </c>
      <c r="F244" s="122">
        <f t="shared" si="32"/>
        <v>4.0910900449359026E-3</v>
      </c>
      <c r="G244" s="122">
        <f t="shared" si="33"/>
        <v>0.47936052598342971</v>
      </c>
      <c r="H244" s="122">
        <f t="shared" si="34"/>
        <v>6.9911614867822575E-2</v>
      </c>
      <c r="I244" s="122">
        <f t="shared" si="35"/>
        <v>0.47972834532352748</v>
      </c>
      <c r="J244" s="122">
        <f t="shared" si="36"/>
        <v>-1.9995300890369508E-2</v>
      </c>
      <c r="K244" s="122">
        <f t="shared" si="37"/>
        <v>8.9906915758192082E-2</v>
      </c>
      <c r="Y244" s="126">
        <f>IF($Z$1, C244, -0.2)</f>
        <v>-0.2</v>
      </c>
    </row>
    <row r="245" spans="2:25" x14ac:dyDescent="0.3">
      <c r="B245" s="122">
        <v>0.48269007325545488</v>
      </c>
      <c r="C245" s="122">
        <f t="shared" si="29"/>
        <v>2.4970036643609847E-2</v>
      </c>
      <c r="D245" s="126">
        <f t="shared" si="30"/>
        <v>4.4966924736473783E-2</v>
      </c>
      <c r="E245" s="122">
        <f t="shared" si="31"/>
        <v>3.4619853489090248E-3</v>
      </c>
      <c r="F245" s="122">
        <f t="shared" si="32"/>
        <v>3.4619715179817086E-3</v>
      </c>
      <c r="G245" s="122">
        <f t="shared" si="33"/>
        <v>0.48253439935373144</v>
      </c>
      <c r="H245" s="122">
        <f t="shared" si="34"/>
        <v>6.9936691910507554E-2</v>
      </c>
      <c r="I245" s="122">
        <f t="shared" si="35"/>
        <v>0.48284574715717832</v>
      </c>
      <c r="J245" s="122">
        <f t="shared" si="36"/>
        <v>-1.9996618623287866E-2</v>
      </c>
      <c r="K245" s="122">
        <f t="shared" si="37"/>
        <v>8.9933310533795427E-2</v>
      </c>
      <c r="Y245" s="126">
        <f>IF($Z$1, C245, -0.2)</f>
        <v>-0.2</v>
      </c>
    </row>
    <row r="246" spans="2:25" x14ac:dyDescent="0.3">
      <c r="B246" s="122">
        <v>0.48583639696537795</v>
      </c>
      <c r="C246" s="122">
        <f t="shared" si="29"/>
        <v>2.4979939234907766E-2</v>
      </c>
      <c r="D246" s="126">
        <f t="shared" si="30"/>
        <v>4.4977844690046391E-2</v>
      </c>
      <c r="E246" s="122">
        <f t="shared" si="31"/>
        <v>2.8327206069244104E-3</v>
      </c>
      <c r="F246" s="122">
        <f t="shared" si="32"/>
        <v>2.8327130300885338E-3</v>
      </c>
      <c r="G246" s="122">
        <f t="shared" si="33"/>
        <v>0.48570898780905342</v>
      </c>
      <c r="H246" s="122">
        <f t="shared" si="34"/>
        <v>6.995760346804486E-2</v>
      </c>
      <c r="I246" s="122">
        <f t="shared" si="35"/>
        <v>0.48596380612170248</v>
      </c>
      <c r="J246" s="122">
        <f t="shared" si="36"/>
        <v>-1.999772499822932E-2</v>
      </c>
      <c r="K246" s="122">
        <f t="shared" si="37"/>
        <v>8.9955328466274173E-2</v>
      </c>
      <c r="Y246" s="126">
        <f>IF($Z$1, C246, -0.2)</f>
        <v>-0.2</v>
      </c>
    </row>
    <row r="247" spans="2:25" x14ac:dyDescent="0.3">
      <c r="B247" s="122">
        <v>0.4889832820734365</v>
      </c>
      <c r="C247" s="122">
        <f t="shared" si="29"/>
        <v>2.4987863192612654E-2</v>
      </c>
      <c r="D247" s="126">
        <f t="shared" si="30"/>
        <v>4.4986589175898421E-2</v>
      </c>
      <c r="E247" s="122">
        <f t="shared" si="31"/>
        <v>2.2033435853127006E-3</v>
      </c>
      <c r="F247" s="122">
        <f t="shared" si="32"/>
        <v>2.2033400197821926E-3</v>
      </c>
      <c r="G247" s="122">
        <f t="shared" si="33"/>
        <v>0.4888841614013521</v>
      </c>
      <c r="H247" s="122">
        <f t="shared" si="34"/>
        <v>6.9974343170195102E-2</v>
      </c>
      <c r="I247" s="122">
        <f t="shared" si="35"/>
        <v>0.48908240274552089</v>
      </c>
      <c r="J247" s="122">
        <f t="shared" si="36"/>
        <v>-1.9998616784969794E-2</v>
      </c>
      <c r="K247" s="122">
        <f t="shared" si="37"/>
        <v>8.9972959955164897E-2</v>
      </c>
      <c r="Y247" s="126">
        <f>IF($Z$1, C247, -0.2)</f>
        <v>-0.2</v>
      </c>
    </row>
    <row r="248" spans="2:25" x14ac:dyDescent="0.3">
      <c r="B248" s="122">
        <v>0.49213060384756707</v>
      </c>
      <c r="C248" s="122">
        <f t="shared" si="29"/>
        <v>2.4993807260419609E-2</v>
      </c>
      <c r="D248" s="126">
        <f t="shared" si="30"/>
        <v>4.4993153673272591E-2</v>
      </c>
      <c r="E248" s="122">
        <f t="shared" si="31"/>
        <v>1.5738792304865858E-3</v>
      </c>
      <c r="F248" s="122">
        <f t="shared" si="32"/>
        <v>1.5738779309386233E-3</v>
      </c>
      <c r="G248" s="122">
        <f t="shared" si="33"/>
        <v>0.49205979014519274</v>
      </c>
      <c r="H248" s="122">
        <f t="shared" si="34"/>
        <v>6.9986905207619007E-2</v>
      </c>
      <c r="I248" s="122">
        <f t="shared" si="35"/>
        <v>0.4922014175499414</v>
      </c>
      <c r="J248" s="122">
        <f t="shared" si="36"/>
        <v>-1.9999290686779789E-2</v>
      </c>
      <c r="K248" s="122">
        <f t="shared" si="37"/>
        <v>8.9986195894398796E-2</v>
      </c>
      <c r="Y248" s="126">
        <f>IF($Z$1, C248, -0.2)</f>
        <v>-0.2</v>
      </c>
    </row>
    <row r="249" spans="2:25" x14ac:dyDescent="0.3">
      <c r="B249" s="122">
        <v>0.49527823753839817</v>
      </c>
      <c r="C249" s="122">
        <f t="shared" si="29"/>
        <v>2.4997770495925623E-2</v>
      </c>
      <c r="D249" s="126">
        <f t="shared" si="30"/>
        <v>4.4997533904194593E-2</v>
      </c>
      <c r="E249" s="122">
        <f t="shared" si="31"/>
        <v>9.443524923203662E-4</v>
      </c>
      <c r="F249" s="122">
        <f t="shared" si="32"/>
        <v>9.4435221159548579E-4</v>
      </c>
      <c r="G249" s="122">
        <f t="shared" si="33"/>
        <v>0.49523574402405535</v>
      </c>
      <c r="H249" s="122">
        <f t="shared" si="34"/>
        <v>6.99952843356966E-2</v>
      </c>
      <c r="I249" s="122">
        <f t="shared" si="35"/>
        <v>0.49532073105274099</v>
      </c>
      <c r="J249" s="122">
        <f t="shared" si="36"/>
        <v>-1.9999743343845355E-2</v>
      </c>
      <c r="K249" s="122">
        <f t="shared" si="37"/>
        <v>8.9995027679541956E-2</v>
      </c>
      <c r="Y249" s="126">
        <f>IF($Z$1, C249, -0.2)</f>
        <v>-0.2</v>
      </c>
    </row>
    <row r="250" spans="2:25" x14ac:dyDescent="0.3">
      <c r="B250" s="122">
        <v>0.49842605838419507</v>
      </c>
      <c r="C250" s="122">
        <f t="shared" si="29"/>
        <v>2.4999752270779007E-2</v>
      </c>
      <c r="D250" s="126">
        <f t="shared" si="30"/>
        <v>4.4999725837028035E-2</v>
      </c>
      <c r="E250" s="122">
        <f t="shared" si="31"/>
        <v>3.1478832316098607E-4</v>
      </c>
      <c r="F250" s="122">
        <f t="shared" si="32"/>
        <v>3.1478831276335122E-4</v>
      </c>
      <c r="G250" s="122">
        <f t="shared" si="33"/>
        <v>0.49841189299665795</v>
      </c>
      <c r="H250" s="122">
        <f t="shared" si="34"/>
        <v>6.9999475878257805E-2</v>
      </c>
      <c r="I250" s="122">
        <f t="shared" si="35"/>
        <v>0.49844022377173219</v>
      </c>
      <c r="J250" s="122">
        <f t="shared" si="36"/>
        <v>-1.9999971336699788E-2</v>
      </c>
      <c r="K250" s="122">
        <f t="shared" si="37"/>
        <v>8.999944721495759E-2</v>
      </c>
      <c r="Y250" s="126">
        <f>IF($Z$1, C250, -0.2)</f>
        <v>-0.2</v>
      </c>
    </row>
    <row r="251" spans="2:25" x14ac:dyDescent="0.3">
      <c r="B251" s="122">
        <v>0.50157394161580482</v>
      </c>
      <c r="C251" s="122">
        <f t="shared" si="29"/>
        <v>2.4999752270779003E-2</v>
      </c>
      <c r="D251" s="126">
        <f t="shared" si="30"/>
        <v>4.499972525140887E-2</v>
      </c>
      <c r="E251" s="122">
        <f t="shared" si="31"/>
        <v>-3.1478832316096385E-4</v>
      </c>
      <c r="F251" s="122">
        <f t="shared" si="32"/>
        <v>-3.14788312763329E-4</v>
      </c>
      <c r="G251" s="122">
        <f t="shared" si="33"/>
        <v>0.50158810700315759</v>
      </c>
      <c r="H251" s="122">
        <f t="shared" si="34"/>
        <v>6.9999475292638669E-2</v>
      </c>
      <c r="I251" s="122">
        <f t="shared" si="35"/>
        <v>0.50155977622845205</v>
      </c>
      <c r="J251" s="122">
        <f t="shared" si="36"/>
        <v>-1.9999970751080655E-2</v>
      </c>
      <c r="K251" s="122">
        <f t="shared" si="37"/>
        <v>8.9999446043719317E-2</v>
      </c>
      <c r="Y251" s="126">
        <f>IF($Z$1, C251, -0.2)</f>
        <v>-0.2</v>
      </c>
    </row>
    <row r="252" spans="2:25" x14ac:dyDescent="0.3">
      <c r="B252" s="122">
        <v>0.50472176246160183</v>
      </c>
      <c r="C252" s="122">
        <f t="shared" si="29"/>
        <v>2.4997770495925623E-2</v>
      </c>
      <c r="D252" s="126">
        <f t="shared" si="30"/>
        <v>4.4997518106263762E-2</v>
      </c>
      <c r="E252" s="122">
        <f t="shared" si="31"/>
        <v>-9.443524923203662E-4</v>
      </c>
      <c r="F252" s="122">
        <f t="shared" si="32"/>
        <v>-9.4435221159548579E-4</v>
      </c>
      <c r="G252" s="122">
        <f t="shared" si="33"/>
        <v>0.50476425596102581</v>
      </c>
      <c r="H252" s="122">
        <f t="shared" si="34"/>
        <v>6.9995268537772812E-2</v>
      </c>
      <c r="I252" s="122">
        <f t="shared" si="35"/>
        <v>0.50467926896217785</v>
      </c>
      <c r="J252" s="122">
        <f t="shared" si="36"/>
        <v>-1.9999727545921567E-2</v>
      </c>
      <c r="K252" s="122">
        <f t="shared" si="37"/>
        <v>8.9994996083694379E-2</v>
      </c>
      <c r="Y252" s="126">
        <f>IF($Z$1, C252, -0.2)</f>
        <v>-0.2</v>
      </c>
    </row>
    <row r="253" spans="2:25" x14ac:dyDescent="0.3">
      <c r="B253" s="122">
        <v>0.50786939615243298</v>
      </c>
      <c r="C253" s="122">
        <f t="shared" si="29"/>
        <v>2.4993807260419609E-2</v>
      </c>
      <c r="D253" s="126">
        <f t="shared" si="30"/>
        <v>4.499308060196347E-2</v>
      </c>
      <c r="E253" s="122">
        <f t="shared" si="31"/>
        <v>-1.5738792304865969E-3</v>
      </c>
      <c r="F253" s="122">
        <f t="shared" si="32"/>
        <v>-1.5738779309386343E-3</v>
      </c>
      <c r="G253" s="122">
        <f t="shared" si="33"/>
        <v>0.50794020973980203</v>
      </c>
      <c r="H253" s="122">
        <f t="shared" si="34"/>
        <v>6.998683213640039E-2</v>
      </c>
      <c r="I253" s="122">
        <f t="shared" si="35"/>
        <v>0.50779858256506394</v>
      </c>
      <c r="J253" s="122">
        <f t="shared" si="36"/>
        <v>-1.9999217615561171E-2</v>
      </c>
      <c r="K253" s="122">
        <f t="shared" si="37"/>
        <v>8.9986049751961561E-2</v>
      </c>
      <c r="Y253" s="126">
        <f>IF($Z$1, C253, -0.2)</f>
        <v>-0.2</v>
      </c>
    </row>
    <row r="254" spans="2:25" x14ac:dyDescent="0.3">
      <c r="B254" s="122">
        <v>0.51101671792656345</v>
      </c>
      <c r="C254" s="122">
        <f t="shared" si="29"/>
        <v>2.4987863192612654E-2</v>
      </c>
      <c r="D254" s="126">
        <f t="shared" si="30"/>
        <v>4.4986388862194665E-2</v>
      </c>
      <c r="E254" s="122">
        <f t="shared" si="31"/>
        <v>-2.2033435853126893E-3</v>
      </c>
      <c r="F254" s="122">
        <f t="shared" si="32"/>
        <v>-2.2033400197821813E-3</v>
      </c>
      <c r="G254" s="122">
        <f t="shared" si="33"/>
        <v>0.511115838157289</v>
      </c>
      <c r="H254" s="122">
        <f t="shared" si="34"/>
        <v>6.9974142856977589E-2</v>
      </c>
      <c r="I254" s="122">
        <f t="shared" si="35"/>
        <v>0.51091759769583789</v>
      </c>
      <c r="J254" s="122">
        <f t="shared" si="36"/>
        <v>-1.9998416471752274E-2</v>
      </c>
      <c r="K254" s="122">
        <f t="shared" si="37"/>
        <v>8.9972559328729856E-2</v>
      </c>
      <c r="Y254" s="126">
        <f>IF($Z$1, C254, -0.2)</f>
        <v>-0.2</v>
      </c>
    </row>
    <row r="255" spans="2:25" x14ac:dyDescent="0.3">
      <c r="B255" s="122">
        <v>0.51416360303462194</v>
      </c>
      <c r="C255" s="122">
        <f t="shared" si="29"/>
        <v>2.4979939234907766E-2</v>
      </c>
      <c r="D255" s="126">
        <f t="shared" si="30"/>
        <v>4.4977419382657549E-2</v>
      </c>
      <c r="E255" s="122">
        <f t="shared" si="31"/>
        <v>-2.8327206069243883E-3</v>
      </c>
      <c r="F255" s="122">
        <f t="shared" si="32"/>
        <v>-2.8327130300885117E-3</v>
      </c>
      <c r="G255" s="122">
        <f t="shared" si="33"/>
        <v>0.51429101098617436</v>
      </c>
      <c r="H255" s="122">
        <f t="shared" si="34"/>
        <v>6.9957178162362396E-2</v>
      </c>
      <c r="I255" s="122">
        <f t="shared" si="35"/>
        <v>0.51403619508306952</v>
      </c>
      <c r="J255" s="122">
        <f t="shared" si="36"/>
        <v>-1.9997299692546863E-2</v>
      </c>
      <c r="K255" s="122">
        <f t="shared" si="37"/>
        <v>8.9954477854909259E-2</v>
      </c>
      <c r="Y255" s="126">
        <f>IF($Z$1, C255, -0.2)</f>
        <v>-0.2</v>
      </c>
    </row>
    <row r="256" spans="2:25" x14ac:dyDescent="0.3">
      <c r="B256" s="122">
        <v>0.51730992674454512</v>
      </c>
      <c r="C256" s="122">
        <f t="shared" si="29"/>
        <v>2.497003664360985E-2</v>
      </c>
      <c r="D256" s="126">
        <f t="shared" si="30"/>
        <v>4.4966149040631648E-2</v>
      </c>
      <c r="E256" s="122">
        <f t="shared" si="31"/>
        <v>-3.4619853489090248E-3</v>
      </c>
      <c r="F256" s="122">
        <f t="shared" si="32"/>
        <v>-3.4619715179817086E-3</v>
      </c>
      <c r="G256" s="122">
        <f t="shared" si="33"/>
        <v>0.51746559796083702</v>
      </c>
      <c r="H256" s="122">
        <f t="shared" si="34"/>
        <v>6.9935916219313873E-2</v>
      </c>
      <c r="I256" s="122">
        <f t="shared" si="35"/>
        <v>0.51715425552825323</v>
      </c>
      <c r="J256" s="122">
        <f t="shared" si="36"/>
        <v>-1.9995842932094176E-2</v>
      </c>
      <c r="K256" s="122">
        <f t="shared" si="37"/>
        <v>8.9931759151408053E-2</v>
      </c>
      <c r="Y256" s="126">
        <f>IF($Z$1, C256, -0.2)</f>
        <v>-0.2</v>
      </c>
    </row>
    <row r="257" spans="2:25" x14ac:dyDescent="0.3">
      <c r="B257" s="122">
        <v>0.52045556434652129</v>
      </c>
      <c r="C257" s="122">
        <f t="shared" ref="C257:C320" si="38">IF($A$1=0, 0, IF(B257&lt;=$A$2, ($A$1/$A$2^2)*(2*$A$2*B257-B257^2), ($A$1/(1-$A$2)^2)*((1-2*$A$2)+2*$A$2*B257-B257^2)))</f>
        <v>2.4958156988726533E-2</v>
      </c>
      <c r="D257" s="126">
        <f t="shared" ref="D257:D320" si="39">IF(B257&lt;$N$1, ($A$3/0.2)*($O$1*SQRT(B257)+$P$1*B257+$Q$1*(B257^2)+$R$1*(B257^3)), ($A$3/0.2)*($S$1+$T$1*(1-B257)+$U$1*((1-B257)^2)+$V$1*((1-B257)^3)))</f>
        <v>4.4952555104474094E-2</v>
      </c>
      <c r="E257" s="122">
        <f t="shared" ref="E257:E320" si="40">IF($A$1=0, 0, IF(B257&lt;=$A$2, ($A$1/$A$2^2) *(2*$A$2-2*B257), ($A$1/(1-$A$2)^2)*(2*$A$2-2*B257)))</f>
        <v>-4.0911128693042588E-3</v>
      </c>
      <c r="F257" s="122">
        <f t="shared" ref="F257:F320" si="41">IF($A$1=0, 0,  ATAN(E257))</f>
        <v>-4.09109004493588E-3</v>
      </c>
      <c r="G257" s="122">
        <f t="shared" ref="G257:G320" si="42">B257-D257*SIN(F257)</f>
        <v>0.52063946878420064</v>
      </c>
      <c r="H257" s="122">
        <f t="shared" ref="H257:H320" si="43">C257+D257*COS(F257)</f>
        <v>6.991033590786884E-2</v>
      </c>
      <c r="I257" s="122">
        <f t="shared" ref="I257:I320" si="44">B257+D257*SIN(F257)</f>
        <v>0.52027165990884194</v>
      </c>
      <c r="J257" s="122">
        <f t="shared" ref="J257:J320" si="45">C257-D257*COS(F257)</f>
        <v>-1.9994021930415773E-2</v>
      </c>
      <c r="K257" s="122">
        <f t="shared" ref="K257:K320" si="46">2*D257*COS(F257)</f>
        <v>8.9904357838284613E-2</v>
      </c>
      <c r="Y257" s="126">
        <f>IF($Z$1, C257, -0.2)</f>
        <v>-0.2</v>
      </c>
    </row>
    <row r="258" spans="2:25" x14ac:dyDescent="0.3">
      <c r="B258" s="122">
        <v>0.52360039115793444</v>
      </c>
      <c r="C258" s="122">
        <f t="shared" si="38"/>
        <v>2.4944302153719251E-2</v>
      </c>
      <c r="D258" s="126">
        <f t="shared" si="39"/>
        <v>4.4936615243047227E-2</v>
      </c>
      <c r="E258" s="122">
        <f t="shared" si="40"/>
        <v>-4.7200782315868885E-3</v>
      </c>
      <c r="F258" s="122">
        <f t="shared" si="41"/>
        <v>-4.7200431789632159E-3</v>
      </c>
      <c r="G258" s="122">
        <f t="shared" si="42"/>
        <v>0.52381249313463285</v>
      </c>
      <c r="H258" s="122">
        <f t="shared" si="43"/>
        <v>6.988041683059297E-2</v>
      </c>
      <c r="I258" s="122">
        <f t="shared" si="44"/>
        <v>0.52338828918123603</v>
      </c>
      <c r="J258" s="122">
        <f t="shared" si="45"/>
        <v>-1.9991812523154465E-2</v>
      </c>
      <c r="K258" s="122">
        <f t="shared" si="46"/>
        <v>8.9872229353747432E-2</v>
      </c>
      <c r="Y258" s="126">
        <f>IF($Z$1, C258, -0.2)</f>
        <v>-0.2</v>
      </c>
    </row>
    <row r="259" spans="2:25" x14ac:dyDescent="0.3">
      <c r="B259" s="122">
        <v>0.52674428252830463</v>
      </c>
      <c r="C259" s="122">
        <f t="shared" si="38"/>
        <v>2.492847433520462E-2</v>
      </c>
      <c r="D259" s="126">
        <f t="shared" si="39"/>
        <v>4.4918307535071783E-2</v>
      </c>
      <c r="E259" s="122">
        <f t="shared" si="40"/>
        <v>-5.3488565056609262E-3</v>
      </c>
      <c r="F259" s="122">
        <f t="shared" si="41"/>
        <v>-5.3488054958009054E-3</v>
      </c>
      <c r="G259" s="122">
        <f t="shared" si="42"/>
        <v>0.5269845406728868</v>
      </c>
      <c r="H259" s="122">
        <f t="shared" si="43"/>
        <v>6.9846139321702388E-2</v>
      </c>
      <c r="I259" s="122">
        <f t="shared" si="44"/>
        <v>0.52650402438372246</v>
      </c>
      <c r="J259" s="122">
        <f t="shared" si="45"/>
        <v>-1.9989190651293155E-2</v>
      </c>
      <c r="K259" s="122">
        <f t="shared" si="46"/>
        <v>8.9835329972995551E-2</v>
      </c>
      <c r="Y259" s="126">
        <f>IF($Z$1, C259, -0.2)</f>
        <v>-0.2</v>
      </c>
    </row>
    <row r="260" spans="2:25" x14ac:dyDescent="0.3">
      <c r="B260" s="122">
        <v>0.5298871138442306</v>
      </c>
      <c r="C260" s="122">
        <f t="shared" si="38"/>
        <v>2.4910676042606203E-2</v>
      </c>
      <c r="D260" s="126">
        <f t="shared" si="39"/>
        <v>4.4897610478402343E-2</v>
      </c>
      <c r="E260" s="122">
        <f t="shared" si="40"/>
        <v>-5.9774227688461192E-3</v>
      </c>
      <c r="F260" s="122">
        <f t="shared" si="41"/>
        <v>-5.9773515800980092E-3</v>
      </c>
      <c r="G260" s="122">
        <f t="shared" si="42"/>
        <v>0.53015548104908961</v>
      </c>
      <c r="H260" s="122">
        <f t="shared" si="43"/>
        <v>6.9807484456052477E-2</v>
      </c>
      <c r="I260" s="122">
        <f t="shared" si="44"/>
        <v>0.52961874663937158</v>
      </c>
      <c r="J260" s="122">
        <f t="shared" si="45"/>
        <v>-1.9986132370840071E-2</v>
      </c>
      <c r="K260" s="122">
        <f t="shared" si="46"/>
        <v>8.9793616826892547E-2</v>
      </c>
      <c r="Y260" s="126">
        <f>IF($Z$1, C260, -0.2)</f>
        <v>-0.2</v>
      </c>
    </row>
    <row r="261" spans="2:25" x14ac:dyDescent="0.3">
      <c r="B261" s="122">
        <v>0.53302876053432768</v>
      </c>
      <c r="C261" s="122">
        <f t="shared" si="38"/>
        <v>2.4890910097756604E-2</v>
      </c>
      <c r="D261" s="126">
        <f t="shared" si="39"/>
        <v>4.487450299922166E-2</v>
      </c>
      <c r="E261" s="122">
        <f t="shared" si="40"/>
        <v>-6.6057521068655367E-3</v>
      </c>
      <c r="F261" s="122">
        <f t="shared" si="41"/>
        <v>-6.6056560266008462E-3</v>
      </c>
      <c r="G261" s="122">
        <f t="shared" si="42"/>
        <v>0.53332518390977046</v>
      </c>
      <c r="H261" s="122">
        <f t="shared" si="43"/>
        <v>6.9764434057990043E-2</v>
      </c>
      <c r="I261" s="122">
        <f t="shared" si="44"/>
        <v>0.53273233715888491</v>
      </c>
      <c r="J261" s="122">
        <f t="shared" si="45"/>
        <v>-1.9982613862476836E-2</v>
      </c>
      <c r="K261" s="122">
        <f t="shared" si="46"/>
        <v>8.974704792046688E-2</v>
      </c>
      <c r="Y261" s="126">
        <f>IF($Z$1, C261, -0.2)</f>
        <v>-0.2</v>
      </c>
    </row>
    <row r="262" spans="2:25" x14ac:dyDescent="0.3">
      <c r="B262" s="122">
        <v>0.53616909807416602</v>
      </c>
      <c r="C262" s="122">
        <f t="shared" si="38"/>
        <v>2.4869179634450136E-2</v>
      </c>
      <c r="D262" s="126">
        <f t="shared" si="39"/>
        <v>4.4848964461150269E-2</v>
      </c>
      <c r="E262" s="122">
        <f t="shared" si="40"/>
        <v>-7.2338196148332042E-3</v>
      </c>
      <c r="F262" s="122">
        <f t="shared" si="41"/>
        <v>-7.2336934413377912E-3</v>
      </c>
      <c r="G262" s="122">
        <f t="shared" si="42"/>
        <v>0.5364935189049308</v>
      </c>
      <c r="H262" s="122">
        <f t="shared" si="43"/>
        <v>6.9716970710065954E-2</v>
      </c>
      <c r="I262" s="122">
        <f t="shared" si="44"/>
        <v>0.53584467724340124</v>
      </c>
      <c r="J262" s="122">
        <f t="shared" si="45"/>
        <v>-1.9978611441165681E-2</v>
      </c>
      <c r="K262" s="122">
        <f t="shared" si="46"/>
        <v>8.9695582151231634E-2</v>
      </c>
      <c r="Y262" s="126">
        <f>IF($Z$1, C262, -0.2)</f>
        <v>-0.2</v>
      </c>
    </row>
    <row r="263" spans="2:25" x14ac:dyDescent="0.3">
      <c r="B263" s="122">
        <v>0.5393080019912061</v>
      </c>
      <c r="C263" s="122">
        <f t="shared" si="38"/>
        <v>2.4845488097945935E-2</v>
      </c>
      <c r="D263" s="126">
        <f t="shared" si="39"/>
        <v>4.4820974674268294E-2</v>
      </c>
      <c r="E263" s="122">
        <f t="shared" si="40"/>
        <v>-7.8616003982412194E-3</v>
      </c>
      <c r="F263" s="122">
        <f t="shared" si="41"/>
        <v>-7.8614384428028518E-3</v>
      </c>
      <c r="G263" s="122">
        <f t="shared" si="42"/>
        <v>0.53966035569515491</v>
      </c>
      <c r="H263" s="122">
        <f t="shared" si="43"/>
        <v>6.9665077761604327E-2</v>
      </c>
      <c r="I263" s="122">
        <f t="shared" si="44"/>
        <v>0.53895564828725728</v>
      </c>
      <c r="J263" s="122">
        <f t="shared" si="45"/>
        <v>-1.997410156571245E-2</v>
      </c>
      <c r="K263" s="122">
        <f t="shared" si="46"/>
        <v>8.963917932731677E-2</v>
      </c>
      <c r="Y263" s="126">
        <f>IF($Z$1, C263, -0.2)</f>
        <v>-0.2</v>
      </c>
    </row>
    <row r="264" spans="2:25" x14ac:dyDescent="0.3">
      <c r="B264" s="122">
        <v>0.54244534786973198</v>
      </c>
      <c r="C264" s="122">
        <f t="shared" si="38"/>
        <v>2.4819839244421743E-2</v>
      </c>
      <c r="D264" s="126">
        <f t="shared" si="39"/>
        <v>4.4790513904045759E-2</v>
      </c>
      <c r="E264" s="122">
        <f t="shared" si="40"/>
        <v>-8.4890695739463957E-3</v>
      </c>
      <c r="F264" s="122">
        <f t="shared" si="41"/>
        <v>-8.4888656631379907E-3</v>
      </c>
      <c r="G264" s="122">
        <f t="shared" si="42"/>
        <v>0.54282556395875947</v>
      </c>
      <c r="H264" s="122">
        <f t="shared" si="43"/>
        <v>6.9608739337125081E-2</v>
      </c>
      <c r="I264" s="122">
        <f t="shared" si="44"/>
        <v>0.54206513178070448</v>
      </c>
      <c r="J264" s="122">
        <f t="shared" si="45"/>
        <v>-1.9969060848281595E-2</v>
      </c>
      <c r="K264" s="122">
        <f t="shared" si="46"/>
        <v>8.9577800185406675E-2</v>
      </c>
      <c r="Y264" s="126">
        <f>IF($Z$1, C264, -0.2)</f>
        <v>-0.2</v>
      </c>
    </row>
    <row r="265" spans="2:25" x14ac:dyDescent="0.3">
      <c r="B265" s="122">
        <v>0.54558101135578396</v>
      </c>
      <c r="C265" s="122">
        <f t="shared" si="38"/>
        <v>2.4792237140378388E-2</v>
      </c>
      <c r="D265" s="126">
        <f t="shared" si="39"/>
        <v>4.4757562880178334E-2</v>
      </c>
      <c r="E265" s="122">
        <f t="shared" si="40"/>
        <v>-9.1162022711567935E-3</v>
      </c>
      <c r="F265" s="122">
        <f t="shared" si="41"/>
        <v>-9.1159497493144923E-3</v>
      </c>
      <c r="G265" s="122">
        <f t="shared" si="42"/>
        <v>0.54598901339898165</v>
      </c>
      <c r="H265" s="122">
        <f t="shared" si="43"/>
        <v>6.9547940344616657E-2</v>
      </c>
      <c r="I265" s="122">
        <f t="shared" si="44"/>
        <v>0.54517300931258628</v>
      </c>
      <c r="J265" s="122">
        <f t="shared" si="45"/>
        <v>-1.9963466063859885E-2</v>
      </c>
      <c r="K265" s="122">
        <f t="shared" si="46"/>
        <v>8.9511406408476546E-2</v>
      </c>
      <c r="Y265" s="126">
        <f>IF($Z$1, C265, -0.2)</f>
        <v>-0.2</v>
      </c>
    </row>
    <row r="266" spans="2:25" x14ac:dyDescent="0.3">
      <c r="B266" s="122">
        <v>0.54871486816208614</v>
      </c>
      <c r="C266" s="122">
        <f t="shared" si="38"/>
        <v>2.4762686161995059E-2</v>
      </c>
      <c r="D266" s="126">
        <f t="shared" si="39"/>
        <v>4.4722102805324994E-2</v>
      </c>
      <c r="E266" s="122">
        <f t="shared" si="40"/>
        <v>-9.74297363241723E-3</v>
      </c>
      <c r="F266" s="122">
        <f t="shared" si="41"/>
        <v>-9.7426653643123765E-3</v>
      </c>
      <c r="G266" s="122">
        <f t="shared" si="42"/>
        <v>0.54915057375120224</v>
      </c>
      <c r="H266" s="122">
        <f t="shared" si="43"/>
        <v>6.9482666483655198E-2</v>
      </c>
      <c r="I266" s="122">
        <f t="shared" si="44"/>
        <v>0.54827916257297005</v>
      </c>
      <c r="J266" s="122">
        <f t="shared" si="45"/>
        <v>-1.9957294159665084E-2</v>
      </c>
      <c r="K266" s="122">
        <f t="shared" si="46"/>
        <v>8.9439960643320285E-2</v>
      </c>
      <c r="Y266" s="126">
        <f>IF($Z$1, C266, -0.2)</f>
        <v>-0.2</v>
      </c>
    </row>
    <row r="267" spans="2:25" x14ac:dyDescent="0.3">
      <c r="B267" s="122">
        <v>0.55184679407297388</v>
      </c>
      <c r="C267" s="122">
        <f t="shared" si="38"/>
        <v>2.4731190994435465E-2</v>
      </c>
      <c r="D267" s="126">
        <f t="shared" si="39"/>
        <v>4.4684115363744448E-2</v>
      </c>
      <c r="E267" s="122">
        <f t="shared" si="40"/>
        <v>-1.0369358814594776E-2</v>
      </c>
      <c r="F267" s="122">
        <f t="shared" si="41"/>
        <v>-1.0368987188298802E-2</v>
      </c>
      <c r="G267" s="122">
        <f t="shared" si="42"/>
        <v>0.55231011479020653</v>
      </c>
      <c r="H267" s="122">
        <f t="shared" si="43"/>
        <v>6.9412904253367297E-2</v>
      </c>
      <c r="I267" s="122">
        <f t="shared" si="44"/>
        <v>0.55138347335574123</v>
      </c>
      <c r="J267" s="122">
        <f t="shared" si="45"/>
        <v>-1.9950522264496375E-2</v>
      </c>
      <c r="K267" s="122">
        <f t="shared" si="46"/>
        <v>8.9363426517863678E-2</v>
      </c>
      <c r="Y267" s="126">
        <f>IF($Z$1, C267, -0.2)</f>
        <v>-0.2</v>
      </c>
    </row>
    <row r="268" spans="2:25" x14ac:dyDescent="0.3">
      <c r="B268" s="122">
        <v>0.55497666494931641</v>
      </c>
      <c r="C268" s="122">
        <f t="shared" si="38"/>
        <v>2.4697756631105062E-2</v>
      </c>
      <c r="D268" s="126">
        <f t="shared" si="39"/>
        <v>4.4643582729826985E-2</v>
      </c>
      <c r="E268" s="122">
        <f t="shared" si="40"/>
        <v>-1.0995332989863283E-2</v>
      </c>
      <c r="F268" s="122">
        <f t="shared" si="41"/>
        <v>-1.099488991980444E-2</v>
      </c>
      <c r="G268" s="122">
        <f t="shared" si="42"/>
        <v>0.5554675063374771</v>
      </c>
      <c r="H268" s="122">
        <f t="shared" si="43"/>
        <v>6.9338640960232942E-2</v>
      </c>
      <c r="I268" s="122">
        <f t="shared" si="44"/>
        <v>0.55448582356115572</v>
      </c>
      <c r="J268" s="122">
        <f t="shared" si="45"/>
        <v>-1.9943127698022815E-2</v>
      </c>
      <c r="K268" s="122">
        <f t="shared" si="46"/>
        <v>8.9281768658255753E-2</v>
      </c>
      <c r="Y268" s="126">
        <f>IF($Z$1, C268, -0.2)</f>
        <v>-0.2</v>
      </c>
    </row>
    <row r="269" spans="2:25" x14ac:dyDescent="0.3">
      <c r="B269" s="122">
        <v>0.55810435673343828</v>
      </c>
      <c r="C269" s="122">
        <f t="shared" si="38"/>
        <v>2.4662388372859334E-2</v>
      </c>
      <c r="D269" s="126">
        <f t="shared" si="39"/>
        <v>4.4600487576518424E-2</v>
      </c>
      <c r="E269" s="122">
        <f t="shared" si="40"/>
        <v>-1.1620871346687656E-2</v>
      </c>
      <c r="F269" s="122">
        <f t="shared" si="41"/>
        <v>-1.1620348276898448E-2</v>
      </c>
      <c r="G269" s="122">
        <f t="shared" si="42"/>
        <v>0.55862261826852189</v>
      </c>
      <c r="H269" s="122">
        <f t="shared" si="43"/>
        <v>6.9259864725725165E-2</v>
      </c>
      <c r="I269" s="122">
        <f t="shared" si="44"/>
        <v>0.55758609519835467</v>
      </c>
      <c r="J269" s="122">
        <f t="shared" si="45"/>
        <v>-1.9935087980006497E-2</v>
      </c>
      <c r="K269" s="122">
        <f t="shared" si="46"/>
        <v>8.9194952705731662E-2</v>
      </c>
      <c r="Y269" s="126">
        <f>IF($Z$1, C269, -0.2)</f>
        <v>-0.2</v>
      </c>
    </row>
    <row r="270" spans="2:25" x14ac:dyDescent="0.3">
      <c r="B270" s="122">
        <v>0.56122974545403514</v>
      </c>
      <c r="C270" s="122">
        <f t="shared" si="38"/>
        <v>2.4625091827163409E-2</v>
      </c>
      <c r="D270" s="126">
        <f t="shared" si="39"/>
        <v>4.4554813083633155E-2</v>
      </c>
      <c r="E270" s="122">
        <f t="shared" si="40"/>
        <v>-1.2245949090807029E-2</v>
      </c>
      <c r="F270" s="122">
        <f t="shared" si="41"/>
        <v>-1.2245336998361145E-2</v>
      </c>
      <c r="G270" s="122">
        <f t="shared" si="42"/>
        <v>0.56177532052023105</v>
      </c>
      <c r="H270" s="122">
        <f t="shared" si="43"/>
        <v>6.9176564493783899E-2</v>
      </c>
      <c r="I270" s="122">
        <f t="shared" si="44"/>
        <v>0.56068417038783924</v>
      </c>
      <c r="J270" s="122">
        <f t="shared" si="45"/>
        <v>-1.9926380839457088E-2</v>
      </c>
      <c r="K270" s="122">
        <f t="shared" si="46"/>
        <v>8.9102945333240993E-2</v>
      </c>
      <c r="Y270" s="126">
        <f>IF($Z$1, C270, -0.2)</f>
        <v>-0.2</v>
      </c>
    </row>
    <row r="271" spans="2:25" x14ac:dyDescent="0.3">
      <c r="B271" s="122">
        <v>0.5643527072310891</v>
      </c>
      <c r="C271" s="122">
        <f t="shared" si="38"/>
        <v>2.4585872907202974E-2</v>
      </c>
      <c r="D271" s="126">
        <f t="shared" si="39"/>
        <v>4.4506542946052857E-2</v>
      </c>
      <c r="E271" s="122">
        <f t="shared" si="40"/>
        <v>-1.2870541446217821E-2</v>
      </c>
      <c r="F271" s="122">
        <f t="shared" si="41"/>
        <v>-1.2869830844855264E-2</v>
      </c>
      <c r="G271" s="122">
        <f t="shared" si="42"/>
        <v>0.56492548309826773</v>
      </c>
      <c r="H271" s="122">
        <f t="shared" si="43"/>
        <v>6.9088730038120147E-2</v>
      </c>
      <c r="I271" s="122">
        <f t="shared" si="44"/>
        <v>0.56377993136391047</v>
      </c>
      <c r="J271" s="122">
        <f t="shared" si="45"/>
        <v>-1.9916984223714199E-2</v>
      </c>
      <c r="K271" s="122">
        <f t="shared" si="46"/>
        <v>8.9005714261834346E-2</v>
      </c>
      <c r="Y271" s="126">
        <f>IF($Z$1, C271, -0.2)</f>
        <v>-0.2</v>
      </c>
    </row>
    <row r="272" spans="2:25" x14ac:dyDescent="0.3">
      <c r="B272" s="122">
        <v>0.56747311828077796</v>
      </c>
      <c r="C272" s="122">
        <f t="shared" si="38"/>
        <v>2.4544737830946819E-2</v>
      </c>
      <c r="D272" s="126">
        <f t="shared" si="39"/>
        <v>4.4455661381807898E-2</v>
      </c>
      <c r="E272" s="122">
        <f t="shared" si="40"/>
        <v>-1.3494623656155592E-2</v>
      </c>
      <c r="F272" s="122">
        <f t="shared" si="41"/>
        <v>-1.3493804600094686E-2</v>
      </c>
      <c r="G272" s="122">
        <f t="shared" si="42"/>
        <v>0.56807297608448437</v>
      </c>
      <c r="H272" s="122">
        <f t="shared" si="43"/>
        <v>6.8996351969347905E-2</v>
      </c>
      <c r="I272" s="122">
        <f t="shared" si="44"/>
        <v>0.56687326047707154</v>
      </c>
      <c r="J272" s="122">
        <f t="shared" si="45"/>
        <v>-1.9906876307454264E-2</v>
      </c>
      <c r="K272" s="122">
        <f t="shared" si="46"/>
        <v>8.8903228276802165E-2</v>
      </c>
      <c r="Y272" s="126">
        <f>IF($Z$1, C272, -0.2)</f>
        <v>-0.2</v>
      </c>
    </row>
    <row r="273" spans="2:25" x14ac:dyDescent="0.3">
      <c r="B273" s="122">
        <v>0.57059085492038231</v>
      </c>
      <c r="C273" s="122">
        <f t="shared" si="38"/>
        <v>2.4501693120160956E-2</v>
      </c>
      <c r="D273" s="126">
        <f t="shared" si="39"/>
        <v>4.4402153140038203E-2</v>
      </c>
      <c r="E273" s="122">
        <f t="shared" si="40"/>
        <v>-1.4118170984076462E-2</v>
      </c>
      <c r="F273" s="122">
        <f t="shared" si="41"/>
        <v>-1.4117233072011287E-2</v>
      </c>
      <c r="G273" s="122">
        <f t="shared" si="42"/>
        <v>0.57121766964436926</v>
      </c>
      <c r="H273" s="122">
        <f t="shared" si="43"/>
        <v>6.8899421741940664E-2</v>
      </c>
      <c r="I273" s="122">
        <f t="shared" si="44"/>
        <v>0.56996404019639535</v>
      </c>
      <c r="J273" s="122">
        <f t="shared" si="45"/>
        <v>-1.989603550161876E-2</v>
      </c>
      <c r="K273" s="122">
        <f t="shared" si="46"/>
        <v>8.8795457243559431E-2</v>
      </c>
      <c r="Y273" s="126">
        <f>IF($Z$1, C273, -0.2)</f>
        <v>-0.2</v>
      </c>
    </row>
    <row r="274" spans="2:25" x14ac:dyDescent="0.3">
      <c r="B274" s="122">
        <v>0.57370579357318674</v>
      </c>
      <c r="C274" s="122">
        <f t="shared" si="38"/>
        <v>2.445674559937468E-2</v>
      </c>
      <c r="D274" s="126">
        <f t="shared" si="39"/>
        <v>4.4346003508830535E-2</v>
      </c>
      <c r="E274" s="122">
        <f t="shared" si="40"/>
        <v>-1.4741158714637348E-2</v>
      </c>
      <c r="F274" s="122">
        <f t="shared" si="41"/>
        <v>-1.4740091093919137E-2</v>
      </c>
      <c r="G274" s="122">
        <f t="shared" si="42"/>
        <v>0.57435943403451661</v>
      </c>
      <c r="H274" s="122">
        <f t="shared" si="43"/>
        <v>6.8797931661009559E-2</v>
      </c>
      <c r="I274" s="122">
        <f t="shared" si="44"/>
        <v>0.57305215311185687</v>
      </c>
      <c r="J274" s="122">
        <f t="shared" si="45"/>
        <v>-1.9884440462260195E-2</v>
      </c>
      <c r="K274" s="122">
        <f t="shared" si="46"/>
        <v>8.8682372123269751E-2</v>
      </c>
      <c r="Y274" s="126">
        <f>IF($Z$1, C274, -0.2)</f>
        <v>-0.2</v>
      </c>
    </row>
    <row r="275" spans="2:25" x14ac:dyDescent="0.3">
      <c r="B275" s="122">
        <v>0.57681781077337912</v>
      </c>
      <c r="C275" s="122">
        <f t="shared" si="38"/>
        <v>2.4409902394798535E-2</v>
      </c>
      <c r="D275" s="126">
        <f t="shared" si="39"/>
        <v>4.4287198322929086E-2</v>
      </c>
      <c r="E275" s="122">
        <f t="shared" si="40"/>
        <v>-1.5363562154675825E-2</v>
      </c>
      <c r="F275" s="122">
        <f t="shared" si="41"/>
        <v>-1.5362353525676742E-2</v>
      </c>
      <c r="G275" s="122">
        <f t="shared" si="42"/>
        <v>0.57749813961012386</v>
      </c>
      <c r="H275" s="122">
        <f t="shared" si="43"/>
        <v>6.8691874888899856E-2</v>
      </c>
      <c r="I275" s="122">
        <f t="shared" si="44"/>
        <v>0.57613748193663439</v>
      </c>
      <c r="J275" s="122">
        <f t="shared" si="45"/>
        <v>-1.987207009930279E-2</v>
      </c>
      <c r="K275" s="122">
        <f t="shared" si="46"/>
        <v>8.856394498820265E-2</v>
      </c>
      <c r="Y275" s="126">
        <f>IF($Z$1, C275, -0.2)</f>
        <v>-0.2</v>
      </c>
    </row>
    <row r="276" spans="2:25" x14ac:dyDescent="0.3">
      <c r="B276" s="122">
        <v>0.57992678317094404</v>
      </c>
      <c r="C276" s="122">
        <f t="shared" si="38"/>
        <v>2.4361170933194488E-2</v>
      </c>
      <c r="D276" s="126">
        <f t="shared" si="39"/>
        <v>4.422572397131639E-2</v>
      </c>
      <c r="E276" s="122">
        <f t="shared" si="40"/>
        <v>-1.5985356634188808E-2</v>
      </c>
      <c r="F276" s="122">
        <f t="shared" si="41"/>
        <v>-1.5983995254846509E-2</v>
      </c>
      <c r="G276" s="122">
        <f t="shared" si="42"/>
        <v>0.58063365683251122</v>
      </c>
      <c r="H276" s="122">
        <f t="shared" si="43"/>
        <v>6.8581245451603573E-2</v>
      </c>
      <c r="I276" s="122">
        <f t="shared" si="44"/>
        <v>0.57921990950937685</v>
      </c>
      <c r="J276" s="122">
        <f t="shared" si="45"/>
        <v>-1.9858903585214589E-2</v>
      </c>
      <c r="K276" s="122">
        <f t="shared" si="46"/>
        <v>8.8440149036818155E-2</v>
      </c>
      <c r="Y276" s="126">
        <f>IF($Z$1, C276, -0.2)</f>
        <v>-0.2</v>
      </c>
    </row>
    <row r="277" spans="2:25" x14ac:dyDescent="0.3">
      <c r="B277" s="122">
        <v>0.58303258753655196</v>
      </c>
      <c r="C277" s="122">
        <f t="shared" si="38"/>
        <v>2.4310558940698487E-2</v>
      </c>
      <c r="D277" s="126">
        <f t="shared" si="39"/>
        <v>4.4161567404661643E-2</v>
      </c>
      <c r="E277" s="122">
        <f t="shared" si="40"/>
        <v>-1.6606517507310393E-2</v>
      </c>
      <c r="F277" s="122">
        <f t="shared" si="41"/>
        <v>-1.6604991197851658E-2</v>
      </c>
      <c r="G277" s="122">
        <f t="shared" si="42"/>
        <v>0.58376585627666222</v>
      </c>
      <c r="H277" s="122">
        <f t="shared" si="43"/>
        <v>6.8466038244984734E-2</v>
      </c>
      <c r="I277" s="122">
        <f t="shared" si="44"/>
        <v>0.5822993187964417</v>
      </c>
      <c r="J277" s="122">
        <f t="shared" si="45"/>
        <v>-1.9844920363587752E-2</v>
      </c>
      <c r="K277" s="122">
        <f t="shared" si="46"/>
        <v>8.8310958608572479E-2</v>
      </c>
      <c r="Y277" s="126">
        <f>IF($Z$1, C277, -0.2)</f>
        <v>-0.2</v>
      </c>
    </row>
    <row r="278" spans="2:25" x14ac:dyDescent="0.3">
      <c r="B278" s="122">
        <v>0.58613510076644337</v>
      </c>
      <c r="C278" s="122">
        <f t="shared" si="38"/>
        <v>2.4258074441595463E-2</v>
      </c>
      <c r="D278" s="126">
        <f t="shared" si="39"/>
        <v>4.4094716142633203E-2</v>
      </c>
      <c r="E278" s="122">
        <f t="shared" si="40"/>
        <v>-1.7227020153288676E-2</v>
      </c>
      <c r="F278" s="122">
        <f t="shared" si="41"/>
        <v>-1.7225316301130354E-2</v>
      </c>
      <c r="G278" s="122">
        <f t="shared" si="42"/>
        <v>0.58689460863878584</v>
      </c>
      <c r="H278" s="122">
        <f t="shared" si="43"/>
        <v>6.834624904081478E-2</v>
      </c>
      <c r="I278" s="122">
        <f t="shared" si="44"/>
        <v>0.5853755928941009</v>
      </c>
      <c r="J278" s="122">
        <f t="shared" si="45"/>
        <v>-1.9830100157623851E-2</v>
      </c>
      <c r="K278" s="122">
        <f t="shared" si="46"/>
        <v>8.8176349198438628E-2</v>
      </c>
      <c r="Y278" s="126">
        <f>IF($Z$1, C278, -0.2)</f>
        <v>-0.2</v>
      </c>
    </row>
    <row r="279" spans="2:25" x14ac:dyDescent="0.3">
      <c r="B279" s="122">
        <v>0.58923419988730874</v>
      </c>
      <c r="C279" s="122">
        <f t="shared" si="38"/>
        <v>2.4203725757047184E-2</v>
      </c>
      <c r="D279" s="126">
        <f t="shared" si="39"/>
        <v>4.4025158281072778E-2</v>
      </c>
      <c r="E279" s="122">
        <f t="shared" si="40"/>
        <v>-1.784683997746175E-2</v>
      </c>
      <c r="F279" s="122">
        <f t="shared" si="41"/>
        <v>-1.7844945542287206E-2</v>
      </c>
      <c r="G279" s="122">
        <f t="shared" si="42"/>
        <v>0.59001978474389649</v>
      </c>
      <c r="H279" s="122">
        <f t="shared" si="43"/>
        <v>6.8221874492615464E-2</v>
      </c>
      <c r="I279" s="122">
        <f t="shared" si="44"/>
        <v>0.58844861503072099</v>
      </c>
      <c r="J279" s="122">
        <f t="shared" si="45"/>
        <v>-1.9814422978521096E-2</v>
      </c>
      <c r="K279" s="122">
        <f t="shared" si="46"/>
        <v>8.803629747113656E-2</v>
      </c>
      <c r="Y279" s="126">
        <f>IF($Z$1, C279, -0.2)</f>
        <v>-0.2</v>
      </c>
    </row>
    <row r="280" spans="2:25" x14ac:dyDescent="0.3">
      <c r="B280" s="122">
        <v>0.59232976206116217</v>
      </c>
      <c r="C280" s="122">
        <f t="shared" si="38"/>
        <v>2.4147521503772917E-2</v>
      </c>
      <c r="D280" s="126">
        <f t="shared" si="39"/>
        <v>4.3952882499027977E-2</v>
      </c>
      <c r="E280" s="122">
        <f t="shared" si="40"/>
        <v>-1.8465952412232433E-2</v>
      </c>
      <c r="F280" s="122">
        <f t="shared" si="41"/>
        <v>-1.8463853931241583E-2</v>
      </c>
      <c r="G280" s="122">
        <f t="shared" si="42"/>
        <v>0.59314125555341179</v>
      </c>
      <c r="H280" s="122">
        <f t="shared" si="43"/>
        <v>6.8092912141306181E-2</v>
      </c>
      <c r="I280" s="122">
        <f t="shared" si="44"/>
        <v>0.59151826856891254</v>
      </c>
      <c r="J280" s="122">
        <f t="shared" si="45"/>
        <v>-1.9797869133760346E-2</v>
      </c>
      <c r="K280" s="122">
        <f t="shared" si="46"/>
        <v>8.7890781275066526E-2</v>
      </c>
      <c r="Y280" s="126">
        <f>IF($Z$1, C280, -0.2)</f>
        <v>-0.2</v>
      </c>
    </row>
    <row r="281" spans="2:25" x14ac:dyDescent="0.3">
      <c r="B281" s="122">
        <v>0.59542166459021073</v>
      </c>
      <c r="C281" s="122">
        <f t="shared" si="38"/>
        <v>2.4089470592683335E-2</v>
      </c>
      <c r="D281" s="126">
        <f t="shared" si="39"/>
        <v>4.3877878065640738E-2</v>
      </c>
      <c r="E281" s="122">
        <f t="shared" si="40"/>
        <v>-1.9084332918042148E-2</v>
      </c>
      <c r="F281" s="122">
        <f t="shared" si="41"/>
        <v>-1.9082016511373163E-2</v>
      </c>
      <c r="G281" s="122">
        <f t="shared" si="42"/>
        <v>0.59625889217276551</v>
      </c>
      <c r="H281" s="122">
        <f t="shared" si="43"/>
        <v>6.7959360420653564E-2</v>
      </c>
      <c r="I281" s="122">
        <f t="shared" si="44"/>
        <v>0.59458443700765595</v>
      </c>
      <c r="J281" s="122">
        <f t="shared" si="45"/>
        <v>-1.9780419235286895E-2</v>
      </c>
      <c r="K281" s="122">
        <f t="shared" si="46"/>
        <v>8.7739779655940459E-2</v>
      </c>
      <c r="Y281" s="126">
        <f>IF($Z$1, C281, -0.2)</f>
        <v>-0.2</v>
      </c>
    </row>
    <row r="282" spans="2:25" x14ac:dyDescent="0.3">
      <c r="B282" s="122">
        <v>0.59850978492171769</v>
      </c>
      <c r="C282" s="122">
        <f t="shared" si="38"/>
        <v>2.4029582227467695E-2</v>
      </c>
      <c r="D282" s="126">
        <f t="shared" si="39"/>
        <v>4.3800134846888661E-2</v>
      </c>
      <c r="E282" s="122">
        <f t="shared" si="40"/>
        <v>-1.970195698434354E-2</v>
      </c>
      <c r="F282" s="122">
        <f t="shared" si="41"/>
        <v>-1.9699408360664174E-2</v>
      </c>
      <c r="G282" s="122">
        <f t="shared" si="42"/>
        <v>0.59937256585903509</v>
      </c>
      <c r="H282" s="122">
        <f t="shared" si="43"/>
        <v>6.7821218662520361E-2</v>
      </c>
      <c r="I282" s="122">
        <f t="shared" si="44"/>
        <v>0.59764700398440029</v>
      </c>
      <c r="J282" s="122">
        <f t="shared" si="45"/>
        <v>-1.9762054207584968E-2</v>
      </c>
      <c r="K282" s="122">
        <f t="shared" si="46"/>
        <v>8.7583272870105325E-2</v>
      </c>
      <c r="Y282" s="126">
        <f>IF($Z$1, C282, -0.2)</f>
        <v>-0.2</v>
      </c>
    </row>
    <row r="283" spans="2:25" x14ac:dyDescent="0.3">
      <c r="B283" s="122">
        <v>0.60159400065285995</v>
      </c>
      <c r="C283" s="122">
        <f t="shared" si="38"/>
        <v>2.3967865903134673E-2</v>
      </c>
      <c r="D283" s="126">
        <f t="shared" si="39"/>
        <v>4.3719643312176509E-2</v>
      </c>
      <c r="E283" s="122">
        <f t="shared" si="40"/>
        <v>-2.0318800130571992E-2</v>
      </c>
      <c r="F283" s="122">
        <f t="shared" si="41"/>
        <v>-2.0316004592838461E-2</v>
      </c>
      <c r="G283" s="122">
        <f t="shared" si="42"/>
        <v>0.60248214802858102</v>
      </c>
      <c r="H283" s="122">
        <f t="shared" si="43"/>
        <v>6.7678487101911294E-2</v>
      </c>
      <c r="I283" s="122">
        <f t="shared" si="44"/>
        <v>0.60070585327713888</v>
      </c>
      <c r="J283" s="122">
        <f t="shared" si="45"/>
        <v>-1.9742755295641946E-2</v>
      </c>
      <c r="K283" s="122">
        <f t="shared" si="46"/>
        <v>8.7421242397553237E-2</v>
      </c>
      <c r="Y283" s="126">
        <f>IF($Z$1, C283, -0.2)</f>
        <v>-0.2</v>
      </c>
    </row>
    <row r="284" spans="2:25" x14ac:dyDescent="0.3">
      <c r="B284" s="122">
        <v>0.60467418953558016</v>
      </c>
      <c r="C284" s="122">
        <f t="shared" si="38"/>
        <v>2.3904331404506946E-2</v>
      </c>
      <c r="D284" s="126">
        <f t="shared" si="39"/>
        <v>4.3636394540775246E-2</v>
      </c>
      <c r="E284" s="122">
        <f t="shared" si="40"/>
        <v>-2.0934837907116033E-2</v>
      </c>
      <c r="F284" s="122">
        <f t="shared" si="41"/>
        <v>-2.0931780358497295E-2</v>
      </c>
      <c r="G284" s="122">
        <f t="shared" si="42"/>
        <v>0.60558751026469804</v>
      </c>
      <c r="H284" s="122">
        <f t="shared" si="43"/>
        <v>6.7531166881813376E-2</v>
      </c>
      <c r="I284" s="122">
        <f t="shared" si="44"/>
        <v>0.60376086880646229</v>
      </c>
      <c r="J284" s="122">
        <f t="shared" si="45"/>
        <v>-1.9722504072799487E-2</v>
      </c>
      <c r="K284" s="122">
        <f t="shared" si="46"/>
        <v>8.7253670954612866E-2</v>
      </c>
      <c r="Y284" s="126">
        <f>IF($Z$1, C284, -0.2)</f>
        <v>-0.2</v>
      </c>
    </row>
    <row r="285" spans="2:25" x14ac:dyDescent="0.3">
      <c r="B285" s="122">
        <v>0.60775022948143098</v>
      </c>
      <c r="C285" s="122">
        <f t="shared" si="38"/>
        <v>2.3838988804669899E-2</v>
      </c>
      <c r="D285" s="126">
        <f t="shared" si="39"/>
        <v>4.3550380228105853E-2</v>
      </c>
      <c r="E285" s="122">
        <f t="shared" si="40"/>
        <v>-2.1550045896286198E-2</v>
      </c>
      <c r="F285" s="122">
        <f t="shared" si="41"/>
        <v>-2.1546710846251461E-2</v>
      </c>
      <c r="G285" s="122">
        <f t="shared" si="42"/>
        <v>0.60868852432527332</v>
      </c>
      <c r="H285" s="122">
        <f t="shared" si="43"/>
        <v>6.7379260057828294E-2</v>
      </c>
      <c r="I285" s="122">
        <f t="shared" si="44"/>
        <v>0.60681193463758865</v>
      </c>
      <c r="J285" s="122">
        <f t="shared" si="45"/>
        <v>-1.9701282448488504E-2</v>
      </c>
      <c r="K285" s="122">
        <f t="shared" si="46"/>
        <v>8.7080542506316805E-2</v>
      </c>
      <c r="Y285" s="126">
        <f>IF($Z$1, C285, -0.2)</f>
        <v>-0.2</v>
      </c>
    </row>
    <row r="286" spans="2:25" x14ac:dyDescent="0.3">
      <c r="B286" s="122">
        <v>0.61082199856641595</v>
      </c>
      <c r="C286" s="122">
        <f t="shared" si="38"/>
        <v>2.3771848463374531E-2</v>
      </c>
      <c r="D286" s="126">
        <f t="shared" si="39"/>
        <v>4.3461592691865336E-2</v>
      </c>
      <c r="E286" s="122">
        <f t="shared" si="40"/>
        <v>-2.2164399713283191E-2</v>
      </c>
      <c r="F286" s="122">
        <f t="shared" si="41"/>
        <v>-2.2160771283850345E-2</v>
      </c>
      <c r="G286" s="122">
        <f t="shared" si="42"/>
        <v>0.61178506215045592</v>
      </c>
      <c r="H286" s="122">
        <f t="shared" si="43"/>
        <v>6.7222769602594337E-2</v>
      </c>
      <c r="I286" s="122">
        <f t="shared" si="44"/>
        <v>0.60985893498237598</v>
      </c>
      <c r="J286" s="122">
        <f t="shared" si="45"/>
        <v>-1.9679072675845274E-2</v>
      </c>
      <c r="K286" s="122">
        <f t="shared" si="46"/>
        <v>8.6901842278439612E-2</v>
      </c>
      <c r="Y286" s="126">
        <f>IF($Z$1, C286, -0.2)</f>
        <v>-0.2</v>
      </c>
    </row>
    <row r="287" spans="2:25" x14ac:dyDescent="0.3">
      <c r="B287" s="122">
        <v>0.61388937503582108</v>
      </c>
      <c r="C287" s="122">
        <f t="shared" si="38"/>
        <v>2.3702921025395007E-2</v>
      </c>
      <c r="D287" s="126">
        <f t="shared" si="39"/>
        <v>4.337002487799238E-2</v>
      </c>
      <c r="E287" s="122">
        <f t="shared" si="40"/>
        <v>-2.2777875007164217E-2</v>
      </c>
      <c r="F287" s="122">
        <f t="shared" si="41"/>
        <v>-2.2773936939306887E-2</v>
      </c>
      <c r="G287" s="122">
        <f t="shared" si="42"/>
        <v>0.61487699587032885</v>
      </c>
      <c r="H287" s="122">
        <f t="shared" si="43"/>
        <v>6.706169940999579E-2</v>
      </c>
      <c r="I287" s="122">
        <f t="shared" si="44"/>
        <v>0.61290175420131332</v>
      </c>
      <c r="J287" s="122">
        <f t="shared" si="45"/>
        <v>-1.9655857359205775E-2</v>
      </c>
      <c r="K287" s="122">
        <f t="shared" si="46"/>
        <v>8.6717556769201565E-2</v>
      </c>
      <c r="Y287" s="126">
        <f>IF($Z$1, C287, -0.2)</f>
        <v>-0.2</v>
      </c>
    </row>
    <row r="288" spans="2:25" x14ac:dyDescent="0.3">
      <c r="B288" s="122">
        <v>0.61695223730904103</v>
      </c>
      <c r="C288" s="122">
        <f t="shared" si="38"/>
        <v>2.3632217418840973E-2</v>
      </c>
      <c r="D288" s="126">
        <f t="shared" si="39"/>
        <v>4.3275670366470141E-2</v>
      </c>
      <c r="E288" s="122">
        <f t="shared" si="40"/>
        <v>-2.3390447461808208E-2</v>
      </c>
      <c r="F288" s="122">
        <f t="shared" si="41"/>
        <v>-2.3386183122019059E-2</v>
      </c>
      <c r="G288" s="122">
        <f t="shared" si="42"/>
        <v>0.61796419781258627</v>
      </c>
      <c r="H288" s="122">
        <f t="shared" si="43"/>
        <v>6.6896054299157612E-2</v>
      </c>
      <c r="I288" s="122">
        <f t="shared" si="44"/>
        <v>0.61594027680549579</v>
      </c>
      <c r="J288" s="122">
        <f t="shared" si="45"/>
        <v>-1.9631619461475666E-2</v>
      </c>
      <c r="K288" s="122">
        <f t="shared" si="46"/>
        <v>8.6527673760633278E-2</v>
      </c>
      <c r="Y288" s="126">
        <f>IF($Z$1, C288, -0.2)</f>
        <v>-0.2</v>
      </c>
    </row>
    <row r="289" spans="2:25" x14ac:dyDescent="0.3">
      <c r="B289" s="122">
        <v>0.6200104639843983</v>
      </c>
      <c r="C289" s="122">
        <f t="shared" si="38"/>
        <v>2.3559748853424947E-2</v>
      </c>
      <c r="D289" s="126">
        <f t="shared" si="39"/>
        <v>4.3178523376963547E-2</v>
      </c>
      <c r="E289" s="122">
        <f t="shared" si="40"/>
        <v>-2.4002092796879662E-2</v>
      </c>
      <c r="F289" s="122">
        <f t="shared" si="41"/>
        <v>-2.3997485183887484E-2</v>
      </c>
      <c r="G289" s="122">
        <f t="shared" si="42"/>
        <v>0.62104654051021435</v>
      </c>
      <c r="H289" s="122">
        <f t="shared" si="43"/>
        <v>6.6725840018222821E-2</v>
      </c>
      <c r="I289" s="122">
        <f t="shared" si="44"/>
        <v>0.61897438745858224</v>
      </c>
      <c r="J289" s="122">
        <f t="shared" si="45"/>
        <v>-1.9606342311372919E-2</v>
      </c>
      <c r="K289" s="122">
        <f t="shared" si="46"/>
        <v>8.6332182329595733E-2</v>
      </c>
      <c r="Y289" s="126">
        <f>IF($Z$1, C289, -0.2)</f>
        <v>-0.2</v>
      </c>
    </row>
    <row r="290" spans="2:25" x14ac:dyDescent="0.3">
      <c r="B290" s="122">
        <v>0.62306393384395475</v>
      </c>
      <c r="C290" s="122">
        <f t="shared" si="38"/>
        <v>2.3485526818685071E-2</v>
      </c>
      <c r="D290" s="126">
        <f t="shared" si="39"/>
        <v>4.3078578774288945E-2</v>
      </c>
      <c r="E290" s="122">
        <f t="shared" si="40"/>
        <v>-2.4612786768790952E-2</v>
      </c>
      <c r="F290" s="122">
        <f t="shared" si="41"/>
        <v>-2.4607818520429071E-2</v>
      </c>
      <c r="G290" s="122">
        <f t="shared" si="42"/>
        <v>0.6241238967091709</v>
      </c>
      <c r="H290" s="122">
        <f t="shared" si="43"/>
        <v>6.6551063247910949E-2</v>
      </c>
      <c r="I290" s="122">
        <f t="shared" si="44"/>
        <v>0.62200397097873861</v>
      </c>
      <c r="J290" s="122">
        <f t="shared" si="45"/>
        <v>-1.9580009610540808E-2</v>
      </c>
      <c r="K290" s="122">
        <f t="shared" si="46"/>
        <v>8.6131072858451757E-2</v>
      </c>
      <c r="Y290" s="126">
        <f>IF($Z$1, C290, -0.2)</f>
        <v>-0.2</v>
      </c>
    </row>
    <row r="291" spans="2:25" x14ac:dyDescent="0.3">
      <c r="B291" s="122">
        <v>0.626112525858317</v>
      </c>
      <c r="C291" s="122">
        <f t="shared" si="38"/>
        <v>2.3409563082163534E-2</v>
      </c>
      <c r="D291" s="126">
        <f t="shared" si="39"/>
        <v>4.2975832073713367E-2</v>
      </c>
      <c r="E291" s="122">
        <f t="shared" si="40"/>
        <v>-2.5222505171663401E-2</v>
      </c>
      <c r="F291" s="122">
        <f t="shared" si="41"/>
        <v>-2.5217158571886812E-2</v>
      </c>
      <c r="G291" s="122">
        <f t="shared" si="42"/>
        <v>0.62719613937606644</v>
      </c>
      <c r="H291" s="122">
        <f t="shared" si="43"/>
        <v>6.6371731604855239E-2</v>
      </c>
      <c r="I291" s="122">
        <f t="shared" si="44"/>
        <v>0.62502891234056757</v>
      </c>
      <c r="J291" s="122">
        <f t="shared" si="45"/>
        <v>-1.9552605440528163E-2</v>
      </c>
      <c r="K291" s="122">
        <f t="shared" si="46"/>
        <v>8.5924337045383395E-2</v>
      </c>
      <c r="Y291" s="126">
        <f>IF($Z$1, C291, -0.2)</f>
        <v>-0.2</v>
      </c>
    </row>
    <row r="292" spans="2:25" x14ac:dyDescent="0.3">
      <c r="B292" s="122">
        <v>0.62915611919143311</v>
      </c>
      <c r="C292" s="122">
        <f t="shared" si="38"/>
        <v>2.3331869687540835E-2</v>
      </c>
      <c r="D292" s="126">
        <f t="shared" si="39"/>
        <v>4.2870279446081551E-2</v>
      </c>
      <c r="E292" s="122">
        <f t="shared" si="40"/>
        <v>-2.5831223838286621E-2</v>
      </c>
      <c r="F292" s="122">
        <f t="shared" si="41"/>
        <v>-2.5825480824335296E-2</v>
      </c>
      <c r="G292" s="122">
        <f t="shared" si="42"/>
        <v>0.63026314170584097</v>
      </c>
      <c r="H292" s="122">
        <f t="shared" si="43"/>
        <v>6.6187853644716715E-2</v>
      </c>
      <c r="I292" s="122">
        <f t="shared" si="44"/>
        <v>0.62804909667702524</v>
      </c>
      <c r="J292" s="122">
        <f t="shared" si="45"/>
        <v>-1.9524114269635046E-2</v>
      </c>
      <c r="K292" s="122">
        <f t="shared" si="46"/>
        <v>8.5711967914351761E-2</v>
      </c>
      <c r="Y292" s="126">
        <f>IF($Z$1, C292, -0.2)</f>
        <v>-0.2</v>
      </c>
    </row>
    <row r="293" spans="2:25" x14ac:dyDescent="0.3">
      <c r="B293" s="122">
        <v>0.63219459320538207</v>
      </c>
      <c r="C293" s="122">
        <f t="shared" si="38"/>
        <v>2.325245895272636E-2</v>
      </c>
      <c r="D293" s="126">
        <f t="shared" si="39"/>
        <v>4.2761917722767856E-2</v>
      </c>
      <c r="E293" s="122">
        <f t="shared" si="40"/>
        <v>-2.6438918641076416E-2</v>
      </c>
      <c r="F293" s="122">
        <f t="shared" si="41"/>
        <v>-2.6432760810782083E-2</v>
      </c>
      <c r="G293" s="122">
        <f t="shared" si="42"/>
        <v>0.63332477712943636</v>
      </c>
      <c r="H293" s="122">
        <f t="shared" si="43"/>
        <v>6.5999438865073118E-2</v>
      </c>
      <c r="I293" s="122">
        <f t="shared" si="44"/>
        <v>0.63106440928132779</v>
      </c>
      <c r="J293" s="122">
        <f t="shared" si="45"/>
        <v>-1.9494520959620398E-2</v>
      </c>
      <c r="K293" s="122">
        <f t="shared" si="46"/>
        <v>8.5493959824693516E-2</v>
      </c>
      <c r="Y293" s="126">
        <f>IF($Z$1, C293, -0.2)</f>
        <v>-0.2</v>
      </c>
    </row>
    <row r="294" spans="2:25" x14ac:dyDescent="0.3">
      <c r="B294" s="122">
        <v>0.63522782746515594</v>
      </c>
      <c r="C294" s="122">
        <f t="shared" si="38"/>
        <v>2.3171343467905406E-2</v>
      </c>
      <c r="D294" s="126">
        <f t="shared" si="39"/>
        <v>4.2650744400451406E-2</v>
      </c>
      <c r="E294" s="122">
        <f t="shared" si="40"/>
        <v>-2.7045565493031189E-2</v>
      </c>
      <c r="F294" s="122">
        <f t="shared" si="41"/>
        <v>-2.7038974112264875E-2</v>
      </c>
      <c r="G294" s="122">
        <f t="shared" si="42"/>
        <v>0.63638091932146412</v>
      </c>
      <c r="H294" s="122">
        <f t="shared" si="43"/>
        <v>6.5806497708080891E-2</v>
      </c>
      <c r="I294" s="122">
        <f t="shared" si="44"/>
        <v>0.63407473560884775</v>
      </c>
      <c r="J294" s="122">
        <f t="shared" si="45"/>
        <v>-1.9463810772270072E-2</v>
      </c>
      <c r="K294" s="122">
        <f t="shared" si="46"/>
        <v>8.5270308480350956E-2</v>
      </c>
      <c r="Y294" s="126">
        <f>IF($Z$1, C294, -0.2)</f>
        <v>-0.2</v>
      </c>
    </row>
    <row r="295" spans="2:25" x14ac:dyDescent="0.3">
      <c r="B295" s="122">
        <v>0.63825570174343316</v>
      </c>
      <c r="C295" s="122">
        <f t="shared" si="38"/>
        <v>2.3088536093543083E-2</v>
      </c>
      <c r="D295" s="126">
        <f t="shared" si="39"/>
        <v>4.2536757645711985E-2</v>
      </c>
      <c r="E295" s="122">
        <f t="shared" si="40"/>
        <v>-2.7651140348686633E-2</v>
      </c>
      <c r="F295" s="122">
        <f t="shared" si="41"/>
        <v>-2.7644096358944239E-2</v>
      </c>
      <c r="G295" s="122">
        <f t="shared" si="42"/>
        <v>0.63943144220786363</v>
      </c>
      <c r="H295" s="122">
        <f t="shared" si="43"/>
        <v>6.5609041562908532E-2</v>
      </c>
      <c r="I295" s="122">
        <f t="shared" si="44"/>
        <v>0.63707996127900268</v>
      </c>
      <c r="J295" s="122">
        <f t="shared" si="45"/>
        <v>-1.9431969375822374E-2</v>
      </c>
      <c r="K295" s="122">
        <f t="shared" si="46"/>
        <v>8.5041010938730913E-2</v>
      </c>
      <c r="Y295" s="126">
        <f>IF($Z$1, C295, -0.2)</f>
        <v>-0.2</v>
      </c>
    </row>
    <row r="296" spans="2:25" x14ac:dyDescent="0.3">
      <c r="B296" s="122">
        <v>0.64127809602534369</v>
      </c>
      <c r="C296" s="122">
        <f t="shared" si="38"/>
        <v>2.3004049958345381E-2</v>
      </c>
      <c r="D296" s="126">
        <f t="shared" si="39"/>
        <v>4.2419956299444596E-2</v>
      </c>
      <c r="E296" s="122">
        <f t="shared" si="40"/>
        <v>-2.8255619205068739E-2</v>
      </c>
      <c r="F296" s="122">
        <f t="shared" si="41"/>
        <v>-2.8248103231191795E-2</v>
      </c>
      <c r="G296" s="122">
        <f t="shared" si="42"/>
        <v>0.64247621997355164</v>
      </c>
      <c r="H296" s="122">
        <f t="shared" si="43"/>
        <v>6.5407082767939551E-2</v>
      </c>
      <c r="I296" s="122">
        <f t="shared" si="44"/>
        <v>0.64007997207713574</v>
      </c>
      <c r="J296" s="122">
        <f t="shared" si="45"/>
        <v>-1.9398982851248796E-2</v>
      </c>
      <c r="K296" s="122">
        <f t="shared" si="46"/>
        <v>8.4806065619188353E-2</v>
      </c>
      <c r="Y296" s="126">
        <f>IF($Z$1, C296, -0.2)</f>
        <v>-0.2</v>
      </c>
    </row>
    <row r="297" spans="2:25" x14ac:dyDescent="0.3">
      <c r="B297" s="122">
        <v>0.64429489051322653</v>
      </c>
      <c r="C297" s="122">
        <f t="shared" si="38"/>
        <v>2.29178984571776E-2</v>
      </c>
      <c r="D297" s="126">
        <f t="shared" si="39"/>
        <v>4.2300339881090686E-2</v>
      </c>
      <c r="E297" s="122">
        <f t="shared" si="40"/>
        <v>-2.8858978102645306E-2</v>
      </c>
      <c r="F297" s="122">
        <f t="shared" si="41"/>
        <v>-2.8850970460674051E-2</v>
      </c>
      <c r="G297" s="122">
        <f t="shared" si="42"/>
        <v>0.64551512707005987</v>
      </c>
      <c r="H297" s="122">
        <f t="shared" si="43"/>
        <v>6.5200634612743016E-2</v>
      </c>
      <c r="I297" s="122">
        <f t="shared" si="44"/>
        <v>0.64307465395639318</v>
      </c>
      <c r="J297" s="122">
        <f t="shared" si="45"/>
        <v>-1.9364837698387816E-2</v>
      </c>
      <c r="K297" s="122">
        <f t="shared" si="46"/>
        <v>8.4565472311130832E-2</v>
      </c>
      <c r="Y297" s="126">
        <f>IF($Z$1, C297, -0.2)</f>
        <v>-0.2</v>
      </c>
    </row>
    <row r="298" spans="2:25" x14ac:dyDescent="0.3">
      <c r="B298" s="122">
        <v>0.64730596563137821</v>
      </c>
      <c r="C298" s="122">
        <f t="shared" si="38"/>
        <v>2.2830095248940724E-2</v>
      </c>
      <c r="D298" s="126">
        <f t="shared" si="39"/>
        <v>4.2177908592684034E-2</v>
      </c>
      <c r="E298" s="122">
        <f t="shared" si="40"/>
        <v>-2.9461193126275643E-2</v>
      </c>
      <c r="F298" s="122">
        <f t="shared" si="41"/>
        <v>-2.9452673831431537E-2</v>
      </c>
      <c r="G298" s="122">
        <f t="shared" si="42"/>
        <v>0.64854803822316098</v>
      </c>
      <c r="H298" s="122">
        <f t="shared" si="43"/>
        <v>6.498971133981081E-2</v>
      </c>
      <c r="I298" s="122">
        <f t="shared" si="44"/>
        <v>0.64606389303959544</v>
      </c>
      <c r="J298" s="122">
        <f t="shared" si="45"/>
        <v>-1.9329520841929362E-2</v>
      </c>
      <c r="K298" s="122">
        <f t="shared" si="46"/>
        <v>8.4319232181740172E-2</v>
      </c>
      <c r="Y298" s="126">
        <f>IF($Z$1, C298, -0.2)</f>
        <v>-0.2</v>
      </c>
    </row>
    <row r="299" spans="2:25" x14ac:dyDescent="0.3">
      <c r="B299" s="122">
        <v>0.65031120203079151</v>
      </c>
      <c r="C299" s="122">
        <f t="shared" si="38"/>
        <v>2.2740654254405857E-2</v>
      </c>
      <c r="D299" s="126">
        <f t="shared" si="39"/>
        <v>4.2052663322709315E-2</v>
      </c>
      <c r="E299" s="122">
        <f t="shared" si="40"/>
        <v>-3.0062240406158305E-2</v>
      </c>
      <c r="F299" s="122">
        <f t="shared" si="41"/>
        <v>-3.0053189180952983E-2</v>
      </c>
      <c r="G299" s="122">
        <f t="shared" si="42"/>
        <v>0.65157482844047643</v>
      </c>
      <c r="H299" s="122">
        <f t="shared" si="43"/>
        <v>6.4774328146059532E-2</v>
      </c>
      <c r="I299" s="122">
        <f t="shared" si="44"/>
        <v>0.6490475756211066</v>
      </c>
      <c r="J299" s="122">
        <f t="shared" si="45"/>
        <v>-1.9293019637247819E-2</v>
      </c>
      <c r="K299" s="122">
        <f t="shared" si="46"/>
        <v>8.406734778330735E-2</v>
      </c>
      <c r="Y299" s="126">
        <f>IF($Z$1, C299, -0.2)</f>
        <v>-0.2</v>
      </c>
    </row>
    <row r="300" spans="2:25" x14ac:dyDescent="0.3">
      <c r="B300" s="122">
        <v>0.65331048059388719</v>
      </c>
      <c r="C300" s="122">
        <f t="shared" si="38"/>
        <v>2.2649589654007138E-2</v>
      </c>
      <c r="D300" s="126">
        <f t="shared" si="39"/>
        <v>4.1924605649771463E-2</v>
      </c>
      <c r="E300" s="122">
        <f t="shared" si="40"/>
        <v>-3.0662096118777439E-2</v>
      </c>
      <c r="F300" s="122">
        <f t="shared" si="41"/>
        <v>-3.0652492401245134E-2</v>
      </c>
      <c r="G300" s="122">
        <f t="shared" si="42"/>
        <v>0.65459537301907167</v>
      </c>
      <c r="H300" s="122">
        <f t="shared" si="43"/>
        <v>6.4554501184095739E-2</v>
      </c>
      <c r="I300" s="122">
        <f t="shared" si="44"/>
        <v>0.65202558816870271</v>
      </c>
      <c r="J300" s="122">
        <f t="shared" si="45"/>
        <v>-1.9255321876081463E-2</v>
      </c>
      <c r="K300" s="122">
        <f t="shared" si="46"/>
        <v>8.3809823060177202E-2</v>
      </c>
      <c r="Y300" s="126">
        <f>IF($Z$1, C300, -0.2)</f>
        <v>-0.2</v>
      </c>
    </row>
    <row r="301" spans="2:25" x14ac:dyDescent="0.3">
      <c r="B301" s="122">
        <v>0.65630368243923431</v>
      </c>
      <c r="C301" s="122">
        <f t="shared" si="38"/>
        <v>2.2556915885593498E-2</v>
      </c>
      <c r="D301" s="126">
        <f t="shared" si="39"/>
        <v>4.1793737846074035E-2</v>
      </c>
      <c r="E301" s="122">
        <f t="shared" si="40"/>
        <v>-3.1260736487846864E-2</v>
      </c>
      <c r="F301" s="122">
        <f t="shared" si="41"/>
        <v>-3.1250559439897213E-2</v>
      </c>
      <c r="G301" s="122">
        <f t="shared" si="42"/>
        <v>0.65760954755302869</v>
      </c>
      <c r="H301" s="122">
        <f t="shared" si="43"/>
        <v>6.4330247563243237E-2</v>
      </c>
      <c r="I301" s="122">
        <f t="shared" si="44"/>
        <v>0.65499781732543993</v>
      </c>
      <c r="J301" s="122">
        <f t="shared" si="45"/>
        <v>-1.9216415792056248E-2</v>
      </c>
      <c r="K301" s="122">
        <f t="shared" si="46"/>
        <v>8.3546663355299491E-2</v>
      </c>
      <c r="Y301" s="126">
        <f>IF($Z$1, C301, -0.2)</f>
        <v>-0.2</v>
      </c>
    </row>
    <row r="302" spans="2:25" x14ac:dyDescent="0.3">
      <c r="B302" s="122">
        <v>0.65929068892626308</v>
      </c>
      <c r="C302" s="122">
        <f t="shared" si="38"/>
        <v>2.2462647642139649E-2</v>
      </c>
      <c r="D302" s="126">
        <f t="shared" si="39"/>
        <v>4.1660062880704805E-2</v>
      </c>
      <c r="E302" s="122">
        <f t="shared" si="40"/>
        <v>-3.1858137785252615E-2</v>
      </c>
      <c r="F302" s="122">
        <f t="shared" si="41"/>
        <v>-3.1847366301140774E-2</v>
      </c>
      <c r="G302" s="122">
        <f t="shared" si="42"/>
        <v>0.66061722794100219</v>
      </c>
      <c r="H302" s="122">
        <f t="shared" si="43"/>
        <v>6.4101585350331169E-2</v>
      </c>
      <c r="I302" s="122">
        <f t="shared" si="44"/>
        <v>0.65796414991152397</v>
      </c>
      <c r="J302" s="122">
        <f t="shared" si="45"/>
        <v>-1.9176290066051864E-2</v>
      </c>
      <c r="K302" s="122">
        <f t="shared" si="46"/>
        <v>8.3277875416383026E-2</v>
      </c>
      <c r="Y302" s="126">
        <f>IF($Z$1, C302, -0.2)</f>
        <v>-0.2</v>
      </c>
    </row>
    <row r="303" spans="2:25" x14ac:dyDescent="0.3">
      <c r="B303" s="122">
        <v>0.66227138165996713</v>
      </c>
      <c r="C303" s="122">
        <f t="shared" si="38"/>
        <v>2.2366799869416528E-2</v>
      </c>
      <c r="D303" s="126">
        <f t="shared" si="39"/>
        <v>4.1523584422726724E-2</v>
      </c>
      <c r="E303" s="122">
        <f t="shared" si="40"/>
        <v>-3.245427633199343E-2</v>
      </c>
      <c r="F303" s="122">
        <f t="shared" si="41"/>
        <v>-3.2442889046904386E-2</v>
      </c>
      <c r="G303" s="122">
        <f t="shared" si="42"/>
        <v>0.66361829039375053</v>
      </c>
      <c r="H303" s="122">
        <f t="shared" si="43"/>
        <v>6.3868533570241262E-2</v>
      </c>
      <c r="I303" s="122">
        <f t="shared" si="44"/>
        <v>0.66092447292618373</v>
      </c>
      <c r="J303" s="122">
        <f t="shared" si="45"/>
        <v>-1.9134933831408203E-2</v>
      </c>
      <c r="K303" s="122">
        <f t="shared" si="46"/>
        <v>8.3003467401649461E-2</v>
      </c>
      <c r="Y303" s="126">
        <f>IF($Z$1, C303, -0.2)</f>
        <v>-0.2</v>
      </c>
    </row>
    <row r="304" spans="2:25" x14ac:dyDescent="0.3">
      <c r="B304" s="122">
        <v>0.66524564249559626</v>
      </c>
      <c r="C304" s="122">
        <f t="shared" si="38"/>
        <v>2.2269387763621765E-2</v>
      </c>
      <c r="D304" s="126">
        <f t="shared" si="39"/>
        <v>4.1384306844072925E-2</v>
      </c>
      <c r="E304" s="122">
        <f t="shared" si="40"/>
        <v>-3.304912849911925E-2</v>
      </c>
      <c r="F304" s="122">
        <f t="shared" si="41"/>
        <v>-3.3037103797863066E-2</v>
      </c>
      <c r="G304" s="122">
        <f t="shared" si="42"/>
        <v>0.66661261144164463</v>
      </c>
      <c r="H304" s="122">
        <f t="shared" si="43"/>
        <v>6.3631112206213869E-2</v>
      </c>
      <c r="I304" s="122">
        <f t="shared" si="44"/>
        <v>0.66387867354954788</v>
      </c>
      <c r="J304" s="122">
        <f t="shared" si="45"/>
        <v>-1.9092336678970333E-2</v>
      </c>
      <c r="K304" s="122">
        <f t="shared" si="46"/>
        <v>8.2723448885184195E-2</v>
      </c>
      <c r="Y304" s="126">
        <f>IF($Z$1, C304, -0.2)</f>
        <v>-0.2</v>
      </c>
    </row>
    <row r="305" spans="2:25" x14ac:dyDescent="0.3">
      <c r="B305" s="122">
        <v>0.66821335354333922</v>
      </c>
      <c r="C305" s="122">
        <f t="shared" si="38"/>
        <v>2.217042676897036E-2</v>
      </c>
      <c r="D305" s="126">
        <f t="shared" si="39"/>
        <v>4.1242235222243802E-2</v>
      </c>
      <c r="E305" s="122">
        <f t="shared" si="40"/>
        <v>-3.3642670708667846E-2</v>
      </c>
      <c r="F305" s="122">
        <f t="shared" si="41"/>
        <v>-3.3629986734482732E-2</v>
      </c>
      <c r="G305" s="122">
        <f t="shared" si="42"/>
        <v>0.66960006794215077</v>
      </c>
      <c r="H305" s="122">
        <f t="shared" si="43"/>
        <v>6.3389342199910742E-2</v>
      </c>
      <c r="I305" s="122">
        <f t="shared" si="44"/>
        <v>0.66682663914452767</v>
      </c>
      <c r="J305" s="122">
        <f t="shared" si="45"/>
        <v>-1.904848866197003E-2</v>
      </c>
      <c r="K305" s="122">
        <f t="shared" si="46"/>
        <v>8.2437830861880779E-2</v>
      </c>
      <c r="Y305" s="126">
        <f>IF($Z$1, C305, -0.2)</f>
        <v>-0.2</v>
      </c>
    </row>
    <row r="306" spans="2:25" x14ac:dyDescent="0.3">
      <c r="B306" s="122">
        <v>0.67117439717299676</v>
      </c>
      <c r="C306" s="122">
        <f t="shared" si="38"/>
        <v>2.2069932575246115E-2</v>
      </c>
      <c r="D306" s="126">
        <f t="shared" si="39"/>
        <v>4.1097375342804908E-2</v>
      </c>
      <c r="E306" s="122">
        <f t="shared" si="40"/>
        <v>-3.4234879434599352E-2</v>
      </c>
      <c r="F306" s="122">
        <f t="shared" si="41"/>
        <v>-3.4221514098059222E-2</v>
      </c>
      <c r="G306" s="122">
        <f t="shared" si="42"/>
        <v>0.67258053708728582</v>
      </c>
      <c r="H306" s="122">
        <f t="shared" si="43"/>
        <v>6.3143245451234481E-2</v>
      </c>
      <c r="I306" s="122">
        <f t="shared" si="44"/>
        <v>0.6697682572587077</v>
      </c>
      <c r="J306" s="122">
        <f t="shared" si="45"/>
        <v>-1.9003380300742258E-2</v>
      </c>
      <c r="K306" s="122">
        <f t="shared" si="46"/>
        <v>8.2146625751976746E-2</v>
      </c>
      <c r="Y306" s="126">
        <f>IF($Z$1, C306, -0.2)</f>
        <v>-0.2</v>
      </c>
    </row>
    <row r="307" spans="2:25" x14ac:dyDescent="0.3">
      <c r="B307" s="122">
        <v>0.67412865601864358</v>
      </c>
      <c r="C307" s="122">
        <f t="shared" si="38"/>
        <v>2.196792111531409E-2</v>
      </c>
      <c r="D307" s="126">
        <f t="shared" si="39"/>
        <v>4.0949733701684109E-2</v>
      </c>
      <c r="E307" s="122">
        <f t="shared" si="40"/>
        <v>-3.482573120372872E-2</v>
      </c>
      <c r="F307" s="122">
        <f t="shared" si="41"/>
        <v>-3.4811662191751969E-2</v>
      </c>
      <c r="G307" s="122">
        <f t="shared" si="42"/>
        <v>0.67555389641104302</v>
      </c>
      <c r="H307" s="122">
        <f t="shared" si="43"/>
        <v>6.2892844817902915E-2</v>
      </c>
      <c r="I307" s="122">
        <f t="shared" si="44"/>
        <v>0.67270341562624414</v>
      </c>
      <c r="J307" s="122">
        <f t="shared" si="45"/>
        <v>-1.8957002587274733E-2</v>
      </c>
      <c r="K307" s="122">
        <f t="shared" si="46"/>
        <v>8.1849847405177645E-2</v>
      </c>
      <c r="Y307" s="126">
        <f>IF($Z$1, C307, -0.2)</f>
        <v>-0.2</v>
      </c>
    </row>
    <row r="308" spans="2:25" x14ac:dyDescent="0.3">
      <c r="B308" s="122">
        <v>0.67707601298328102</v>
      </c>
      <c r="C308" s="122">
        <f t="shared" si="38"/>
        <v>2.186440856259449E-2</v>
      </c>
      <c r="D308" s="126">
        <f t="shared" si="39"/>
        <v>4.0799317507266598E-2</v>
      </c>
      <c r="E308" s="122">
        <f t="shared" si="40"/>
        <v>-3.5415202596656203E-2</v>
      </c>
      <c r="F308" s="122">
        <f t="shared" si="41"/>
        <v>-3.5400407381612362E-2</v>
      </c>
      <c r="G308" s="122">
        <f t="shared" si="42"/>
        <v>0.67852002379678811</v>
      </c>
      <c r="H308" s="122">
        <f t="shared" si="43"/>
        <v>6.2638164114778114E-2</v>
      </c>
      <c r="I308" s="122">
        <f t="shared" si="44"/>
        <v>0.67563200216977393</v>
      </c>
      <c r="J308" s="122">
        <f t="shared" si="45"/>
        <v>-1.8909346989589137E-2</v>
      </c>
      <c r="K308" s="122">
        <f t="shared" si="46"/>
        <v>8.1547511104367254E-2</v>
      </c>
      <c r="Y308" s="126">
        <f>IF($Z$1, C308, -0.2)</f>
        <v>-0.2</v>
      </c>
    </row>
    <row r="309" spans="2:25" x14ac:dyDescent="0.3">
      <c r="B309" s="122">
        <v>0.68001635124347781</v>
      </c>
      <c r="C309" s="122">
        <f t="shared" si="38"/>
        <v>2.1759411328498485E-2</v>
      </c>
      <c r="D309" s="126">
        <f t="shared" si="39"/>
        <v>4.0646134682286415E-2</v>
      </c>
      <c r="E309" s="122">
        <f t="shared" si="40"/>
        <v>-3.6003270248695561E-2</v>
      </c>
      <c r="F309" s="122">
        <f t="shared" si="41"/>
        <v>-3.5987726097606476E-2</v>
      </c>
      <c r="G309" s="122">
        <f t="shared" si="42"/>
        <v>0.68147879748462092</v>
      </c>
      <c r="H309" s="122">
        <f t="shared" si="43"/>
        <v>6.2379228112949062E-2</v>
      </c>
      <c r="I309" s="122">
        <f t="shared" si="44"/>
        <v>0.6785539050023347</v>
      </c>
      <c r="J309" s="122">
        <f t="shared" si="45"/>
        <v>-1.8860405455952092E-2</v>
      </c>
      <c r="K309" s="122">
        <f t="shared" si="46"/>
        <v>8.1239633568901154E-2</v>
      </c>
      <c r="Y309" s="126">
        <f>IF($Z$1, C309, -0.2)</f>
        <v>-0.2</v>
      </c>
    </row>
    <row r="310" spans="2:25" x14ac:dyDescent="0.3">
      <c r="B310" s="122">
        <v>0.68294955425400117</v>
      </c>
      <c r="C310" s="122">
        <f t="shared" si="38"/>
        <v>2.165294605982623E-2</v>
      </c>
      <c r="D310" s="126">
        <f t="shared" si="39"/>
        <v>4.049019386551321E-2</v>
      </c>
      <c r="E310" s="122">
        <f t="shared" si="40"/>
        <v>-3.6589910850800232E-2</v>
      </c>
      <c r="F310" s="122">
        <f t="shared" si="41"/>
        <v>-3.6573594834632378E-2</v>
      </c>
      <c r="G310" s="122">
        <f t="shared" si="42"/>
        <v>0.68443009607870386</v>
      </c>
      <c r="H310" s="122">
        <f t="shared" si="43"/>
        <v>6.2116062538567079E-2</v>
      </c>
      <c r="I310" s="122">
        <f t="shared" si="44"/>
        <v>0.68146901242929847</v>
      </c>
      <c r="J310" s="122">
        <f t="shared" si="45"/>
        <v>-1.8810170418914623E-2</v>
      </c>
      <c r="K310" s="122">
        <f t="shared" si="46"/>
        <v>8.0926232957481706E-2</v>
      </c>
      <c r="Y310" s="126">
        <f>IF($Z$1, C310, -0.2)</f>
        <v>-0.2</v>
      </c>
    </row>
    <row r="311" spans="2:25" x14ac:dyDescent="0.3">
      <c r="B311" s="122">
        <v>0.68587550575243539</v>
      </c>
      <c r="C311" s="122">
        <f t="shared" si="38"/>
        <v>2.154502963612764E-2</v>
      </c>
      <c r="D311" s="126">
        <f t="shared" si="39"/>
        <v>4.0331504413233084E-2</v>
      </c>
      <c r="E311" s="122">
        <f t="shared" si="40"/>
        <v>-3.7175101150487076E-2</v>
      </c>
      <c r="F311" s="122">
        <f t="shared" si="41"/>
        <v>-3.7157990153531516E-2</v>
      </c>
      <c r="G311" s="122">
        <f t="shared" si="42"/>
        <v>0.68737379855455316</v>
      </c>
      <c r="H311" s="122">
        <f t="shared" si="43"/>
        <v>6.1848694071433785E-2</v>
      </c>
      <c r="I311" s="122">
        <f t="shared" si="44"/>
        <v>0.68437721295031761</v>
      </c>
      <c r="J311" s="122">
        <f t="shared" si="45"/>
        <v>-1.8758634799178508E-2</v>
      </c>
      <c r="K311" s="122">
        <f t="shared" si="46"/>
        <v>8.0607328870612296E-2</v>
      </c>
      <c r="Y311" s="126">
        <f>IF($Z$1, C311, -0.2)</f>
        <v>-0.2</v>
      </c>
    </row>
    <row r="312" spans="2:25" x14ac:dyDescent="0.3">
      <c r="B312" s="122">
        <v>0.68879408976379075</v>
      </c>
      <c r="C312" s="122">
        <f t="shared" si="38"/>
        <v>2.1435679167026173E-2</v>
      </c>
      <c r="D312" s="126">
        <f t="shared" si="39"/>
        <v>4.0170076400522316E-2</v>
      </c>
      <c r="E312" s="122">
        <f t="shared" si="40"/>
        <v>-3.775881795275815E-2</v>
      </c>
      <c r="F312" s="122">
        <f t="shared" si="41"/>
        <v>-3.7740888682094735E-2</v>
      </c>
      <c r="G312" s="122">
        <f t="shared" si="42"/>
        <v>0.69030978426629308</v>
      </c>
      <c r="H312" s="122">
        <f t="shared" si="43"/>
        <v>6.1577150343340631E-2</v>
      </c>
      <c r="I312" s="122">
        <f t="shared" si="44"/>
        <v>0.68727839526128842</v>
      </c>
      <c r="J312" s="122">
        <f t="shared" si="45"/>
        <v>-1.8705792009288281E-2</v>
      </c>
      <c r="K312" s="122">
        <f t="shared" si="46"/>
        <v>8.0282942352628908E-2</v>
      </c>
      <c r="Y312" s="126">
        <f>IF($Z$1, C312, -0.2)</f>
        <v>-0.2</v>
      </c>
    </row>
    <row r="313" spans="2:25" x14ac:dyDescent="0.3">
      <c r="B313" s="122">
        <v>0.69170519060510038</v>
      </c>
      <c r="C313" s="122">
        <f t="shared" si="38"/>
        <v>2.1324911989506215E-2</v>
      </c>
      <c r="D313" s="126">
        <f t="shared" si="39"/>
        <v>4.0005920622312875E-2</v>
      </c>
      <c r="E313" s="122">
        <f t="shared" si="40"/>
        <v>-3.8341038121020077E-2</v>
      </c>
      <c r="F313" s="122">
        <f t="shared" si="41"/>
        <v>-3.8322267116062354E-2</v>
      </c>
      <c r="G313" s="122">
        <f t="shared" si="42"/>
        <v>0.69323793295386982</v>
      </c>
      <c r="H313" s="122">
        <f t="shared" si="43"/>
        <v>6.1301459936159729E-2</v>
      </c>
      <c r="I313" s="122">
        <f t="shared" si="44"/>
        <v>0.69017244825633095</v>
      </c>
      <c r="J313" s="122">
        <f t="shared" si="45"/>
        <v>-1.8651635957147299E-2</v>
      </c>
      <c r="K313" s="122">
        <f t="shared" si="46"/>
        <v>7.9953095893307027E-2</v>
      </c>
      <c r="Y313" s="126">
        <f>IF($Z$1, C313, -0.2)</f>
        <v>-0.2</v>
      </c>
    </row>
    <row r="314" spans="2:25" x14ac:dyDescent="0.3">
      <c r="B314" s="122">
        <v>0.69460869289000526</v>
      </c>
      <c r="C314" s="122">
        <f t="shared" si="38"/>
        <v>2.1212745665164363E-2</v>
      </c>
      <c r="D314" s="126">
        <f t="shared" si="39"/>
        <v>3.9839048594248833E-2</v>
      </c>
      <c r="E314" s="122">
        <f t="shared" si="40"/>
        <v>-3.8921738578001054E-2</v>
      </c>
      <c r="F314" s="122">
        <f t="shared" si="41"/>
        <v>-3.890210222011839E-2</v>
      </c>
      <c r="G314" s="122">
        <f t="shared" si="42"/>
        <v>0.69615812475022387</v>
      </c>
      <c r="H314" s="122">
        <f t="shared" si="43"/>
        <v>6.1021652379685667E-2</v>
      </c>
      <c r="I314" s="122">
        <f t="shared" si="44"/>
        <v>0.69305926102978666</v>
      </c>
      <c r="J314" s="122">
        <f t="shared" si="45"/>
        <v>-1.8596161049356939E-2</v>
      </c>
      <c r="K314" s="122">
        <f t="shared" si="46"/>
        <v>7.9617813429042603E-2</v>
      </c>
      <c r="Y314" s="126">
        <f>IF($Z$1, C314, -0.2)</f>
        <v>-0.2</v>
      </c>
    </row>
    <row r="315" spans="2:25" x14ac:dyDescent="0.3">
      <c r="B315" s="122">
        <v>0.697504481533328</v>
      </c>
      <c r="C315" s="122">
        <f t="shared" si="38"/>
        <v>2.1099197977425127E-2</v>
      </c>
      <c r="D315" s="126">
        <f t="shared" si="39"/>
        <v>3.9669472553332509E-2</v>
      </c>
      <c r="E315" s="122">
        <f t="shared" si="40"/>
        <v>-3.9500896306665603E-2</v>
      </c>
      <c r="F315" s="122">
        <f t="shared" si="41"/>
        <v>-3.9480370828878918E-2</v>
      </c>
      <c r="G315" s="122">
        <f t="shared" si="42"/>
        <v>0.6990702401884199</v>
      </c>
      <c r="H315" s="122">
        <f t="shared" si="43"/>
        <v>6.0737758149227612E-2</v>
      </c>
      <c r="I315" s="122">
        <f t="shared" si="44"/>
        <v>0.6959387228782361</v>
      </c>
      <c r="J315" s="122">
        <f t="shared" si="45"/>
        <v>-1.8539362194377358E-2</v>
      </c>
      <c r="K315" s="122">
        <f t="shared" si="46"/>
        <v>7.927712034360497E-2</v>
      </c>
      <c r="Y315" s="126">
        <f>IF($Z$1, C315, -0.2)</f>
        <v>-0.2</v>
      </c>
    </row>
    <row r="316" spans="2:25" x14ac:dyDescent="0.3">
      <c r="B316" s="122">
        <v>0.70039244175563431</v>
      </c>
      <c r="C316" s="122">
        <f t="shared" si="38"/>
        <v>2.0984286928721469E-2</v>
      </c>
      <c r="D316" s="126">
        <f t="shared" si="39"/>
        <v>3.9497205458359677E-2</v>
      </c>
      <c r="E316" s="122">
        <f t="shared" si="40"/>
        <v>-4.0078488351126866E-2</v>
      </c>
      <c r="F316" s="122">
        <f t="shared" si="41"/>
        <v>-4.0057049847874469E-2</v>
      </c>
      <c r="G316" s="122">
        <f t="shared" si="42"/>
        <v>0.70197416020873082</v>
      </c>
      <c r="H316" s="122">
        <f t="shared" si="43"/>
        <v>6.0449808662951868E-2</v>
      </c>
      <c r="I316" s="122">
        <f t="shared" si="44"/>
        <v>0.6988107233025378</v>
      </c>
      <c r="J316" s="122">
        <f t="shared" si="45"/>
        <v>-1.8481234805508926E-2</v>
      </c>
      <c r="K316" s="122">
        <f t="shared" si="46"/>
        <v>7.893104346846079E-2</v>
      </c>
      <c r="Y316" s="126">
        <f>IF($Z$1, C316, -0.2)</f>
        <v>-0.2</v>
      </c>
    </row>
    <row r="317" spans="2:25" x14ac:dyDescent="0.3">
      <c r="B317" s="122">
        <v>0.70327245908778213</v>
      </c>
      <c r="C317" s="122">
        <f t="shared" si="38"/>
        <v>2.0868030737640594E-2</v>
      </c>
      <c r="D317" s="126">
        <f t="shared" si="39"/>
        <v>3.9322260990143028E-2</v>
      </c>
      <c r="E317" s="122">
        <f t="shared" si="40"/>
        <v>-4.0654491817556426E-2</v>
      </c>
      <c r="F317" s="122">
        <f t="shared" si="41"/>
        <v>-4.063211625452632E-2</v>
      </c>
      <c r="G317" s="122">
        <f t="shared" si="42"/>
        <v>0.70486976616567565</v>
      </c>
      <c r="H317" s="122">
        <f t="shared" si="43"/>
        <v>6.015783627897453E-2</v>
      </c>
      <c r="I317" s="122">
        <f t="shared" si="44"/>
        <v>0.70167515200988861</v>
      </c>
      <c r="J317" s="122">
        <f t="shared" si="45"/>
        <v>-1.8421774803693346E-2</v>
      </c>
      <c r="K317" s="122">
        <f t="shared" si="46"/>
        <v>7.857961108266788E-2</v>
      </c>
      <c r="Y317" s="126">
        <f>IF($Z$1, C317, -0.2)</f>
        <v>-0.2</v>
      </c>
    </row>
    <row r="318" spans="2:25" x14ac:dyDescent="0.3">
      <c r="B318" s="122">
        <v>0.70614441937545946</v>
      </c>
      <c r="C318" s="122">
        <f t="shared" si="38"/>
        <v>2.0750447836035468E-2</v>
      </c>
      <c r="D318" s="126">
        <f t="shared" si="39"/>
        <v>3.9144653551522961E-2</v>
      </c>
      <c r="E318" s="122">
        <f t="shared" si="40"/>
        <v>-4.1228883875091896E-2</v>
      </c>
      <c r="F318" s="122">
        <f t="shared" si="41"/>
        <v>-4.1205547099116877E-2</v>
      </c>
      <c r="G318" s="122">
        <f t="shared" si="42"/>
        <v>0.70775693983501009</v>
      </c>
      <c r="H318" s="122">
        <f t="shared" si="43"/>
        <v>5.9861874292204131E-2</v>
      </c>
      <c r="I318" s="122">
        <f t="shared" si="44"/>
        <v>0.70453189891590884</v>
      </c>
      <c r="J318" s="122">
        <f t="shared" si="45"/>
        <v>-1.8360978620133195E-2</v>
      </c>
      <c r="K318" s="122">
        <f t="shared" si="46"/>
        <v>7.8222852912337326E-2</v>
      </c>
      <c r="Y318" s="126">
        <f>IF($Z$1, C318, -0.2)</f>
        <v>-0.2</v>
      </c>
    </row>
    <row r="319" spans="2:25" x14ac:dyDescent="0.3">
      <c r="B319" s="122">
        <v>0.70900820878370907</v>
      </c>
      <c r="C319" s="122">
        <f t="shared" si="38"/>
        <v>2.0631556866102553E-2</v>
      </c>
      <c r="D319" s="126">
        <f t="shared" si="39"/>
        <v>3.8964398267165044E-2</v>
      </c>
      <c r="E319" s="122">
        <f t="shared" si="40"/>
        <v>-4.1801641756741816E-2</v>
      </c>
      <c r="F319" s="122">
        <f t="shared" si="41"/>
        <v>-4.1777319505753814E-2</v>
      </c>
      <c r="G319" s="122">
        <f t="shared" si="42"/>
        <v>0.71063556342066581</v>
      </c>
      <c r="H319" s="122">
        <f t="shared" si="43"/>
        <v>5.9561956930934024E-2</v>
      </c>
      <c r="I319" s="122">
        <f t="shared" si="44"/>
        <v>0.70738085414675234</v>
      </c>
      <c r="J319" s="122">
        <f t="shared" si="45"/>
        <v>-1.8298843198728917E-2</v>
      </c>
      <c r="K319" s="122">
        <f t="shared" si="46"/>
        <v>7.7860800129662941E-2</v>
      </c>
      <c r="Y319" s="126">
        <f>IF($Z$1, C319, -0.2)</f>
        <v>-0.2</v>
      </c>
    </row>
    <row r="320" spans="2:25" x14ac:dyDescent="0.3">
      <c r="B320" s="122">
        <v>0.71186371380143942</v>
      </c>
      <c r="C320" s="122">
        <f t="shared" si="38"/>
        <v>2.0511376677426175E-2</v>
      </c>
      <c r="D320" s="126">
        <f t="shared" si="39"/>
        <v>3.8781510983143988E-2</v>
      </c>
      <c r="E320" s="122">
        <f t="shared" si="40"/>
        <v>-4.2372742760287886E-2</v>
      </c>
      <c r="F320" s="122">
        <f t="shared" si="41"/>
        <v>-4.2347410673327798E-2</v>
      </c>
      <c r="G320" s="122">
        <f t="shared" si="42"/>
        <v>0.71350551956163843</v>
      </c>
      <c r="H320" s="122">
        <f t="shared" si="43"/>
        <v>5.9258119353185326E-2</v>
      </c>
      <c r="I320" s="122">
        <f t="shared" si="44"/>
        <v>0.71022190804124041</v>
      </c>
      <c r="J320" s="122">
        <f t="shared" si="45"/>
        <v>-1.8235365998332975E-2</v>
      </c>
      <c r="K320" s="122">
        <f t="shared" si="46"/>
        <v>7.7493485351518301E-2</v>
      </c>
      <c r="Y320" s="126">
        <f>IF($Z$1, C320, -0.2)</f>
        <v>-0.2</v>
      </c>
    </row>
    <row r="321" spans="2:25" x14ac:dyDescent="0.3">
      <c r="B321" s="122">
        <v>0.71471082124592566</v>
      </c>
      <c r="C321" s="122">
        <f t="shared" ref="C321:C384" si="47">IF($A$1=0, 0, IF(B321&lt;=$A$2, ($A$1/$A$2^2)*(2*$A$2*B321-B321^2), ($A$1/(1-$A$2)^2)*((1-2*$A$2)+2*$A$2*B321-B321^2)))</f>
        <v>2.0389926323990018E-2</v>
      </c>
      <c r="D321" s="126">
        <f t="shared" ref="D321:D384" si="48">IF(B321&lt;$N$1, ($A$3/0.2)*($O$1*SQRT(B321)+$P$1*B321+$Q$1*(B321^2)+$R$1*(B321^3)), ($A$3/0.2)*($S$1+$T$1*(1-B321)+$U$1*((1-B321)^2)+$V$1*((1-B321)^3)))</f>
        <v>3.8596008266312792E-2</v>
      </c>
      <c r="E321" s="122">
        <f t="shared" ref="E321:E384" si="49">IF($A$1=0, 0, IF(B321&lt;=$A$2, ($A$1/$A$2^2) *(2*$A$2-2*B321), ($A$1/(1-$A$2)^2)*(2*$A$2-2*B321)))</f>
        <v>-4.2942164249185136E-2</v>
      </c>
      <c r="F321" s="122">
        <f t="shared" ref="F321:F384" si="50">IF($A$1=0, 0,  ATAN(E321))</f>
        <v>-4.2915797876464511E-2</v>
      </c>
      <c r="G321" s="122">
        <f t="shared" ref="G321:G384" si="51">B321-D321*SIN(F321)</f>
        <v>0.71636669133882402</v>
      </c>
      <c r="H321" s="122">
        <f t="shared" ref="H321:H384" si="52">C321+D321*COS(F321)</f>
        <v>5.8950397642799524E-2</v>
      </c>
      <c r="I321" s="122">
        <f t="shared" ref="I321:I384" si="53">B321+D321*SIN(F321)</f>
        <v>0.71305495115302731</v>
      </c>
      <c r="J321" s="122">
        <f t="shared" ref="J321:J384" si="54">C321-D321*COS(F321)</f>
        <v>-1.8170544994819487E-2</v>
      </c>
      <c r="K321" s="122">
        <f t="shared" ref="K321:K384" si="55">2*D321*COS(F321)</f>
        <v>7.7120942637619011E-2</v>
      </c>
      <c r="Y321" s="126">
        <f>IF($Z$1, C321, -0.2)</f>
        <v>-0.2</v>
      </c>
    </row>
    <row r="322" spans="2:25" x14ac:dyDescent="0.3">
      <c r="B322" s="122">
        <v>0.71754941826729379</v>
      </c>
      <c r="C322" s="122">
        <f t="shared" si="47"/>
        <v>2.0267225061156205E-2</v>
      </c>
      <c r="D322" s="126">
        <f t="shared" si="48"/>
        <v>3.8407907403457481E-2</v>
      </c>
      <c r="E322" s="122">
        <f t="shared" si="49"/>
        <v>-4.3509883653458759E-2</v>
      </c>
      <c r="F322" s="122">
        <f t="shared" si="50"/>
        <v>-4.3482458466469608E-2</v>
      </c>
      <c r="G322" s="122">
        <f t="shared" si="51"/>
        <v>0.71921896228179727</v>
      </c>
      <c r="H322" s="122">
        <f t="shared" si="52"/>
        <v>5.863882880528188E-2</v>
      </c>
      <c r="I322" s="122">
        <f t="shared" si="53"/>
        <v>0.71587987425279032</v>
      </c>
      <c r="J322" s="122">
        <f t="shared" si="54"/>
        <v>-1.810437868296947E-2</v>
      </c>
      <c r="K322" s="122">
        <f t="shared" si="55"/>
        <v>7.674320748825135E-2</v>
      </c>
      <c r="Y322" s="126">
        <f>IF($Z$1, C322, -0.2)</f>
        <v>-0.2</v>
      </c>
    </row>
    <row r="323" spans="2:25" x14ac:dyDescent="0.3">
      <c r="B323" s="122">
        <v>0.72037939235299564</v>
      </c>
      <c r="C323" s="122">
        <f t="shared" si="47"/>
        <v>2.0143292342612442E-2</v>
      </c>
      <c r="D323" s="126">
        <f t="shared" si="48"/>
        <v>3.8217226400236198E-2</v>
      </c>
      <c r="E323" s="122">
        <f t="shared" si="49"/>
        <v>-4.4075878470599128E-2</v>
      </c>
      <c r="F323" s="122">
        <f t="shared" si="50"/>
        <v>-4.4047369872268156E-2</v>
      </c>
      <c r="G323" s="122">
        <f t="shared" si="51"/>
        <v>0.72206221637553825</v>
      </c>
      <c r="H323" s="122">
        <f t="shared" si="52"/>
        <v>5.8323450763395138E-2</v>
      </c>
      <c r="I323" s="122">
        <f t="shared" si="53"/>
        <v>0.71869656833045303</v>
      </c>
      <c r="J323" s="122">
        <f t="shared" si="54"/>
        <v>-1.8036866078170257E-2</v>
      </c>
      <c r="K323" s="122">
        <f t="shared" si="55"/>
        <v>7.6360316841565398E-2</v>
      </c>
      <c r="Y323" s="126">
        <f>IF($Z$1, C323, -0.2)</f>
        <v>-0.2</v>
      </c>
    </row>
    <row r="324" spans="2:25" x14ac:dyDescent="0.3">
      <c r="B324" s="122">
        <v>0.72320063133226686</v>
      </c>
      <c r="C324" s="122">
        <f t="shared" si="47"/>
        <v>2.0018147817287748E-2</v>
      </c>
      <c r="D324" s="126">
        <f t="shared" si="48"/>
        <v>3.8023983979903114E-2</v>
      </c>
      <c r="E324" s="122">
        <f t="shared" si="49"/>
        <v>-4.4640126266453375E-2</v>
      </c>
      <c r="F324" s="122">
        <f t="shared" si="50"/>
        <v>-4.4610509601336862E-2</v>
      </c>
      <c r="G324" s="122">
        <f t="shared" si="51"/>
        <v>0.72489633806709597</v>
      </c>
      <c r="H324" s="122">
        <f t="shared" si="52"/>
        <v>5.80043023525047E-2</v>
      </c>
      <c r="I324" s="122">
        <f t="shared" si="53"/>
        <v>0.72150492459743776</v>
      </c>
      <c r="J324" s="122">
        <f t="shared" si="54"/>
        <v>-1.7968006717929207E-2</v>
      </c>
      <c r="K324" s="122">
        <f t="shared" si="55"/>
        <v>7.597230907043391E-2</v>
      </c>
      <c r="Y324" s="126">
        <f>IF($Z$1, C324, -0.2)</f>
        <v>-0.2</v>
      </c>
    </row>
    <row r="325" spans="2:25" x14ac:dyDescent="0.3">
      <c r="B325" s="122">
        <v>0.72601302338057372</v>
      </c>
      <c r="C325" s="122">
        <f t="shared" si="47"/>
        <v>1.989181132623722E-2</v>
      </c>
      <c r="D325" s="126">
        <f t="shared" si="48"/>
        <v>3.7828199581816234E-2</v>
      </c>
      <c r="E325" s="122">
        <f t="shared" si="49"/>
        <v>-4.5202604676114748E-2</v>
      </c>
      <c r="F325" s="122">
        <f t="shared" si="50"/>
        <v>-4.5171855240630381E-2</v>
      </c>
      <c r="G325" s="122">
        <f t="shared" si="51"/>
        <v>0.72772121227219599</v>
      </c>
      <c r="H325" s="122">
        <f t="shared" si="52"/>
        <v>5.7681423315675003E-2</v>
      </c>
      <c r="I325" s="122">
        <f t="shared" si="53"/>
        <v>0.72430483448895144</v>
      </c>
      <c r="J325" s="122">
        <f t="shared" si="54"/>
        <v>-1.7897800663200562E-2</v>
      </c>
      <c r="K325" s="122">
        <f t="shared" si="55"/>
        <v>7.5579223978875565E-2</v>
      </c>
      <c r="Y325" s="126">
        <f>IF($Z$1, C325, -0.2)</f>
        <v>-0.2</v>
      </c>
    </row>
    <row r="326" spans="2:25" x14ac:dyDescent="0.3">
      <c r="B326" s="122">
        <v>0.72881645702404607</v>
      </c>
      <c r="C326" s="122">
        <f t="shared" si="47"/>
        <v>1.9764302899496291E-2</v>
      </c>
      <c r="D326" s="126">
        <f t="shared" si="48"/>
        <v>3.7629893359729313E-2</v>
      </c>
      <c r="E326" s="122">
        <f t="shared" si="49"/>
        <v>-4.5763291404809218E-2</v>
      </c>
      <c r="F326" s="122">
        <f t="shared" si="50"/>
        <v>-4.5731384457501058E-2</v>
      </c>
      <c r="G326" s="122">
        <f t="shared" si="51"/>
        <v>0.73053672438178696</v>
      </c>
      <c r="H326" s="122">
        <f t="shared" si="52"/>
        <v>5.7354854298517985E-2</v>
      </c>
      <c r="I326" s="122">
        <f t="shared" si="53"/>
        <v>0.72709618966630518</v>
      </c>
      <c r="J326" s="122">
        <f t="shared" si="54"/>
        <v>-1.78262484995254E-2</v>
      </c>
      <c r="K326" s="122">
        <f t="shared" si="55"/>
        <v>7.5181102798043381E-2</v>
      </c>
      <c r="Y326" s="126">
        <f>IF($Z$1, C326, -0.2)</f>
        <v>-0.2</v>
      </c>
    </row>
    <row r="327" spans="2:25" x14ac:dyDescent="0.3">
      <c r="B327" s="122">
        <v>0.73161082114389431</v>
      </c>
      <c r="C327" s="122">
        <f t="shared" si="47"/>
        <v>1.9635642752905105E-2</v>
      </c>
      <c r="D327" s="126">
        <f t="shared" si="48"/>
        <v>3.7429086179867704E-2</v>
      </c>
      <c r="E327" s="122">
        <f t="shared" si="49"/>
        <v>-4.6322164228778863E-2</v>
      </c>
      <c r="F327" s="122">
        <f t="shared" si="50"/>
        <v>-4.6289075000611711E-2</v>
      </c>
      <c r="G327" s="122">
        <f t="shared" si="51"/>
        <v>0.7333427602685213</v>
      </c>
      <c r="H327" s="122">
        <f t="shared" si="52"/>
        <v>5.702463684379433E-2</v>
      </c>
      <c r="I327" s="122">
        <f t="shared" si="53"/>
        <v>0.72987888201926732</v>
      </c>
      <c r="J327" s="122">
        <f t="shared" si="54"/>
        <v>-1.7753351337984124E-2</v>
      </c>
      <c r="K327" s="122">
        <f t="shared" si="55"/>
        <v>7.4777988181778457E-2</v>
      </c>
      <c r="Y327" s="126">
        <f>IF($Z$1, C327, -0.2)</f>
        <v>-0.2</v>
      </c>
    </row>
    <row r="328" spans="2:25" x14ac:dyDescent="0.3">
      <c r="B328" s="122">
        <v>0.73439600498081559</v>
      </c>
      <c r="C328" s="122">
        <f t="shared" si="47"/>
        <v>1.9505851284903356E-2</v>
      </c>
      <c r="D328" s="126">
        <f t="shared" si="48"/>
        <v>3.7225799618787865E-2</v>
      </c>
      <c r="E328" s="122">
        <f t="shared" si="49"/>
        <v>-4.687920099616312E-2</v>
      </c>
      <c r="F328" s="122">
        <f t="shared" si="50"/>
        <v>-4.6844904700842488E-2</v>
      </c>
      <c r="G328" s="122">
        <f t="shared" si="51"/>
        <v>0.73613920629317675</v>
      </c>
      <c r="H328" s="122">
        <f t="shared" si="52"/>
        <v>5.6690813385767855E-2</v>
      </c>
      <c r="I328" s="122">
        <f t="shared" si="53"/>
        <v>0.73265280366845442</v>
      </c>
      <c r="J328" s="122">
        <f t="shared" si="54"/>
        <v>-1.7679110815961144E-2</v>
      </c>
      <c r="K328" s="122">
        <f t="shared" si="55"/>
        <v>7.4369924201728999E-2</v>
      </c>
      <c r="Y328" s="126">
        <f>IF($Z$1, C328, -0.2)</f>
        <v>-0.2</v>
      </c>
    </row>
    <row r="329" spans="2:25" x14ac:dyDescent="0.3">
      <c r="B329" s="122">
        <v>0.73717189813938133</v>
      </c>
      <c r="C329" s="122">
        <f t="shared" si="47"/>
        <v>1.9374949073296288E-2</v>
      </c>
      <c r="D329" s="126">
        <f t="shared" si="48"/>
        <v>3.7020055961021044E-2</v>
      </c>
      <c r="E329" s="122">
        <f t="shared" si="49"/>
        <v>-4.7434379627876271E-2</v>
      </c>
      <c r="F329" s="122">
        <f t="shared" si="50"/>
        <v>-4.7398851472190161E-2</v>
      </c>
      <c r="G329" s="122">
        <f t="shared" si="51"/>
        <v>0.73892594931100652</v>
      </c>
      <c r="H329" s="122">
        <f t="shared" si="52"/>
        <v>5.6353427244314226E-2</v>
      </c>
      <c r="I329" s="122">
        <f t="shared" si="53"/>
        <v>0.73541784696775614</v>
      </c>
      <c r="J329" s="122">
        <f t="shared" si="54"/>
        <v>-1.760352909772165E-2</v>
      </c>
      <c r="K329" s="122">
        <f t="shared" si="55"/>
        <v>7.3956956342035876E-2</v>
      </c>
      <c r="Y329" s="126">
        <f>IF($Z$1, C329, -0.2)</f>
        <v>-0.2</v>
      </c>
    </row>
    <row r="330" spans="2:25" x14ac:dyDescent="0.3">
      <c r="B330" s="122">
        <v>0.73993839059241651</v>
      </c>
      <c r="C330" s="122">
        <f t="shared" si="47"/>
        <v>1.9242956871992102E-2</v>
      </c>
      <c r="D330" s="126">
        <f t="shared" si="48"/>
        <v>3.6811878196500419E-2</v>
      </c>
      <c r="E330" s="122">
        <f t="shared" si="49"/>
        <v>-4.7987678118483305E-2</v>
      </c>
      <c r="F330" s="122">
        <f t="shared" si="50"/>
        <v>-4.7950893312662009E-2</v>
      </c>
      <c r="G330" s="122">
        <f t="shared" si="51"/>
        <v>0.74170287667802992</v>
      </c>
      <c r="H330" s="122">
        <f t="shared" si="52"/>
        <v>5.6012522618784102E-2</v>
      </c>
      <c r="I330" s="122">
        <f t="shared" si="53"/>
        <v>0.73817390450680309</v>
      </c>
      <c r="J330" s="122">
        <f t="shared" si="54"/>
        <v>-1.7526608874799898E-2</v>
      </c>
      <c r="K330" s="122">
        <f t="shared" si="55"/>
        <v>7.3539131493584001E-2</v>
      </c>
      <c r="Y330" s="126">
        <f>IF($Z$1, C330, -0.2)</f>
        <v>-0.2</v>
      </c>
    </row>
    <row r="331" spans="2:25" x14ac:dyDescent="0.3">
      <c r="B331" s="122">
        <v>0.74269537268535735</v>
      </c>
      <c r="C331" s="122">
        <f t="shared" si="47"/>
        <v>1.9109895607711549E-2</v>
      </c>
      <c r="D331" s="126">
        <f t="shared" si="48"/>
        <v>3.6601290017772951E-2</v>
      </c>
      <c r="E331" s="122">
        <f t="shared" si="49"/>
        <v>-4.8539074537071472E-2</v>
      </c>
      <c r="F331" s="122">
        <f t="shared" si="50"/>
        <v>-4.8501008305161561E-2</v>
      </c>
      <c r="G331" s="122">
        <f t="shared" si="51"/>
        <v>0.74446987625724681</v>
      </c>
      <c r="H331" s="122">
        <f t="shared" si="52"/>
        <v>5.5668144581622718E-2</v>
      </c>
      <c r="I331" s="122">
        <f t="shared" si="53"/>
        <v>0.74092086911346788</v>
      </c>
      <c r="J331" s="122">
        <f t="shared" si="54"/>
        <v>-1.7448353366199619E-2</v>
      </c>
      <c r="K331" s="122">
        <f t="shared" si="55"/>
        <v>7.3116497947822337E-2</v>
      </c>
      <c r="Y331" s="126">
        <f>IF($Z$1, C331, -0.2)</f>
        <v>-0.2</v>
      </c>
    </row>
    <row r="332" spans="2:25" x14ac:dyDescent="0.3">
      <c r="B332" s="122">
        <v>0.74544273514059989</v>
      </c>
      <c r="C332" s="122">
        <f t="shared" si="47"/>
        <v>1.8975786376670134E-2</v>
      </c>
      <c r="D332" s="126">
        <f t="shared" si="48"/>
        <v>3.6388315816995143E-2</v>
      </c>
      <c r="E332" s="122">
        <f t="shared" si="49"/>
        <v>-4.9088547028119982E-2</v>
      </c>
      <c r="F332" s="122">
        <f t="shared" si="50"/>
        <v>-4.9049174618368739E-2</v>
      </c>
      <c r="G332" s="122">
        <f t="shared" si="51"/>
        <v>0.74722683642478804</v>
      </c>
      <c r="H332" s="122">
        <f t="shared" si="52"/>
        <v>5.5320339071745869E-2</v>
      </c>
      <c r="I332" s="122">
        <f t="shared" si="53"/>
        <v>0.74365863385641173</v>
      </c>
      <c r="J332" s="122">
        <f t="shared" si="54"/>
        <v>-1.7368766318405601E-2</v>
      </c>
      <c r="K332" s="122">
        <f t="shared" si="55"/>
        <v>7.2689105390151471E-2</v>
      </c>
      <c r="Y332" s="126">
        <f>IF($Z$1, C332, -0.2)</f>
        <v>-0.2</v>
      </c>
    </row>
    <row r="333" spans="2:25" x14ac:dyDescent="0.3">
      <c r="B333" s="122">
        <v>0.74818036906183039</v>
      </c>
      <c r="C333" s="122">
        <f t="shared" si="47"/>
        <v>1.8840650441233366E-2</v>
      </c>
      <c r="D333" s="126">
        <f t="shared" si="48"/>
        <v>3.6172980682713692E-2</v>
      </c>
      <c r="E333" s="122">
        <f t="shared" si="49"/>
        <v>-4.963607381236608E-2</v>
      </c>
      <c r="F333" s="122">
        <f t="shared" si="50"/>
        <v>-4.9595370507612507E-2</v>
      </c>
      <c r="G333" s="122">
        <f t="shared" si="51"/>
        <v>0.74997364607599215</v>
      </c>
      <c r="H333" s="122">
        <f t="shared" si="52"/>
        <v>5.4969152887673858E-2</v>
      </c>
      <c r="I333" s="122">
        <f t="shared" si="53"/>
        <v>0.74638709204766862</v>
      </c>
      <c r="J333" s="122">
        <f t="shared" si="54"/>
        <v>-1.7287852005207129E-2</v>
      </c>
      <c r="K333" s="122">
        <f t="shared" si="55"/>
        <v>7.2257004892880991E-2</v>
      </c>
      <c r="Y333" s="126">
        <f>IF($Z$1, C333, -0.2)</f>
        <v>-0.2</v>
      </c>
    </row>
    <row r="334" spans="2:25" x14ac:dyDescent="0.3">
      <c r="B334" s="122">
        <v>0.75090816593834164</v>
      </c>
      <c r="C334" s="122">
        <f t="shared" si="47"/>
        <v>1.8704509226545762E-2</v>
      </c>
      <c r="D334" s="126">
        <f t="shared" si="48"/>
        <v>3.5955310396431163E-2</v>
      </c>
      <c r="E334" s="122">
        <f t="shared" si="49"/>
        <v>-5.0181633187668329E-2</v>
      </c>
      <c r="F334" s="122">
        <f t="shared" si="50"/>
        <v>-5.0139574315736915E-2</v>
      </c>
      <c r="G334" s="122">
        <f t="shared" si="51"/>
        <v>0.75271019463140976</v>
      </c>
      <c r="H334" s="122">
        <f t="shared" si="52"/>
        <v>5.461463368042465E-2</v>
      </c>
      <c r="I334" s="122">
        <f t="shared" si="53"/>
        <v>0.74910613724527353</v>
      </c>
      <c r="J334" s="122">
        <f t="shared" si="54"/>
        <v>-1.7205615227333125E-2</v>
      </c>
      <c r="K334" s="122">
        <f t="shared" si="55"/>
        <v>7.1820248907757775E-2</v>
      </c>
      <c r="Y334" s="126">
        <f>IF($Z$1, C334, -0.2)</f>
        <v>-0.2</v>
      </c>
    </row>
    <row r="335" spans="2:25" x14ac:dyDescent="0.3">
      <c r="B335" s="122">
        <v>0.75362601764933479</v>
      </c>
      <c r="C335" s="122">
        <f t="shared" si="47"/>
        <v>1.856738431713393E-2</v>
      </c>
      <c r="D335" s="126">
        <f t="shared" si="48"/>
        <v>3.5735331428957087E-2</v>
      </c>
      <c r="E335" s="122">
        <f t="shared" si="49"/>
        <v>-5.0725203529866959E-2</v>
      </c>
      <c r="F335" s="122">
        <f t="shared" si="50"/>
        <v>-5.0681764473960486E-2</v>
      </c>
      <c r="G335" s="122">
        <f t="shared" si="51"/>
        <v>0.75543637204273562</v>
      </c>
      <c r="H335" s="122">
        <f t="shared" si="52"/>
        <v>5.4256829946166929E-2</v>
      </c>
      <c r="I335" s="122">
        <f t="shared" si="53"/>
        <v>0.75181566325593396</v>
      </c>
      <c r="J335" s="122">
        <f t="shared" si="54"/>
        <v>-1.712206131189907E-2</v>
      </c>
      <c r="K335" s="122">
        <f t="shared" si="55"/>
        <v>7.1378891258065999E-2</v>
      </c>
      <c r="Y335" s="126">
        <f>IF($Z$1, C335, -0.2)</f>
        <v>-0.2</v>
      </c>
    </row>
    <row r="336" spans="2:25" x14ac:dyDescent="0.3">
      <c r="B336" s="122">
        <v>0.75633381646820341</v>
      </c>
      <c r="C336" s="122">
        <f t="shared" si="47"/>
        <v>1.8429297453484539E-2</v>
      </c>
      <c r="D336" s="126">
        <f t="shared" si="48"/>
        <v>3.551307093654528E-2</v>
      </c>
      <c r="E336" s="122">
        <f t="shared" si="49"/>
        <v>-5.1266763293640688E-2</v>
      </c>
      <c r="F336" s="122">
        <f t="shared" si="50"/>
        <v>-5.1221919502728142E-2</v>
      </c>
      <c r="G336" s="122">
        <f t="shared" si="51"/>
        <v>0.75815206879866337</v>
      </c>
      <c r="H336" s="122">
        <f t="shared" si="52"/>
        <v>5.389579101863521E-2</v>
      </c>
      <c r="I336" s="122">
        <f t="shared" si="53"/>
        <v>0.75451556413774346</v>
      </c>
      <c r="J336" s="122">
        <f t="shared" si="54"/>
        <v>-1.7037196111666132E-2</v>
      </c>
      <c r="K336" s="122">
        <f t="shared" si="55"/>
        <v>7.0932987130301342E-2</v>
      </c>
      <c r="Y336" s="126">
        <f>IF($Z$1, C336, -0.2)</f>
        <v>-0.2</v>
      </c>
    </row>
    <row r="337" spans="2:25" x14ac:dyDescent="0.3">
      <c r="B337" s="122">
        <v>0.75903145506680525</v>
      </c>
      <c r="C337" s="122">
        <f t="shared" si="47"/>
        <v>1.8290270528597365E-2</v>
      </c>
      <c r="D337" s="126">
        <f t="shared" si="48"/>
        <v>3.5288556756817462E-2</v>
      </c>
      <c r="E337" s="122">
        <f t="shared" si="49"/>
        <v>-5.1806291013361053E-2</v>
      </c>
      <c r="F337" s="122">
        <f t="shared" si="50"/>
        <v>-5.1760018012556933E-2</v>
      </c>
      <c r="G337" s="122">
        <f t="shared" si="51"/>
        <v>0.76085717593066693</v>
      </c>
      <c r="H337" s="122">
        <f t="shared" si="52"/>
        <v>5.3531567061307211E-2</v>
      </c>
      <c r="I337" s="122">
        <f t="shared" si="53"/>
        <v>0.75720573420294357</v>
      </c>
      <c r="J337" s="122">
        <f t="shared" si="54"/>
        <v>-1.6951026004112482E-2</v>
      </c>
      <c r="K337" s="122">
        <f t="shared" si="55"/>
        <v>7.0482593065419694E-2</v>
      </c>
      <c r="Y337" s="126">
        <f>IF($Z$1, C337, -0.2)</f>
        <v>-0.2</v>
      </c>
    </row>
    <row r="338" spans="2:25" x14ac:dyDescent="0.3">
      <c r="B338" s="122">
        <v>0.76171882651971456</v>
      </c>
      <c r="C338" s="122">
        <f t="shared" si="47"/>
        <v>1.8150325584514359E-2</v>
      </c>
      <c r="D338" s="126">
        <f t="shared" si="48"/>
        <v>3.5061817404474581E-2</v>
      </c>
      <c r="E338" s="122">
        <f t="shared" si="49"/>
        <v>-5.2343765303942913E-2</v>
      </c>
      <c r="F338" s="122">
        <f t="shared" si="50"/>
        <v>-5.22960387048741E-2</v>
      </c>
      <c r="G338" s="122">
        <f t="shared" si="51"/>
        <v>0.7635515850187008</v>
      </c>
      <c r="H338" s="122">
        <f t="shared" si="52"/>
        <v>5.316420905934631E-2</v>
      </c>
      <c r="I338" s="122">
        <f t="shared" si="53"/>
        <v>0.75988606802072833</v>
      </c>
      <c r="J338" s="122">
        <f t="shared" si="54"/>
        <v>-1.6863557890317595E-2</v>
      </c>
      <c r="K338" s="122">
        <f t="shared" si="55"/>
        <v>7.0027766949663908E-2</v>
      </c>
      <c r="Y338" s="126">
        <f>IF($Z$1, C338, -0.2)</f>
        <v>-0.2</v>
      </c>
    </row>
    <row r="339" spans="2:25" x14ac:dyDescent="0.3">
      <c r="B339" s="122">
        <v>0.76439582430846209</v>
      </c>
      <c r="C339" s="122">
        <f t="shared" si="47"/>
        <v>1.8009484808824885E-2</v>
      </c>
      <c r="D339" s="126">
        <f t="shared" si="48"/>
        <v>3.4832882066795738E-2</v>
      </c>
      <c r="E339" s="122">
        <f t="shared" si="49"/>
        <v>-5.2879164861692418E-2</v>
      </c>
      <c r="F339" s="122">
        <f t="shared" si="50"/>
        <v>-5.2829960372848796E-2</v>
      </c>
      <c r="G339" s="122">
        <f t="shared" si="51"/>
        <v>0.76623518819682535</v>
      </c>
      <c r="H339" s="122">
        <f t="shared" si="52"/>
        <v>5.2793768811309191E-2</v>
      </c>
      <c r="I339" s="122">
        <f t="shared" si="53"/>
        <v>0.76255646042009884</v>
      </c>
      <c r="J339" s="122">
        <f t="shared" si="54"/>
        <v>-1.6774799193659418E-2</v>
      </c>
      <c r="K339" s="122">
        <f t="shared" si="55"/>
        <v>6.9568568004968606E-2</v>
      </c>
      <c r="Y339" s="126">
        <f>IF($Z$1, C339, -0.2)</f>
        <v>-0.2</v>
      </c>
    </row>
    <row r="340" spans="2:25" x14ac:dyDescent="0.3">
      <c r="B340" s="122">
        <v>0.76706234232575465</v>
      </c>
      <c r="C340" s="122">
        <f t="shared" si="47"/>
        <v>1.7867770531148141E-2</v>
      </c>
      <c r="D340" s="126">
        <f t="shared" si="48"/>
        <v>3.4601780598926345E-2</v>
      </c>
      <c r="E340" s="122">
        <f t="shared" si="49"/>
        <v>-5.3412468465150936E-2</v>
      </c>
      <c r="F340" s="122">
        <f t="shared" si="50"/>
        <v>-5.3361761902216025E-2</v>
      </c>
      <c r="G340" s="122">
        <f t="shared" si="51"/>
        <v>0.76890787815874861</v>
      </c>
      <c r="H340" s="122">
        <f t="shared" si="52"/>
        <v>5.2420298920621625E-2</v>
      </c>
      <c r="I340" s="122">
        <f t="shared" si="53"/>
        <v>0.76521680649276069</v>
      </c>
      <c r="J340" s="122">
        <f t="shared" si="54"/>
        <v>-1.6684757858325339E-2</v>
      </c>
      <c r="K340" s="122">
        <f t="shared" si="55"/>
        <v>6.9105056778946961E-2</v>
      </c>
      <c r="Y340" s="126">
        <f>IF($Z$1, C340, -0.2)</f>
        <v>-0.2</v>
      </c>
    </row>
    <row r="341" spans="2:25" x14ac:dyDescent="0.3">
      <c r="B341" s="122">
        <v>0.76971827487968403</v>
      </c>
      <c r="C341" s="122">
        <f t="shared" si="47"/>
        <v>1.7725205219592723E-2</v>
      </c>
      <c r="D341" s="126">
        <f t="shared" si="48"/>
        <v>3.4368543518955554E-2</v>
      </c>
      <c r="E341" s="122">
        <f t="shared" si="49"/>
        <v>-5.3943654975936811E-2</v>
      </c>
      <c r="F341" s="122">
        <f t="shared" si="50"/>
        <v>-5.3891422272094563E-2</v>
      </c>
      <c r="G341" s="122">
        <f t="shared" si="51"/>
        <v>0.77156954816329149</v>
      </c>
      <c r="H341" s="122">
        <f t="shared" si="52"/>
        <v>5.2043852786822747E-2</v>
      </c>
      <c r="I341" s="122">
        <f t="shared" si="53"/>
        <v>0.76786700159607657</v>
      </c>
      <c r="J341" s="122">
        <f t="shared" si="54"/>
        <v>-1.6593442347637297E-2</v>
      </c>
      <c r="K341" s="122">
        <f t="shared" si="55"/>
        <v>6.8637295134460041E-2</v>
      </c>
      <c r="Y341" s="126">
        <f>IF($Z$1, C341, -0.2)</f>
        <v>-0.2</v>
      </c>
    </row>
    <row r="342" spans="2:25" x14ac:dyDescent="0.3">
      <c r="B342" s="122">
        <v>0.77236351669791325</v>
      </c>
      <c r="C342" s="122">
        <f t="shared" si="47"/>
        <v>1.7581811477194554E-2</v>
      </c>
      <c r="D342" s="126">
        <f t="shared" si="48"/>
        <v>3.4133202002784767E-2</v>
      </c>
      <c r="E342" s="122">
        <f t="shared" si="49"/>
        <v>-5.4472703339582651E-2</v>
      </c>
      <c r="F342" s="122">
        <f t="shared" si="50"/>
        <v>-5.4418920555796724E-2</v>
      </c>
      <c r="G342" s="122">
        <f t="shared" si="51"/>
        <v>0.77422009203976561</v>
      </c>
      <c r="H342" s="122">
        <f t="shared" si="52"/>
        <v>5.1664484596580837E-2</v>
      </c>
      <c r="I342" s="122">
        <f t="shared" si="53"/>
        <v>0.7705069413560609</v>
      </c>
      <c r="J342" s="122">
        <f t="shared" si="54"/>
        <v>-1.6500861642191725E-2</v>
      </c>
      <c r="K342" s="122">
        <f t="shared" si="55"/>
        <v>6.8165346238772559E-2</v>
      </c>
      <c r="Y342" s="126">
        <f>IF($Z$1, C342, -0.2)</f>
        <v>-0.2</v>
      </c>
    </row>
    <row r="343" spans="2:25" x14ac:dyDescent="0.3">
      <c r="B343" s="122">
        <v>0.77499796293185153</v>
      </c>
      <c r="C343" s="122">
        <f t="shared" si="47"/>
        <v>1.7437612038333206E-2</v>
      </c>
      <c r="D343" s="126">
        <f t="shared" si="48"/>
        <v>3.3895787878787484E-2</v>
      </c>
      <c r="E343" s="122">
        <f t="shared" si="49"/>
        <v>-5.4999592586370306E-2</v>
      </c>
      <c r="F343" s="122">
        <f t="shared" si="50"/>
        <v>-5.494423592163198E-2</v>
      </c>
      <c r="G343" s="122">
        <f t="shared" si="51"/>
        <v>0.77685940419327315</v>
      </c>
      <c r="H343" s="122">
        <f t="shared" si="52"/>
        <v>5.1282249314481304E-2</v>
      </c>
      <c r="I343" s="122">
        <f t="shared" si="53"/>
        <v>0.7731365216704299</v>
      </c>
      <c r="J343" s="122">
        <f t="shared" si="54"/>
        <v>-1.6407025237814895E-2</v>
      </c>
      <c r="K343" s="122">
        <f t="shared" si="55"/>
        <v>6.7689274552296202E-2</v>
      </c>
      <c r="Y343" s="126">
        <f>IF($Z$1, C343, -0.2)</f>
        <v>-0.2</v>
      </c>
    </row>
    <row r="344" spans="2:25" x14ac:dyDescent="0.3">
      <c r="B344" s="122">
        <v>0.77762150916080852</v>
      </c>
      <c r="C344" s="122">
        <f t="shared" si="47"/>
        <v>1.729262976512751E-2</v>
      </c>
      <c r="D344" s="126">
        <f t="shared" si="48"/>
        <v>3.3656333622262113E-2</v>
      </c>
      <c r="E344" s="122">
        <f t="shared" si="49"/>
        <v>-5.5524301832161706E-2</v>
      </c>
      <c r="F344" s="122">
        <f t="shared" si="50"/>
        <v>-5.5467347633702757E-2</v>
      </c>
      <c r="G344" s="122">
        <f t="shared" si="51"/>
        <v>0.77948737960991887</v>
      </c>
      <c r="H344" s="122">
        <f t="shared" si="52"/>
        <v>5.0897202673589659E-2</v>
      </c>
      <c r="I344" s="122">
        <f t="shared" si="53"/>
        <v>0.77575563871169817</v>
      </c>
      <c r="J344" s="122">
        <f t="shared" si="54"/>
        <v>-1.6311943143334635E-2</v>
      </c>
      <c r="K344" s="122">
        <f t="shared" si="55"/>
        <v>6.720914581692429E-2</v>
      </c>
      <c r="Y344" s="126">
        <f>IF($Z$1, C344, -0.2)</f>
        <v>-0.2</v>
      </c>
    </row>
    <row r="345" spans="2:25" x14ac:dyDescent="0.3">
      <c r="B345" s="122">
        <v>0.78023405139613411</v>
      </c>
      <c r="C345" s="122">
        <f t="shared" si="47"/>
        <v>1.7146887643810883E-2</v>
      </c>
      <c r="D345" s="126">
        <f t="shared" si="48"/>
        <v>3.3414872349678548E-2</v>
      </c>
      <c r="E345" s="122">
        <f t="shared" si="49"/>
        <v>-5.6046810279226825E-2</v>
      </c>
      <c r="F345" s="122">
        <f t="shared" si="50"/>
        <v>-5.5988235052693604E-2</v>
      </c>
      <c r="G345" s="122">
        <f t="shared" si="51"/>
        <v>0.78210391386193867</v>
      </c>
      <c r="H345" s="122">
        <f t="shared" si="52"/>
        <v>5.050940116579071E-2</v>
      </c>
      <c r="I345" s="122">
        <f t="shared" si="53"/>
        <v>0.77836418893032955</v>
      </c>
      <c r="J345" s="122">
        <f t="shared" si="54"/>
        <v>-1.6215625878168948E-2</v>
      </c>
      <c r="K345" s="122">
        <f t="shared" si="55"/>
        <v>6.6725027043959662E-2</v>
      </c>
      <c r="Y345" s="126">
        <f>IF($Z$1, C345, -0.2)</f>
        <v>-0.2</v>
      </c>
    </row>
    <row r="346" spans="2:25" x14ac:dyDescent="0.3">
      <c r="B346" s="122">
        <v>0.78283548608533993</v>
      </c>
      <c r="C346" s="122">
        <f t="shared" si="47"/>
        <v>1.700040878108695E-2</v>
      </c>
      <c r="D346" s="126">
        <f t="shared" si="48"/>
        <v>3.317143781271998E-2</v>
      </c>
      <c r="E346" s="122">
        <f t="shared" si="49"/>
        <v>-5.6567097217067985E-2</v>
      </c>
      <c r="F346" s="122">
        <f t="shared" si="50"/>
        <v>-5.6506877636652977E-2</v>
      </c>
      <c r="G346" s="122">
        <f t="shared" si="51"/>
        <v>0.78470890311274188</v>
      </c>
      <c r="H346" s="122">
        <f t="shared" si="52"/>
        <v>5.0118902031906637E-2</v>
      </c>
      <c r="I346" s="122">
        <f t="shared" si="53"/>
        <v>0.78096206905793797</v>
      </c>
      <c r="J346" s="122">
        <f t="shared" si="54"/>
        <v>-1.611808446973274E-2</v>
      </c>
      <c r="K346" s="122">
        <f t="shared" si="55"/>
        <v>6.6236986501639381E-2</v>
      </c>
      <c r="Y346" s="126">
        <f>IF($Z$1, C346, -0.2)</f>
        <v>-0.2</v>
      </c>
    </row>
    <row r="347" spans="2:25" x14ac:dyDescent="0.3">
      <c r="B347" s="122">
        <v>0.78542571011620343</v>
      </c>
      <c r="C347" s="122">
        <f t="shared" si="47"/>
        <v>1.6853216400466099E-2</v>
      </c>
      <c r="D347" s="126">
        <f t="shared" si="48"/>
        <v>3.2926064392121125E-2</v>
      </c>
      <c r="E347" s="122">
        <f t="shared" si="49"/>
        <v>-5.7085142023240693E-2</v>
      </c>
      <c r="F347" s="122">
        <f t="shared" si="50"/>
        <v>-5.7023254941767881E-2</v>
      </c>
      <c r="G347" s="122">
        <f t="shared" si="51"/>
        <v>0.78730224412186578</v>
      </c>
      <c r="H347" s="122">
        <f t="shared" si="52"/>
        <v>4.9725763251595528E-2</v>
      </c>
      <c r="I347" s="122">
        <f t="shared" si="53"/>
        <v>0.78354917611054109</v>
      </c>
      <c r="J347" s="122">
        <f t="shared" si="54"/>
        <v>-1.6019330450663335E-2</v>
      </c>
      <c r="K347" s="122">
        <f t="shared" si="55"/>
        <v>6.5745093702258867E-2</v>
      </c>
      <c r="Y347" s="126">
        <f>IF($Z$1, C347, -0.2)</f>
        <v>-0.2</v>
      </c>
    </row>
    <row r="348" spans="2:25" x14ac:dyDescent="0.3">
      <c r="B348" s="122">
        <v>0.78800462082085621</v>
      </c>
      <c r="C348" s="122">
        <f t="shared" si="47"/>
        <v>1.670533383858348E-2</v>
      </c>
      <c r="D348" s="126">
        <f t="shared" si="48"/>
        <v>3.2678787091304097E-2</v>
      </c>
      <c r="E348" s="122">
        <f t="shared" si="49"/>
        <v>-5.7600924164171244E-2</v>
      </c>
      <c r="F348" s="122">
        <f t="shared" si="50"/>
        <v>-5.7537346623131584E-2</v>
      </c>
      <c r="G348" s="122">
        <f t="shared" si="51"/>
        <v>0.78988383424984432</v>
      </c>
      <c r="H348" s="122">
        <f t="shared" si="52"/>
        <v>4.9330043533032775E-2</v>
      </c>
      <c r="I348" s="122">
        <f t="shared" si="53"/>
        <v>0.78612540739186809</v>
      </c>
      <c r="J348" s="122">
        <f t="shared" si="54"/>
        <v>-1.5919375855865819E-2</v>
      </c>
      <c r="K348" s="122">
        <f t="shared" si="55"/>
        <v>6.5249419388898597E-2</v>
      </c>
      <c r="Y348" s="126">
        <f>IF($Z$1, C348, -0.2)</f>
        <v>-0.2</v>
      </c>
    </row>
    <row r="349" spans="2:25" x14ac:dyDescent="0.3">
      <c r="B349" s="122">
        <v>0.79057211597985133</v>
      </c>
      <c r="C349" s="122">
        <f t="shared" si="47"/>
        <v>1.655678454149918E-2</v>
      </c>
      <c r="D349" s="126">
        <f t="shared" si="48"/>
        <v>3.2429641529813799E-2</v>
      </c>
      <c r="E349" s="122">
        <f t="shared" si="49"/>
        <v>-5.8114423195970266E-2</v>
      </c>
      <c r="F349" s="122">
        <f t="shared" si="50"/>
        <v>-5.8049132435503623E-2</v>
      </c>
      <c r="G349" s="122">
        <f t="shared" si="51"/>
        <v>0.79245357146298412</v>
      </c>
      <c r="H349" s="122">
        <f t="shared" si="52"/>
        <v>4.8931802302377911E-2</v>
      </c>
      <c r="I349" s="122">
        <f t="shared" si="53"/>
        <v>0.78869066049671854</v>
      </c>
      <c r="J349" s="122">
        <f t="shared" si="54"/>
        <v>-1.5818233219379554E-2</v>
      </c>
      <c r="K349" s="122">
        <f t="shared" si="55"/>
        <v>6.4750035521757468E-2</v>
      </c>
      <c r="Y349" s="126">
        <f>IF($Z$1, C349, -0.2)</f>
        <v>-0.2</v>
      </c>
    </row>
    <row r="350" spans="2:25" x14ac:dyDescent="0.3">
      <c r="B350" s="122">
        <v>0.79312809382621685</v>
      </c>
      <c r="C350" s="122">
        <f t="shared" si="47"/>
        <v>1.6407592060980858E-2</v>
      </c>
      <c r="D350" s="126">
        <f t="shared" si="48"/>
        <v>3.2178663936553713E-2</v>
      </c>
      <c r="E350" s="122">
        <f t="shared" si="49"/>
        <v>-5.8625618765243373E-2</v>
      </c>
      <c r="F350" s="122">
        <f t="shared" si="50"/>
        <v>-5.8558592234063275E-2</v>
      </c>
      <c r="G350" s="122">
        <f t="shared" si="51"/>
        <v>0.7950113543380557</v>
      </c>
      <c r="H350" s="122">
        <f t="shared" si="52"/>
        <v>4.853109969302831E-2</v>
      </c>
      <c r="I350" s="122">
        <f t="shared" si="53"/>
        <v>0.791244833314378</v>
      </c>
      <c r="J350" s="122">
        <f t="shared" si="54"/>
        <v>-1.5715915571066594E-2</v>
      </c>
      <c r="K350" s="122">
        <f t="shared" si="55"/>
        <v>6.4247015264094903E-2</v>
      </c>
      <c r="Y350" s="126">
        <f>IF($Z$1, C350, -0.2)</f>
        <v>-0.2</v>
      </c>
    </row>
    <row r="351" spans="2:25" x14ac:dyDescent="0.3">
      <c r="B351" s="122">
        <v>0.79567245304948864</v>
      </c>
      <c r="C351" s="122">
        <f t="shared" si="47"/>
        <v>1.6257780050769801E-2</v>
      </c>
      <c r="D351" s="126">
        <f t="shared" si="48"/>
        <v>3.1925891142824153E-2</v>
      </c>
      <c r="E351" s="122">
        <f t="shared" si="49"/>
        <v>-5.9134490609897727E-2</v>
      </c>
      <c r="F351" s="122">
        <f t="shared" si="50"/>
        <v>-5.9065705975155321E-2</v>
      </c>
      <c r="G351" s="122">
        <f t="shared" si="51"/>
        <v>0.7975570820668908</v>
      </c>
      <c r="H351" s="122">
        <f t="shared" si="52"/>
        <v>4.8127996534663084E-2</v>
      </c>
      <c r="I351" s="122">
        <f t="shared" si="53"/>
        <v>0.79378782403208648</v>
      </c>
      <c r="J351" s="122">
        <f t="shared" si="54"/>
        <v>-1.5612436433123485E-2</v>
      </c>
      <c r="K351" s="122">
        <f t="shared" si="55"/>
        <v>6.3740432967786573E-2</v>
      </c>
      <c r="Y351" s="126">
        <f>IF($Z$1, C351, -0.2)</f>
        <v>-0.2</v>
      </c>
    </row>
    <row r="352" spans="2:25" x14ac:dyDescent="0.3">
      <c r="B352" s="122">
        <v>0.79820509279972629</v>
      </c>
      <c r="C352" s="122">
        <f t="shared" si="47"/>
        <v>1.6107372262830665E-2</v>
      </c>
      <c r="D352" s="126">
        <f t="shared" si="48"/>
        <v>3.1671360575164391E-2</v>
      </c>
      <c r="E352" s="122">
        <f t="shared" si="49"/>
        <v>-5.9641018559945261E-2</v>
      </c>
      <c r="F352" s="122">
        <f t="shared" si="50"/>
        <v>-5.9570453717028869E-2</v>
      </c>
      <c r="G352" s="122">
        <f t="shared" si="51"/>
        <v>0.80009065446089078</v>
      </c>
      <c r="H352" s="122">
        <f t="shared" si="52"/>
        <v>4.7722554342078977E-2</v>
      </c>
      <c r="I352" s="122">
        <f t="shared" si="53"/>
        <v>0.7963195311385618</v>
      </c>
      <c r="J352" s="122">
        <f t="shared" si="54"/>
        <v>-1.550780981641765E-2</v>
      </c>
      <c r="K352" s="122">
        <f t="shared" si="55"/>
        <v>6.323036415849663E-2</v>
      </c>
      <c r="Y352" s="126">
        <f>IF($Z$1, C352, -0.2)</f>
        <v>-0.2</v>
      </c>
    </row>
    <row r="353" spans="2:25" x14ac:dyDescent="0.3">
      <c r="B353" s="122">
        <v>0.80072591269150994</v>
      </c>
      <c r="C353" s="122">
        <f t="shared" si="47"/>
        <v>1.5956392543585829E-2</v>
      </c>
      <c r="D353" s="126">
        <f t="shared" si="48"/>
        <v>3.1415110248000498E-2</v>
      </c>
      <c r="E353" s="122">
        <f t="shared" si="49"/>
        <v>-6.0145182538301992E-2</v>
      </c>
      <c r="F353" s="122">
        <f t="shared" si="50"/>
        <v>-6.0072815620568737E-2</v>
      </c>
      <c r="G353" s="122">
        <f t="shared" si="51"/>
        <v>0.80261197195544121</v>
      </c>
      <c r="H353" s="122">
        <f t="shared" si="52"/>
        <v>4.7314835303821308E-2</v>
      </c>
      <c r="I353" s="122">
        <f t="shared" si="53"/>
        <v>0.79883985342757868</v>
      </c>
      <c r="J353" s="122">
        <f t="shared" si="54"/>
        <v>-1.540205021664965E-2</v>
      </c>
      <c r="K353" s="122">
        <f t="shared" si="55"/>
        <v>6.2716885520470958E-2</v>
      </c>
      <c r="Y353" s="126">
        <f>IF($Z$1, C353, -0.2)</f>
        <v>-0.2</v>
      </c>
    </row>
    <row r="354" spans="2:25" x14ac:dyDescent="0.3">
      <c r="B354" s="122">
        <v>0.80323481280792031</v>
      </c>
      <c r="C354" s="122">
        <f t="shared" si="47"/>
        <v>1.5804864830134557E-2</v>
      </c>
      <c r="D354" s="126">
        <f t="shared" si="48"/>
        <v>3.115717875610028E-2</v>
      </c>
      <c r="E354" s="122">
        <f t="shared" si="49"/>
        <v>-6.0646962561584063E-2</v>
      </c>
      <c r="F354" s="122">
        <f t="shared" si="50"/>
        <v>-6.0572771950019963E-2</v>
      </c>
      <c r="G354" s="122">
        <f t="shared" si="51"/>
        <v>0.80512093561423681</v>
      </c>
      <c r="H354" s="122">
        <f t="shared" si="52"/>
        <v>4.6904902270611684E-2</v>
      </c>
      <c r="I354" s="122">
        <f t="shared" si="53"/>
        <v>0.8013486900016038</v>
      </c>
      <c r="J354" s="122">
        <f t="shared" si="54"/>
        <v>-1.5295172610342574E-2</v>
      </c>
      <c r="K354" s="122">
        <f t="shared" si="55"/>
        <v>6.2200074880954262E-2</v>
      </c>
      <c r="Y354" s="126">
        <f>IF($Z$1, C354, -0.2)</f>
        <v>-0.2</v>
      </c>
    </row>
    <row r="355" spans="2:25" x14ac:dyDescent="0.3">
      <c r="B355" s="122">
        <v>0.8057316937044976</v>
      </c>
      <c r="C355" s="122">
        <f t="shared" si="47"/>
        <v>1.5652813146457924E-2</v>
      </c>
      <c r="D355" s="126">
        <f t="shared" si="48"/>
        <v>3.0897605266837866E-2</v>
      </c>
      <c r="E355" s="122">
        <f t="shared" si="49"/>
        <v>-6.1146338740899524E-2</v>
      </c>
      <c r="F355" s="122">
        <f t="shared" si="50"/>
        <v>-6.107030307370459E-2</v>
      </c>
      <c r="G355" s="122">
        <f t="shared" si="51"/>
        <v>0.80761744713351025</v>
      </c>
      <c r="H355" s="122">
        <f t="shared" si="52"/>
        <v>4.6492818743576317E-2</v>
      </c>
      <c r="I355" s="122">
        <f t="shared" si="53"/>
        <v>0.80384594027548495</v>
      </c>
      <c r="J355" s="122">
        <f t="shared" si="54"/>
        <v>-1.5187192450660473E-2</v>
      </c>
      <c r="K355" s="122">
        <f t="shared" si="55"/>
        <v>6.1680011194236793E-2</v>
      </c>
      <c r="Y355" s="126">
        <f>IF($Z$1, C355, -0.2)</f>
        <v>-0.2</v>
      </c>
    </row>
    <row r="356" spans="2:25" x14ac:dyDescent="0.3">
      <c r="B356" s="122">
        <v>0.8082164564131844</v>
      </c>
      <c r="C356" s="122">
        <f t="shared" si="47"/>
        <v>1.5500261599609955E-2</v>
      </c>
      <c r="D356" s="126">
        <f t="shared" si="48"/>
        <v>3.0636429512268925E-2</v>
      </c>
      <c r="E356" s="122">
        <f t="shared" si="49"/>
        <v>-6.1643291282636882E-2</v>
      </c>
      <c r="F356" s="122">
        <f t="shared" si="50"/>
        <v>-6.1565389464731717E-2</v>
      </c>
      <c r="G356" s="122">
        <f t="shared" si="51"/>
        <v>0.81010140884617021</v>
      </c>
      <c r="H356" s="122">
        <f t="shared" si="52"/>
        <v>4.6078648862276424E-2</v>
      </c>
      <c r="I356" s="122">
        <f t="shared" si="53"/>
        <v>0.80633150398019859</v>
      </c>
      <c r="J356" s="122">
        <f t="shared" si="54"/>
        <v>-1.5078125663056515E-2</v>
      </c>
      <c r="K356" s="122">
        <f t="shared" si="55"/>
        <v>6.1156774525332941E-2</v>
      </c>
      <c r="Y356" s="126">
        <f>IF($Z$1, C356, -0.2)</f>
        <v>-0.2</v>
      </c>
    </row>
    <row r="357" spans="2:25" x14ac:dyDescent="0.3">
      <c r="B357" s="122">
        <v>0.81068900244624797</v>
      </c>
      <c r="C357" s="122">
        <f t="shared" si="47"/>
        <v>1.5347234375895536E-2</v>
      </c>
      <c r="D357" s="126">
        <f t="shared" si="48"/>
        <v>3.0373691781019355E-2</v>
      </c>
      <c r="E357" s="122">
        <f t="shared" si="49"/>
        <v>-6.2137800489249599E-2</v>
      </c>
      <c r="F357" s="122">
        <f t="shared" si="50"/>
        <v>-6.2058011701700028E-2</v>
      </c>
      <c r="G357" s="122">
        <f t="shared" si="51"/>
        <v>0.81257272372584366</v>
      </c>
      <c r="H357" s="122">
        <f t="shared" si="52"/>
        <v>4.5662457392544473E-2</v>
      </c>
      <c r="I357" s="122">
        <f t="shared" si="53"/>
        <v>0.80880528116665229</v>
      </c>
      <c r="J357" s="122">
        <f t="shared" si="54"/>
        <v>-1.4967988640753398E-2</v>
      </c>
      <c r="K357" s="122">
        <f t="shared" si="55"/>
        <v>6.0630446033297869E-2</v>
      </c>
      <c r="Y357" s="126">
        <f>IF($Z$1, C357, -0.2)</f>
        <v>-0.2</v>
      </c>
    </row>
    <row r="358" spans="2:25" x14ac:dyDescent="0.3">
      <c r="B358" s="122">
        <v>0.81314923380018378</v>
      </c>
      <c r="C358" s="122">
        <f t="shared" si="47"/>
        <v>1.5193755737035786E-2</v>
      </c>
      <c r="D358" s="126">
        <f t="shared" si="48"/>
        <v>3.0109432909988843E-2</v>
      </c>
      <c r="E358" s="122">
        <f t="shared" si="49"/>
        <v>-6.2629846760036759E-2</v>
      </c>
      <c r="F358" s="122">
        <f t="shared" si="50"/>
        <v>-6.2548150469393091E-2</v>
      </c>
      <c r="G358" s="122">
        <f t="shared" si="51"/>
        <v>0.81503129539082331</v>
      </c>
      <c r="H358" s="122">
        <f t="shared" si="52"/>
        <v>4.5244309714128433E-2</v>
      </c>
      <c r="I358" s="122">
        <f t="shared" si="53"/>
        <v>0.81126717220954425</v>
      </c>
      <c r="J358" s="122">
        <f t="shared" si="54"/>
        <v>-1.4856798240056857E-2</v>
      </c>
      <c r="K358" s="122">
        <f t="shared" si="55"/>
        <v>6.0101107954185287E-2</v>
      </c>
      <c r="Y358" s="126">
        <f>IF($Z$1, C358, -0.2)</f>
        <v>-0.2</v>
      </c>
    </row>
    <row r="359" spans="2:25" x14ac:dyDescent="0.3">
      <c r="B359" s="122">
        <v>0.81559705295960072</v>
      </c>
      <c r="C359" s="122">
        <f t="shared" si="47"/>
        <v>1.50398500163215E-2</v>
      </c>
      <c r="D359" s="126">
        <f t="shared" si="48"/>
        <v>2.9843694275871597E-2</v>
      </c>
      <c r="E359" s="122">
        <f t="shared" si="49"/>
        <v>-6.3119410591920153E-2</v>
      </c>
      <c r="F359" s="122">
        <f t="shared" si="50"/>
        <v>-6.3035786559467677E-2</v>
      </c>
      <c r="G359" s="122">
        <f t="shared" si="51"/>
        <v>0.81747702810792189</v>
      </c>
      <c r="H359" s="122">
        <f t="shared" si="52"/>
        <v>4.482427180814727E-2</v>
      </c>
      <c r="I359" s="122">
        <f t="shared" si="53"/>
        <v>0.81371707781127955</v>
      </c>
      <c r="J359" s="122">
        <f t="shared" si="54"/>
        <v>-1.474457177550427E-2</v>
      </c>
      <c r="K359" s="122">
        <f t="shared" si="55"/>
        <v>5.956884358365154E-2</v>
      </c>
      <c r="Y359" s="126">
        <f>IF($Z$1, C359, -0.2)</f>
        <v>-0.2</v>
      </c>
    </row>
    <row r="360" spans="2:25" x14ac:dyDescent="0.3">
      <c r="B360" s="122">
        <v>0.81803236290108483</v>
      </c>
      <c r="C360" s="122">
        <f t="shared" si="47"/>
        <v>1.4885541614755271E-2</v>
      </c>
      <c r="D360" s="126">
        <f t="shared" si="48"/>
        <v>2.9576517786496646E-2</v>
      </c>
      <c r="E360" s="122">
        <f t="shared" si="49"/>
        <v>-6.3606472580216969E-2</v>
      </c>
      <c r="F360" s="122">
        <f t="shared" si="50"/>
        <v>-6.3520900871134281E-2</v>
      </c>
      <c r="G360" s="122">
        <f t="shared" si="51"/>
        <v>0.8199098267962277</v>
      </c>
      <c r="H360" s="122">
        <f t="shared" si="52"/>
        <v>4.4402410244360736E-2</v>
      </c>
      <c r="I360" s="122">
        <f t="shared" si="53"/>
        <v>0.81615489900594196</v>
      </c>
      <c r="J360" s="122">
        <f t="shared" si="54"/>
        <v>-1.4631327014850195E-2</v>
      </c>
      <c r="K360" s="122">
        <f t="shared" si="55"/>
        <v>5.9033737259210933E-2</v>
      </c>
      <c r="Y360" s="126">
        <f>IF($Z$1, C360, -0.2)</f>
        <v>-0.2</v>
      </c>
    </row>
    <row r="361" spans="2:25" x14ac:dyDescent="0.3">
      <c r="B361" s="122">
        <v>0.82045506709704696</v>
      </c>
      <c r="C361" s="122">
        <f t="shared" si="47"/>
        <v>1.4730854997182708E-2</v>
      </c>
      <c r="D361" s="126">
        <f t="shared" si="48"/>
        <v>2.9307945871989306E-2</v>
      </c>
      <c r="E361" s="122">
        <f t="shared" si="49"/>
        <v>-6.4091013419409398E-2</v>
      </c>
      <c r="F361" s="122">
        <f t="shared" si="50"/>
        <v>-6.4003474411831296E-2</v>
      </c>
      <c r="G361" s="122">
        <f t="shared" si="51"/>
        <v>0.82232959703076824</v>
      </c>
      <c r="H361" s="122">
        <f t="shared" si="52"/>
        <v>4.397879216825578E-2</v>
      </c>
      <c r="I361" s="122">
        <f t="shared" si="53"/>
        <v>0.81858053716332568</v>
      </c>
      <c r="J361" s="122">
        <f t="shared" si="54"/>
        <v>-1.4517082173890366E-2</v>
      </c>
      <c r="K361" s="122">
        <f t="shared" si="55"/>
        <v>5.8495874342146148E-2</v>
      </c>
      <c r="Y361" s="126">
        <f>IF($Z$1, C361, -0.2)</f>
        <v>-0.2</v>
      </c>
    </row>
    <row r="362" spans="2:25" x14ac:dyDescent="0.3">
      <c r="B362" s="122">
        <v>0.82286506951954708</v>
      </c>
      <c r="C362" s="122">
        <f t="shared" si="47"/>
        <v>1.4575814688413803E-2</v>
      </c>
      <c r="D362" s="126">
        <f t="shared" si="48"/>
        <v>2.9038021475756844E-2</v>
      </c>
      <c r="E362" s="122">
        <f t="shared" si="49"/>
        <v>-6.4573013903909418E-2</v>
      </c>
      <c r="F362" s="122">
        <f t="shared" si="50"/>
        <v>-6.4483488297891078E-2</v>
      </c>
      <c r="G362" s="122">
        <f t="shared" si="51"/>
        <v>0.82473624504607412</v>
      </c>
      <c r="H362" s="122">
        <f t="shared" si="52"/>
        <v>4.3553485287953754E-2</v>
      </c>
      <c r="I362" s="122">
        <f t="shared" si="53"/>
        <v>0.82099389399302003</v>
      </c>
      <c r="J362" s="122">
        <f t="shared" si="54"/>
        <v>-1.4401855911126147E-2</v>
      </c>
      <c r="K362" s="122">
        <f t="shared" si="55"/>
        <v>5.7955341199079899E-2</v>
      </c>
      <c r="Y362" s="126">
        <f>IF($Z$1, C362, -0.2)</f>
        <v>-0.2</v>
      </c>
    </row>
    <row r="363" spans="2:25" x14ac:dyDescent="0.3">
      <c r="B363" s="122">
        <v>0.82526227464410196</v>
      </c>
      <c r="C363" s="122">
        <f t="shared" si="47"/>
        <v>1.4420445269334482E-2</v>
      </c>
      <c r="D363" s="126">
        <f t="shared" si="48"/>
        <v>2.876678804529997E-2</v>
      </c>
      <c r="E363" s="122">
        <f t="shared" si="49"/>
        <v>-6.5052454928820391E-2</v>
      </c>
      <c r="F363" s="122">
        <f t="shared" si="50"/>
        <v>-6.4960923755199476E-2</v>
      </c>
      <c r="G363" s="122">
        <f t="shared" si="51"/>
        <v>0.82712967773964907</v>
      </c>
      <c r="H363" s="122">
        <f t="shared" si="52"/>
        <v>4.312655786094037E-2</v>
      </c>
      <c r="I363" s="122">
        <f t="shared" si="53"/>
        <v>0.82339487154855484</v>
      </c>
      <c r="J363" s="122">
        <f t="shared" si="54"/>
        <v>-1.4285667322271409E-2</v>
      </c>
      <c r="K363" s="122">
        <f t="shared" si="55"/>
        <v>5.7412225183211783E-2</v>
      </c>
      <c r="Y363" s="126">
        <f>IF($Z$1, C363, -0.2)</f>
        <v>-0.2</v>
      </c>
    </row>
    <row r="364" spans="2:25" x14ac:dyDescent="0.3">
      <c r="B364" s="122">
        <v>0.82764658745347019</v>
      </c>
      <c r="C364" s="122">
        <f t="shared" si="47"/>
        <v>1.4264771373009556E-2</v>
      </c>
      <c r="D364" s="126">
        <f t="shared" si="48"/>
        <v>2.8494289522853152E-2</v>
      </c>
      <c r="E364" s="122">
        <f t="shared" si="49"/>
        <v>-6.5529317490694045E-2</v>
      </c>
      <c r="F364" s="122">
        <f t="shared" si="50"/>
        <v>-6.543576211984764E-2</v>
      </c>
      <c r="G364" s="122">
        <f t="shared" si="51"/>
        <v>0.82950980267534125</v>
      </c>
      <c r="H364" s="122">
        <f t="shared" si="52"/>
        <v>4.2698078680622698E-2</v>
      </c>
      <c r="I364" s="122">
        <f t="shared" si="53"/>
        <v>0.82578337223159914</v>
      </c>
      <c r="J364" s="122">
        <f t="shared" si="54"/>
        <v>-1.4168535934603585E-2</v>
      </c>
      <c r="K364" s="122">
        <f t="shared" si="55"/>
        <v>5.6866614615226282E-2</v>
      </c>
      <c r="Y364" s="126">
        <f>IF($Z$1, C364, -0.2)</f>
        <v>-0.2</v>
      </c>
    </row>
    <row r="365" spans="2:25" x14ac:dyDescent="0.3">
      <c r="B365" s="122">
        <v>0.83001791344141862</v>
      </c>
      <c r="C365" s="122">
        <f t="shared" si="47"/>
        <v>1.4108817680777231E-2</v>
      </c>
      <c r="D365" s="126">
        <f t="shared" si="48"/>
        <v>2.8220570335855837E-2</v>
      </c>
      <c r="E365" s="122">
        <f t="shared" si="49"/>
        <v>-6.6003582688283727E-2</v>
      </c>
      <c r="F365" s="122">
        <f t="shared" si="50"/>
        <v>-6.5907984838776898E-2</v>
      </c>
      <c r="G365" s="122">
        <f t="shared" si="51"/>
        <v>0.83187652808661849</v>
      </c>
      <c r="H365" s="122">
        <f t="shared" si="52"/>
        <v>4.2268117062715604E-2</v>
      </c>
      <c r="I365" s="122">
        <f t="shared" si="53"/>
        <v>0.82815929879621875</v>
      </c>
      <c r="J365" s="122">
        <f t="shared" si="54"/>
        <v>-1.4050481701161145E-2</v>
      </c>
      <c r="K365" s="122">
        <f t="shared" si="55"/>
        <v>5.6318598763876751E-2</v>
      </c>
      <c r="Y365" s="126">
        <f>IF($Z$1, C365, -0.2)</f>
        <v>-0.2</v>
      </c>
    </row>
    <row r="366" spans="2:25" x14ac:dyDescent="0.3">
      <c r="B366" s="122">
        <v>0.83237615861646941</v>
      </c>
      <c r="C366" s="122">
        <f t="shared" si="47"/>
        <v>1.3952608918335952E-2</v>
      </c>
      <c r="D366" s="126">
        <f t="shared" si="48"/>
        <v>2.7945675387256959E-2</v>
      </c>
      <c r="E366" s="122">
        <f t="shared" si="49"/>
        <v>-6.6475231723293879E-2</v>
      </c>
      <c r="F366" s="122">
        <f t="shared" si="50"/>
        <v>-6.6377573470416701E-2</v>
      </c>
      <c r="G366" s="122">
        <f t="shared" si="51"/>
        <v>0.8342297628797477</v>
      </c>
      <c r="H366" s="122">
        <f t="shared" si="52"/>
        <v>4.1836742831461098E-2</v>
      </c>
      <c r="I366" s="122">
        <f t="shared" si="53"/>
        <v>0.83052255435319111</v>
      </c>
      <c r="J366" s="122">
        <f t="shared" si="54"/>
        <v>-1.3931524994789191E-2</v>
      </c>
      <c r="K366" s="122">
        <f t="shared" si="55"/>
        <v>5.5768267826250287E-2</v>
      </c>
      <c r="Y366" s="126">
        <f>IF($Z$1, C366, -0.2)</f>
        <v>-0.2</v>
      </c>
    </row>
    <row r="367" spans="2:25" x14ac:dyDescent="0.3">
      <c r="B367" s="122">
        <v>0.83472122950562377</v>
      </c>
      <c r="C367" s="122">
        <f t="shared" si="47"/>
        <v>1.3796169851824358E-2</v>
      </c>
      <c r="D367" s="126">
        <f t="shared" si="48"/>
        <v>2.7669650045655997E-2</v>
      </c>
      <c r="E367" s="122">
        <f t="shared" si="49"/>
        <v>-6.6944245901124758E-2</v>
      </c>
      <c r="F367" s="122">
        <f t="shared" si="50"/>
        <v>-6.6844509685314676E-2</v>
      </c>
      <c r="G367" s="122">
        <f t="shared" si="51"/>
        <v>0.8365694166368739</v>
      </c>
      <c r="H367" s="122">
        <f t="shared" si="52"/>
        <v>4.1404026305684592E-2</v>
      </c>
      <c r="I367" s="122">
        <f t="shared" si="53"/>
        <v>0.83287304237437365</v>
      </c>
      <c r="J367" s="122">
        <f t="shared" si="54"/>
        <v>-1.3811686602035876E-2</v>
      </c>
      <c r="K367" s="122">
        <f t="shared" si="55"/>
        <v>5.5215712907720468E-2</v>
      </c>
      <c r="Y367" s="126">
        <f>IF($Z$1, C367, -0.2)</f>
        <v>-0.2</v>
      </c>
    </row>
    <row r="368" spans="2:25" x14ac:dyDescent="0.3">
      <c r="B368" s="122">
        <v>0.83705303315806845</v>
      </c>
      <c r="C368" s="122">
        <f t="shared" si="47"/>
        <v>1.3639525283894605E-2</v>
      </c>
      <c r="D368" s="126">
        <f t="shared" si="48"/>
        <v>2.7392540135282285E-2</v>
      </c>
      <c r="E368" s="122">
        <f t="shared" si="49"/>
        <v>-6.741060663161369E-2</v>
      </c>
      <c r="F368" s="122">
        <f t="shared" si="50"/>
        <v>-6.730877526676031E-2</v>
      </c>
      <c r="G368" s="122">
        <f t="shared" si="51"/>
        <v>0.83889539961900528</v>
      </c>
      <c r="H368" s="122">
        <f t="shared" si="52"/>
        <v>4.0970038284690362E-2</v>
      </c>
      <c r="I368" s="122">
        <f t="shared" si="53"/>
        <v>0.83521066669713162</v>
      </c>
      <c r="J368" s="122">
        <f t="shared" si="54"/>
        <v>-1.3690987716901151E-2</v>
      </c>
      <c r="K368" s="122">
        <f t="shared" si="55"/>
        <v>5.4661026001591513E-2</v>
      </c>
      <c r="Y368" s="126">
        <f>IF($Z$1, C368, -0.2)</f>
        <v>-0.2</v>
      </c>
    </row>
    <row r="369" spans="2:25" x14ac:dyDescent="0.3">
      <c r="B369" s="122">
        <v>0.83937147714885874</v>
      </c>
      <c r="C369" s="122">
        <f t="shared" si="47"/>
        <v>1.3482700049780161E-2</v>
      </c>
      <c r="D369" s="126">
        <f t="shared" si="48"/>
        <v>2.7114391925816064E-2</v>
      </c>
      <c r="E369" s="122">
        <f t="shared" si="49"/>
        <v>-6.7874295429771747E-2</v>
      </c>
      <c r="F369" s="122">
        <f t="shared" si="50"/>
        <v>-6.7770352111400853E-2</v>
      </c>
      <c r="G369" s="122">
        <f t="shared" si="51"/>
        <v>0.84120762276889827</v>
      </c>
      <c r="H369" s="122">
        <f t="shared" si="52"/>
        <v>4.0534850034000806E-2</v>
      </c>
      <c r="I369" s="122">
        <f t="shared" si="53"/>
        <v>0.8375353315288192</v>
      </c>
      <c r="J369" s="122">
        <f t="shared" si="54"/>
        <v>-1.3569449934440486E-2</v>
      </c>
      <c r="K369" s="122">
        <f t="shared" si="55"/>
        <v>5.4104299968441294E-2</v>
      </c>
      <c r="Y369" s="126">
        <f>IF($Z$1, C369, -0.2)</f>
        <v>-0.2</v>
      </c>
    </row>
    <row r="370" spans="2:25" x14ac:dyDescent="0.3">
      <c r="B370" s="122">
        <v>0.84167646958258346</v>
      </c>
      <c r="C370" s="122">
        <f t="shared" si="47"/>
        <v>1.3325719013358196E-2</v>
      </c>
      <c r="D370" s="126">
        <f t="shared" si="48"/>
        <v>2.6835252122053382E-2</v>
      </c>
      <c r="E370" s="122">
        <f t="shared" si="49"/>
        <v>-6.8335293916516701E-2</v>
      </c>
      <c r="F370" s="122">
        <f t="shared" si="50"/>
        <v>-6.8229222229850728E-2</v>
      </c>
      <c r="G370" s="122">
        <f t="shared" si="51"/>
        <v>0.84350599771384771</v>
      </c>
      <c r="H370" s="122">
        <f t="shared" si="52"/>
        <v>4.0098533270942011E-2</v>
      </c>
      <c r="I370" s="122">
        <f t="shared" si="53"/>
        <v>0.83984694145131922</v>
      </c>
      <c r="J370" s="122">
        <f t="shared" si="54"/>
        <v>-1.3447095244225615E-2</v>
      </c>
      <c r="K370" s="122">
        <f t="shared" si="55"/>
        <v>5.3545628515167622E-2</v>
      </c>
      <c r="Y370" s="126">
        <f>IF($Z$1, C370, -0.2)</f>
        <v>-0.2</v>
      </c>
    </row>
    <row r="371" spans="2:25" x14ac:dyDescent="0.3">
      <c r="B371" s="122">
        <v>0.84396791909700508</v>
      </c>
      <c r="C371" s="122">
        <f t="shared" si="47"/>
        <v>1.3168607063207617E-2</v>
      </c>
      <c r="D371" s="126">
        <f t="shared" si="48"/>
        <v>2.6555167853418285E-2</v>
      </c>
      <c r="E371" s="122">
        <f t="shared" si="49"/>
        <v>-6.8793583819401025E-2</v>
      </c>
      <c r="F371" s="122">
        <f t="shared" si="50"/>
        <v>-6.8685367747292905E-2</v>
      </c>
      <c r="G371" s="122">
        <f t="shared" si="51"/>
        <v>0.84579043676837673</v>
      </c>
      <c r="H371" s="122">
        <f t="shared" si="52"/>
        <v>3.9661160150080116E-2</v>
      </c>
      <c r="I371" s="122">
        <f t="shared" si="53"/>
        <v>0.84214540142563343</v>
      </c>
      <c r="J371" s="122">
        <f t="shared" si="54"/>
        <v>-1.3323946023664884E-2</v>
      </c>
      <c r="K371" s="122">
        <f t="shared" si="55"/>
        <v>5.2985106173745002E-2</v>
      </c>
      <c r="Y371" s="126">
        <f>IF($Z$1, C371, -0.2)</f>
        <v>-0.2</v>
      </c>
    </row>
    <row r="372" spans="2:25" x14ac:dyDescent="0.3">
      <c r="B372" s="122">
        <v>0.84624573486668342</v>
      </c>
      <c r="C372" s="122">
        <f t="shared" si="47"/>
        <v>1.3011389108663042E-2</v>
      </c>
      <c r="D372" s="126">
        <f t="shared" si="48"/>
        <v>2.6274186663324359E-2</v>
      </c>
      <c r="E372" s="122">
        <f t="shared" si="49"/>
        <v>-6.9249146973336687E-2</v>
      </c>
      <c r="F372" s="122">
        <f t="shared" si="50"/>
        <v>-6.913877090407429E-2</v>
      </c>
      <c r="G372" s="122">
        <f t="shared" si="51"/>
        <v>0.84806085293683275</v>
      </c>
      <c r="H372" s="122">
        <f t="shared" si="52"/>
        <v>3.9222803248511143E-2</v>
      </c>
      <c r="I372" s="122">
        <f t="shared" si="53"/>
        <v>0.84443061679653408</v>
      </c>
      <c r="J372" s="122">
        <f t="shared" si="54"/>
        <v>-1.3200025031185059E-2</v>
      </c>
      <c r="K372" s="122">
        <f t="shared" si="55"/>
        <v>5.2422828279696201E-2</v>
      </c>
      <c r="Y372" s="126">
        <f>IF($Z$1, C372, -0.2)</f>
        <v>-0.2</v>
      </c>
    </row>
    <row r="373" spans="2:25" x14ac:dyDescent="0.3">
      <c r="B373" s="122">
        <v>0.84850982660657426</v>
      </c>
      <c r="C373" s="122">
        <f t="shared" si="47"/>
        <v>1.2854090075865555E-2</v>
      </c>
      <c r="D373" s="126">
        <f t="shared" si="48"/>
        <v>2.5992356498389307E-2</v>
      </c>
      <c r="E373" s="122">
        <f t="shared" si="49"/>
        <v>-6.9701965321314854E-2</v>
      </c>
      <c r="F373" s="122">
        <f t="shared" si="50"/>
        <v>-6.9589414056293208E-2</v>
      </c>
      <c r="G373" s="122">
        <f t="shared" si="51"/>
        <v>0.85031715991588364</v>
      </c>
      <c r="H373" s="122">
        <f t="shared" si="52"/>
        <v>3.8783535551008705E-2</v>
      </c>
      <c r="I373" s="122">
        <f t="shared" si="53"/>
        <v>0.84670249329726488</v>
      </c>
      <c r="J373" s="122">
        <f t="shared" si="54"/>
        <v>-1.3075355399277597E-2</v>
      </c>
      <c r="K373" s="122">
        <f t="shared" si="55"/>
        <v>5.1858890950286306E-2</v>
      </c>
      <c r="Y373" s="126">
        <f>IF($Z$1, C373, -0.2)</f>
        <v>-0.2</v>
      </c>
    </row>
    <row r="374" spans="2:25" x14ac:dyDescent="0.3">
      <c r="B374" s="122">
        <v>0.85076010457560836</v>
      </c>
      <c r="C374" s="122">
        <f t="shared" si="47"/>
        <v>1.2696734903810826E-2</v>
      </c>
      <c r="D374" s="126">
        <f t="shared" si="48"/>
        <v>2.5709725697504963E-2</v>
      </c>
      <c r="E374" s="122">
        <f t="shared" si="49"/>
        <v>-7.0152020915121668E-2</v>
      </c>
      <c r="F374" s="122">
        <f t="shared" si="50"/>
        <v>-7.003727967638014E-2</v>
      </c>
      <c r="G374" s="122">
        <f t="shared" si="51"/>
        <v>0.8525592720969184</v>
      </c>
      <c r="H374" s="122">
        <f t="shared" si="52"/>
        <v>3.8343430435032973E-2</v>
      </c>
      <c r="I374" s="122">
        <f t="shared" si="53"/>
        <v>0.84896093705429831</v>
      </c>
      <c r="J374" s="122">
        <f t="shared" si="54"/>
        <v>-1.2949960627411321E-2</v>
      </c>
      <c r="K374" s="122">
        <f t="shared" si="55"/>
        <v>5.1293391062444293E-2</v>
      </c>
      <c r="Y374" s="126">
        <f>IF($Z$1, C374, -0.2)</f>
        <v>-0.2</v>
      </c>
    </row>
    <row r="375" spans="2:25" x14ac:dyDescent="0.3">
      <c r="B375" s="122">
        <v>0.85299647958024849</v>
      </c>
      <c r="C375" s="122">
        <f t="shared" si="47"/>
        <v>1.2539348540395123E-2</v>
      </c>
      <c r="D375" s="126">
        <f t="shared" si="48"/>
        <v>2.5426342980766053E-2</v>
      </c>
      <c r="E375" s="122">
        <f t="shared" si="49"/>
        <v>-7.0599295916049701E-2</v>
      </c>
      <c r="F375" s="122">
        <f t="shared" si="50"/>
        <v>-7.0482350353671439E-2</v>
      </c>
      <c r="G375" s="122">
        <f t="shared" si="51"/>
        <v>0.85478710456835094</v>
      </c>
      <c r="H375" s="122">
        <f t="shared" si="52"/>
        <v>3.79025616556046E-2</v>
      </c>
      <c r="I375" s="122">
        <f t="shared" si="53"/>
        <v>0.85120585459214604</v>
      </c>
      <c r="J375" s="122">
        <f t="shared" si="54"/>
        <v>-1.2823864574814353E-2</v>
      </c>
      <c r="K375" s="122">
        <f t="shared" si="55"/>
        <v>5.0726426230418953E-2</v>
      </c>
      <c r="Y375" s="126">
        <f>IF($Z$1, C375, -0.2)</f>
        <v>-0.2</v>
      </c>
    </row>
    <row r="376" spans="2:25" x14ac:dyDescent="0.3">
      <c r="B376" s="122">
        <v>0.8552188629780243</v>
      </c>
      <c r="C376" s="122">
        <f t="shared" si="47"/>
        <v>1.2381955938459966E-2</v>
      </c>
      <c r="D376" s="126">
        <f t="shared" si="48"/>
        <v>2.5142257438260592E-2</v>
      </c>
      <c r="E376" s="122">
        <f t="shared" si="49"/>
        <v>-7.1043772595604862E-2</v>
      </c>
      <c r="F376" s="122">
        <f t="shared" si="50"/>
        <v>-7.092460879497578E-2</v>
      </c>
      <c r="G376" s="122">
        <f t="shared" si="51"/>
        <v>0.85700057311782663</v>
      </c>
      <c r="H376" s="122">
        <f t="shared" si="52"/>
        <v>3.7461003330047538E-2</v>
      </c>
      <c r="I376" s="122">
        <f t="shared" si="53"/>
        <v>0.85343715283822197</v>
      </c>
      <c r="J376" s="122">
        <f t="shared" si="54"/>
        <v>-1.2697091453127609E-2</v>
      </c>
      <c r="K376" s="122">
        <f t="shared" si="55"/>
        <v>5.015809478317515E-2</v>
      </c>
      <c r="Y376" s="126">
        <f>IF($Z$1, C376, -0.2)</f>
        <v>-0.2</v>
      </c>
    </row>
    <row r="377" spans="2:25" x14ac:dyDescent="0.3">
      <c r="B377" s="122">
        <v>0.8574271666810469</v>
      </c>
      <c r="C377" s="122">
        <f t="shared" si="47"/>
        <v>1.2224582051835908E-2</v>
      </c>
      <c r="D377" s="126">
        <f t="shared" si="48"/>
        <v>2.485751851872502E-2</v>
      </c>
      <c r="E377" s="122">
        <f t="shared" si="49"/>
        <v>-7.1485433336209381E-2</v>
      </c>
      <c r="F377" s="122">
        <f t="shared" si="50"/>
        <v>-7.1364037825134161E-2</v>
      </c>
      <c r="G377" s="122">
        <f t="shared" si="51"/>
        <v>0.85919959423433412</v>
      </c>
      <c r="H377" s="122">
        <f t="shared" si="52"/>
        <v>3.701882992260435E-2</v>
      </c>
      <c r="I377" s="122">
        <f t="shared" si="53"/>
        <v>0.85565473912775969</v>
      </c>
      <c r="J377" s="122">
        <f t="shared" si="54"/>
        <v>-1.2569665818932534E-2</v>
      </c>
      <c r="K377" s="122">
        <f t="shared" si="55"/>
        <v>4.9588495741536884E-2</v>
      </c>
      <c r="Y377" s="126">
        <f>IF($Z$1, C377, -0.2)</f>
        <v>-0.2</v>
      </c>
    </row>
    <row r="378" spans="2:25" x14ac:dyDescent="0.3">
      <c r="B378" s="122">
        <v>0.85962130315949881</v>
      </c>
      <c r="C378" s="122">
        <f t="shared" si="47"/>
        <v>1.2067251831386384E-2</v>
      </c>
      <c r="D378" s="126">
        <f t="shared" si="48"/>
        <v>2.4572176018067517E-2</v>
      </c>
      <c r="E378" s="122">
        <f t="shared" si="49"/>
        <v>-7.1924260631899758E-2</v>
      </c>
      <c r="F378" s="122">
        <f t="shared" si="50"/>
        <v>-7.1800620387572192E-2</v>
      </c>
      <c r="G378" s="122">
        <f t="shared" si="51"/>
        <v>0.86138408511021947</v>
      </c>
      <c r="H378" s="122">
        <f t="shared" si="52"/>
        <v>3.6576116228928465E-2</v>
      </c>
      <c r="I378" s="122">
        <f t="shared" si="53"/>
        <v>0.85785852120877815</v>
      </c>
      <c r="J378" s="122">
        <f t="shared" si="54"/>
        <v>-1.2441612566155696E-2</v>
      </c>
      <c r="K378" s="122">
        <f t="shared" si="55"/>
        <v>4.9017728795084162E-2</v>
      </c>
      <c r="Y378" s="126">
        <f>IF($Z$1, C378, -0.2)</f>
        <v>-0.2</v>
      </c>
    </row>
    <row r="379" spans="2:25" x14ac:dyDescent="0.3">
      <c r="B379" s="122">
        <v>0.86180118544510542</v>
      </c>
      <c r="C379" s="122">
        <f t="shared" si="47"/>
        <v>1.1909990221051648E-2</v>
      </c>
      <c r="D379" s="126">
        <f t="shared" si="48"/>
        <v>2.4286280067762005E-2</v>
      </c>
      <c r="E379" s="122">
        <f t="shared" si="49"/>
        <v>-7.236023708902109E-2</v>
      </c>
      <c r="F379" s="122">
        <f t="shared" si="50"/>
        <v>-7.2234339544846302E-2</v>
      </c>
      <c r="G379" s="122">
        <f t="shared" si="51"/>
        <v>0.86355396364310755</v>
      </c>
      <c r="H379" s="122">
        <f t="shared" si="52"/>
        <v>3.6132937360456099E-2</v>
      </c>
      <c r="I379" s="122">
        <f t="shared" si="53"/>
        <v>0.8600484072471033</v>
      </c>
      <c r="J379" s="122">
        <f t="shared" si="54"/>
        <v>-1.2312956918352807E-2</v>
      </c>
      <c r="K379" s="122">
        <f t="shared" si="55"/>
        <v>4.844589427880891E-2</v>
      </c>
      <c r="Y379" s="126">
        <f>IF($Z$1, C379, -0.2)</f>
        <v>-0.2</v>
      </c>
    </row>
    <row r="380" spans="2:25" x14ac:dyDescent="0.3">
      <c r="B380" s="122">
        <v>0.86396672713457978</v>
      </c>
      <c r="C380" s="122">
        <f t="shared" si="47"/>
        <v>1.1752822153894239E-2</v>
      </c>
      <c r="D380" s="126">
        <f t="shared" si="48"/>
        <v>2.3999881123117208E-2</v>
      </c>
      <c r="E380" s="122">
        <f t="shared" si="49"/>
        <v>-7.2793345426915956E-2</v>
      </c>
      <c r="F380" s="122">
        <f t="shared" si="50"/>
        <v>-7.2665178479182038E-2</v>
      </c>
      <c r="G380" s="122">
        <f t="shared" si="51"/>
        <v>0.8657091484377244</v>
      </c>
      <c r="H380" s="122">
        <f t="shared" si="52"/>
        <v>3.5689368728663656E-2</v>
      </c>
      <c r="I380" s="122">
        <f t="shared" si="53"/>
        <v>0.86222430583143517</v>
      </c>
      <c r="J380" s="122">
        <f t="shared" si="54"/>
        <v>-1.2183724420875177E-2</v>
      </c>
      <c r="K380" s="122">
        <f t="shared" si="55"/>
        <v>4.7873093149538831E-2</v>
      </c>
      <c r="Y380" s="126">
        <f>IF($Z$1, C380, -0.2)</f>
        <v>-0.2</v>
      </c>
    </row>
    <row r="381" spans="2:25" x14ac:dyDescent="0.3">
      <c r="B381" s="122">
        <v>0.86611784239304912</v>
      </c>
      <c r="C381" s="122">
        <f t="shared" si="47"/>
        <v>1.1595772548145845E-2</v>
      </c>
      <c r="D381" s="126">
        <f t="shared" si="48"/>
        <v>2.3713029951422711E-2</v>
      </c>
      <c r="E381" s="122">
        <f t="shared" si="49"/>
        <v>-7.3223568478609821E-2</v>
      </c>
      <c r="F381" s="122">
        <f t="shared" si="50"/>
        <v>-7.3093120493006425E-2</v>
      </c>
      <c r="G381" s="122">
        <f t="shared" si="51"/>
        <v>0.86784955880762948</v>
      </c>
      <c r="H381" s="122">
        <f t="shared" si="52"/>
        <v>3.5245486029212444E-2</v>
      </c>
      <c r="I381" s="122">
        <f t="shared" si="53"/>
        <v>0.86438612597846876</v>
      </c>
      <c r="J381" s="122">
        <f t="shared" si="54"/>
        <v>-1.2053940932920757E-2</v>
      </c>
      <c r="K381" s="122">
        <f t="shared" si="55"/>
        <v>4.7299426962133205E-2</v>
      </c>
      <c r="Y381" s="126">
        <f>IF($Z$1, C381, -0.2)</f>
        <v>-0.2</v>
      </c>
    </row>
    <row r="382" spans="2:25" x14ac:dyDescent="0.3">
      <c r="B382" s="122">
        <v>0.86825444595745616</v>
      </c>
      <c r="C382" s="122">
        <f t="shared" si="47"/>
        <v>1.1438866303256702E-2</v>
      </c>
      <c r="D382" s="126">
        <f t="shared" si="48"/>
        <v>2.3425777619976527E-2</v>
      </c>
      <c r="E382" s="122">
        <f t="shared" si="49"/>
        <v>-7.3650889191491237E-2</v>
      </c>
      <c r="F382" s="122">
        <f t="shared" si="50"/>
        <v>-7.3518149009472872E-2</v>
      </c>
      <c r="G382" s="122">
        <f t="shared" si="51"/>
        <v>0.86997511477685052</v>
      </c>
      <c r="H382" s="122">
        <f t="shared" si="52"/>
        <v>3.4801365225986633E-2</v>
      </c>
      <c r="I382" s="122">
        <f t="shared" si="53"/>
        <v>0.86653377713806179</v>
      </c>
      <c r="J382" s="122">
        <f t="shared" si="54"/>
        <v>-1.1923632619473231E-2</v>
      </c>
      <c r="K382" s="122">
        <f t="shared" si="55"/>
        <v>4.6724997845459866E-2</v>
      </c>
      <c r="Y382" s="126">
        <f>IF($Z$1, C382, -0.2)</f>
        <v>-0.2</v>
      </c>
    </row>
    <row r="383" spans="2:25" x14ac:dyDescent="0.3">
      <c r="B383" s="122">
        <v>0.87037645313993917</v>
      </c>
      <c r="C383" s="122">
        <f t="shared" si="47"/>
        <v>1.1282128295947847E-2</v>
      </c>
      <c r="D383" s="126">
        <f t="shared" si="48"/>
        <v>2.3138175483996763E-2</v>
      </c>
      <c r="E383" s="122">
        <f t="shared" si="49"/>
        <v>-7.407529062798783E-2</v>
      </c>
      <c r="F383" s="122">
        <f t="shared" si="50"/>
        <v>-7.3940247572979415E-2</v>
      </c>
      <c r="G383" s="122">
        <f t="shared" si="51"/>
        <v>0.87208573708142645</v>
      </c>
      <c r="H383" s="122">
        <f t="shared" si="52"/>
        <v>3.4357082535027117E-2</v>
      </c>
      <c r="I383" s="122">
        <f t="shared" si="53"/>
        <v>0.86866716919845188</v>
      </c>
      <c r="J383" s="122">
        <f t="shared" si="54"/>
        <v>-1.1792825943131425E-2</v>
      </c>
      <c r="K383" s="122">
        <f t="shared" si="55"/>
        <v>4.6149908478158544E-2</v>
      </c>
      <c r="Y383" s="126">
        <f>IF($Z$1, C383, -0.2)</f>
        <v>-0.2</v>
      </c>
    </row>
    <row r="384" spans="2:25" x14ac:dyDescent="0.3">
      <c r="B384" s="122">
        <v>0.87248377983118819</v>
      </c>
      <c r="C384" s="122">
        <f t="shared" si="47"/>
        <v>1.112558337626709E-2</v>
      </c>
      <c r="D384" s="126">
        <f t="shared" si="48"/>
        <v>2.2850275174421304E-2</v>
      </c>
      <c r="E384" s="122">
        <f t="shared" si="49"/>
        <v>-7.4496755966237643E-2</v>
      </c>
      <c r="F384" s="122">
        <f t="shared" si="50"/>
        <v>-7.4359399849680263E-2</v>
      </c>
      <c r="G384" s="122">
        <f t="shared" si="51"/>
        <v>0.87418134717085716</v>
      </c>
      <c r="H384" s="122">
        <f t="shared" si="52"/>
        <v>3.3912714408366407E-2</v>
      </c>
      <c r="I384" s="122">
        <f t="shared" si="53"/>
        <v>0.87078621249151922</v>
      </c>
      <c r="J384" s="122">
        <f t="shared" si="54"/>
        <v>-1.1661547655832225E-2</v>
      </c>
      <c r="K384" s="122">
        <f t="shared" si="55"/>
        <v>4.557426206419863E-2</v>
      </c>
      <c r="Y384" s="126">
        <f>IF($Z$1, C384, -0.2)</f>
        <v>-0.2</v>
      </c>
    </row>
    <row r="385" spans="2:25" x14ac:dyDescent="0.3">
      <c r="B385" s="122">
        <v>0.87457634250377958</v>
      </c>
      <c r="C385" s="122">
        <f t="shared" ref="C385:C448" si="56">IF($A$1=0, 0, IF(B385&lt;=$A$2, ($A$1/$A$2^2)*(2*$A$2*B385-B385^2), ($A$1/(1-$A$2)^2)*((1-2*$A$2)+2*$A$2*B385-B385^2)))</f>
        <v>1.0969256363649116E-2</v>
      </c>
      <c r="D385" s="126">
        <f t="shared" ref="D385:D448" si="57">IF(B385&lt;$N$1, ($A$3/0.2)*($O$1*SQRT(B385)+$P$1*B385+$Q$1*(B385^2)+$R$1*(B385^3)), ($A$3/0.2)*($S$1+$T$1*(1-B385)+$U$1*((1-B385)^2)+$V$1*((1-B385)^3)))</f>
        <v>2.2562128585598563E-2</v>
      </c>
      <c r="E385" s="122">
        <f t="shared" ref="E385:E448" si="58">IF($A$1=0, 0, IF(B385&lt;=$A$2, ($A$1/$A$2^2) *(2*$A$2-2*B385), ($A$1/(1-$A$2)^2)*(2*$A$2-2*B385)))</f>
        <v>-7.4915268500755916E-2</v>
      </c>
      <c r="F385" s="122">
        <f t="shared" ref="F385:F448" si="59">IF($A$1=0, 0,  ATAN(E385))</f>
        <v>-7.4775589627990385E-2</v>
      </c>
      <c r="G385" s="122">
        <f t="shared" ref="G385:G448" si="60">B385-D385*SIN(F385)</f>
        <v>0.87626186720946064</v>
      </c>
      <c r="H385" s="122">
        <f t="shared" ref="H385:H448" si="61">C385+D385*COS(F385)</f>
        <v>3.3468337517767885E-2</v>
      </c>
      <c r="I385" s="122">
        <f t="shared" ref="I385:I448" si="62">B385+D385*SIN(F385)</f>
        <v>0.87289081779809852</v>
      </c>
      <c r="J385" s="122">
        <f t="shared" ref="J385:J448" si="63">C385-D385*COS(F385)</f>
        <v>-1.1529824790469654E-2</v>
      </c>
      <c r="K385" s="122">
        <f t="shared" ref="K385:K448" si="64">2*D385*COS(F385)</f>
        <v>4.4998162308237541E-2</v>
      </c>
      <c r="Y385" s="126">
        <f>IF($Z$1, C385, -0.2)</f>
        <v>-0.2</v>
      </c>
    </row>
    <row r="386" spans="2:25" x14ac:dyDescent="0.3">
      <c r="B386" s="122">
        <v>0.87665405821548581</v>
      </c>
      <c r="C386" s="122">
        <f t="shared" si="56"/>
        <v>1.0813172042980546E-2</v>
      </c>
      <c r="D386" s="126">
        <f t="shared" si="57"/>
        <v>2.2273787862873255E-2</v>
      </c>
      <c r="E386" s="122">
        <f t="shared" si="58"/>
        <v>-7.533081164309717E-2</v>
      </c>
      <c r="F386" s="122">
        <f t="shared" si="59"/>
        <v>-7.5188800819083496E-2</v>
      </c>
      <c r="G386" s="122">
        <f t="shared" si="60"/>
        <v>0.8783272200776383</v>
      </c>
      <c r="H386" s="122">
        <f t="shared" si="61"/>
        <v>3.3024028738374317E-2</v>
      </c>
      <c r="I386" s="122">
        <f t="shared" si="62"/>
        <v>0.87498089635333332</v>
      </c>
      <c r="J386" s="122">
        <f t="shared" si="63"/>
        <v>-1.1397684652413222E-2</v>
      </c>
      <c r="K386" s="122">
        <f t="shared" si="64"/>
        <v>4.4421713390787536E-2</v>
      </c>
      <c r="Y386" s="126">
        <f>IF($Z$1, C386, -0.2)</f>
        <v>-0.2</v>
      </c>
    </row>
    <row r="387" spans="2:25" x14ac:dyDescent="0.3">
      <c r="B387" s="122">
        <v>0.8787168446125635</v>
      </c>
      <c r="C387" s="122">
        <f t="shared" si="56"/>
        <v>1.0657355160670345E-2</v>
      </c>
      <c r="D387" s="126">
        <f t="shared" si="57"/>
        <v>2.1985305390070303E-2</v>
      </c>
      <c r="E387" s="122">
        <f t="shared" si="58"/>
        <v>-7.574336892251271E-2</v>
      </c>
      <c r="F387" s="122">
        <f t="shared" si="59"/>
        <v>-7.5599017457383191E-2</v>
      </c>
      <c r="G387" s="122">
        <f t="shared" si="60"/>
        <v>0.8803773293730498</v>
      </c>
      <c r="H387" s="122">
        <f t="shared" si="61"/>
        <v>3.2579865132269112E-2</v>
      </c>
      <c r="I387" s="122">
        <f t="shared" si="62"/>
        <v>0.87705635985207719</v>
      </c>
      <c r="J387" s="122">
        <f t="shared" si="63"/>
        <v>-1.1265154810928418E-2</v>
      </c>
      <c r="K387" s="122">
        <f t="shared" si="64"/>
        <v>4.3845019943197526E-2</v>
      </c>
      <c r="Y387" s="126">
        <f>IF($Z$1, C387, -0.2)</f>
        <v>-0.2</v>
      </c>
    </row>
    <row r="388" spans="2:25" x14ac:dyDescent="0.3">
      <c r="B388" s="122">
        <v>0.88076461993301847</v>
      </c>
      <c r="C388" s="122">
        <f t="shared" si="56"/>
        <v>1.05018304207264E-2</v>
      </c>
      <c r="D388" s="126">
        <f t="shared" si="57"/>
        <v>2.1696733776880518E-2</v>
      </c>
      <c r="E388" s="122">
        <f t="shared" si="58"/>
        <v>-7.6152923986603699E-2</v>
      </c>
      <c r="F388" s="122">
        <f t="shared" si="59"/>
        <v>-7.6006223701047843E-2</v>
      </c>
      <c r="G388" s="122">
        <f t="shared" si="60"/>
        <v>0.88241211941169817</v>
      </c>
      <c r="H388" s="122">
        <f t="shared" si="61"/>
        <v>3.2135923931954878E-2</v>
      </c>
      <c r="I388" s="122">
        <f t="shared" si="62"/>
        <v>0.87911712045433876</v>
      </c>
      <c r="J388" s="122">
        <f t="shared" si="63"/>
        <v>-1.113226309050208E-2</v>
      </c>
      <c r="K388" s="122">
        <f t="shared" si="64"/>
        <v>4.326818702245696E-2</v>
      </c>
      <c r="Y388" s="126">
        <f>IF($Z$1, C388, -0.2)</f>
        <v>-0.2</v>
      </c>
    </row>
    <row r="389" spans="2:25" x14ac:dyDescent="0.3">
      <c r="B389" s="122">
        <v>0.8827973030098446</v>
      </c>
      <c r="C389" s="122">
        <f t="shared" si="56"/>
        <v>1.0346622480838919E-2</v>
      </c>
      <c r="D389" s="126">
        <f t="shared" si="57"/>
        <v>2.1408125846152277E-2</v>
      </c>
      <c r="E389" s="122">
        <f t="shared" si="58"/>
        <v>-7.6559460601968929E-2</v>
      </c>
      <c r="F389" s="122">
        <f t="shared" si="59"/>
        <v>-7.6410403832448071E-2</v>
      </c>
      <c r="G389" s="122">
        <f t="shared" si="60"/>
        <v>0.88443151522892316</v>
      </c>
      <c r="H389" s="122">
        <f t="shared" si="61"/>
        <v>3.1692282523754139E-2</v>
      </c>
      <c r="I389" s="122">
        <f t="shared" si="62"/>
        <v>0.88116309079076605</v>
      </c>
      <c r="J389" s="122">
        <f t="shared" si="63"/>
        <v>-1.09990375620763E-2</v>
      </c>
      <c r="K389" s="122">
        <f t="shared" si="64"/>
        <v>4.2691320085830438E-2</v>
      </c>
      <c r="Y389" s="126">
        <f>IF($Z$1, C389, -0.2)</f>
        <v>-0.2</v>
      </c>
    </row>
    <row r="390" spans="2:25" x14ac:dyDescent="0.3">
      <c r="B390" s="122">
        <v>0.88481481327424305</v>
      </c>
      <c r="C390" s="122">
        <f t="shared" si="56"/>
        <v>1.019175594847095E-2</v>
      </c>
      <c r="D390" s="126">
        <f t="shared" si="57"/>
        <v>2.111953462109167E-2</v>
      </c>
      <c r="E390" s="122">
        <f t="shared" si="58"/>
        <v>-7.6962962654848616E-2</v>
      </c>
      <c r="F390" s="122">
        <f t="shared" si="59"/>
        <v>-7.6811542258638454E-2</v>
      </c>
      <c r="G390" s="122">
        <f t="shared" si="60"/>
        <v>0.88643544258030971</v>
      </c>
      <c r="H390" s="122">
        <f t="shared" si="61"/>
        <v>3.1249018431134923E-2</v>
      </c>
      <c r="I390" s="122">
        <f t="shared" si="62"/>
        <v>0.88319418396817639</v>
      </c>
      <c r="J390" s="122">
        <f t="shared" si="63"/>
        <v>-1.0865506534193025E-2</v>
      </c>
      <c r="K390" s="122">
        <f t="shared" si="64"/>
        <v>4.211452496532795E-2</v>
      </c>
      <c r="Y390" s="126">
        <f>IF($Z$1, C390, -0.2)</f>
        <v>-0.2</v>
      </c>
    </row>
    <row r="391" spans="2:25" x14ac:dyDescent="0.3">
      <c r="B391" s="122">
        <v>0.88681707075881411</v>
      </c>
      <c r="C391" s="122">
        <f t="shared" si="56"/>
        <v>1.0037255376957056E-2</v>
      </c>
      <c r="D391" s="126">
        <f t="shared" si="57"/>
        <v>2.0831013312376131E-2</v>
      </c>
      <c r="E391" s="122">
        <f t="shared" si="58"/>
        <v>-7.736341415176283E-2</v>
      </c>
      <c r="F391" s="122">
        <f t="shared" si="59"/>
        <v>-7.7209623511822076E-2</v>
      </c>
      <c r="G391" s="122">
        <f t="shared" si="60"/>
        <v>0.88842382794250407</v>
      </c>
      <c r="H391" s="122">
        <f t="shared" si="61"/>
        <v>3.080620929796743E-2</v>
      </c>
      <c r="I391" s="122">
        <f t="shared" si="62"/>
        <v>0.88521031357512414</v>
      </c>
      <c r="J391" s="122">
        <f t="shared" si="63"/>
        <v>-1.0731698544053319E-2</v>
      </c>
      <c r="K391" s="122">
        <f t="shared" si="64"/>
        <v>4.1537907842020751E-2</v>
      </c>
      <c r="Y391" s="126">
        <f>IF($Z$1, C391, -0.2)</f>
        <v>-0.2</v>
      </c>
    </row>
    <row r="392" spans="2:25" x14ac:dyDescent="0.3">
      <c r="B392" s="122">
        <v>0.88880399610072813</v>
      </c>
      <c r="C392" s="122">
        <f t="shared" si="56"/>
        <v>9.8831452616104931E-3</v>
      </c>
      <c r="D392" s="126">
        <f t="shared" si="57"/>
        <v>2.0542615305184097E-2</v>
      </c>
      <c r="E392" s="122">
        <f t="shared" si="58"/>
        <v>-7.7760799220145629E-2</v>
      </c>
      <c r="F392" s="122">
        <f t="shared" si="59"/>
        <v>-7.760463224980893E-2</v>
      </c>
      <c r="G392" s="122">
        <f t="shared" si="60"/>
        <v>0.89039659851394792</v>
      </c>
      <c r="H392" s="122">
        <f t="shared" si="61"/>
        <v>3.0363932871714516E-2</v>
      </c>
      <c r="I392" s="122">
        <f t="shared" si="62"/>
        <v>0.88721139368750834</v>
      </c>
      <c r="J392" s="122">
        <f t="shared" si="63"/>
        <v>-1.059764234849353E-2</v>
      </c>
      <c r="K392" s="122">
        <f t="shared" si="64"/>
        <v>4.0961575220208046E-2</v>
      </c>
      <c r="Y392" s="126">
        <f>IF($Z$1, C392, -0.2)</f>
        <v>-0.2</v>
      </c>
    </row>
    <row r="393" spans="2:25" x14ac:dyDescent="0.3">
      <c r="B393" s="122">
        <v>0.89077551054487025</v>
      </c>
      <c r="C393" s="122">
        <f t="shared" si="56"/>
        <v>9.7294500358396045E-3</v>
      </c>
      <c r="D393" s="126">
        <f t="shared" si="57"/>
        <v>2.0254394146145348E-2</v>
      </c>
      <c r="E393" s="122">
        <f t="shared" si="58"/>
        <v>-7.8155102108974056E-2</v>
      </c>
      <c r="F393" s="122">
        <f t="shared" si="59"/>
        <v>-7.7996553256467538E-2</v>
      </c>
      <c r="G393" s="122">
        <f t="shared" si="60"/>
        <v>0.89235368221552169</v>
      </c>
      <c r="H393" s="122">
        <f t="shared" si="61"/>
        <v>2.9922266986561467E-2</v>
      </c>
      <c r="I393" s="122">
        <f t="shared" si="62"/>
        <v>0.88919733887421881</v>
      </c>
      <c r="J393" s="122">
        <f t="shared" si="63"/>
        <v>-1.0463366914882257E-2</v>
      </c>
      <c r="K393" s="122">
        <f t="shared" si="64"/>
        <v>4.0385633901443722E-2</v>
      </c>
      <c r="Y393" s="126">
        <f>IF($Z$1, C393, -0.2)</f>
        <v>-0.2</v>
      </c>
    </row>
    <row r="394" spans="2:25" x14ac:dyDescent="0.3">
      <c r="B394" s="122">
        <v>0.89273153594696253</v>
      </c>
      <c r="C394" s="122">
        <f t="shared" si="56"/>
        <v>9.5761940672739691E-3</v>
      </c>
      <c r="D394" s="126">
        <f t="shared" si="57"/>
        <v>1.9966403530215202E-2</v>
      </c>
      <c r="E394" s="122">
        <f t="shared" si="58"/>
        <v>-7.8546307189392511E-2</v>
      </c>
      <c r="F394" s="122">
        <f t="shared" si="59"/>
        <v>-7.8385371442170323E-2</v>
      </c>
      <c r="G394" s="122">
        <f t="shared" si="60"/>
        <v>0.89429500769110715</v>
      </c>
      <c r="H394" s="122">
        <f t="shared" si="61"/>
        <v>2.9481289546488619E-2</v>
      </c>
      <c r="I394" s="122">
        <f t="shared" si="62"/>
        <v>0.89116806420281791</v>
      </c>
      <c r="J394" s="122">
        <f t="shared" si="63"/>
        <v>-1.0328901411940683E-2</v>
      </c>
      <c r="K394" s="122">
        <f t="shared" si="64"/>
        <v>3.9810190958429303E-2</v>
      </c>
      <c r="Y394" s="126">
        <f>IF($Z$1, C394, -0.2)</f>
        <v>-0.2</v>
      </c>
    </row>
    <row r="395" spans="2:25" x14ac:dyDescent="0.3">
      <c r="B395" s="122">
        <v>0.89467199477666082</v>
      </c>
      <c r="C395" s="122">
        <f t="shared" si="56"/>
        <v>9.423401653901143E-3</v>
      </c>
      <c r="D395" s="126">
        <f t="shared" si="57"/>
        <v>1.9678697287476735E-2</v>
      </c>
      <c r="E395" s="122">
        <f t="shared" si="58"/>
        <v>-7.8934398955332163E-2</v>
      </c>
      <c r="F395" s="122">
        <f t="shared" si="59"/>
        <v>-7.8771071844232474E-2</v>
      </c>
      <c r="G395" s="122">
        <f t="shared" si="60"/>
        <v>0.8962205043080621</v>
      </c>
      <c r="H395" s="122">
        <f t="shared" si="61"/>
        <v>2.9041078508292021E-2</v>
      </c>
      <c r="I395" s="122">
        <f t="shared" si="62"/>
        <v>0.89312348524525953</v>
      </c>
      <c r="J395" s="122">
        <f t="shared" si="63"/>
        <v>-1.0194275200489735E-2</v>
      </c>
      <c r="K395" s="122">
        <f t="shared" si="64"/>
        <v>3.9235353708781756E-2</v>
      </c>
      <c r="Y395" s="126">
        <f>IF($Z$1, C395, -0.2)</f>
        <v>-0.2</v>
      </c>
    </row>
    <row r="396" spans="2:25" x14ac:dyDescent="0.3">
      <c r="B396" s="122">
        <v>0.89659681012062897</v>
      </c>
      <c r="C396" s="122">
        <f t="shared" si="56"/>
        <v>9.2710970202141817E-3</v>
      </c>
      <c r="D396" s="126">
        <f t="shared" si="57"/>
        <v>1.9391329369874491E-2</v>
      </c>
      <c r="E396" s="122">
        <f t="shared" si="58"/>
        <v>-7.9319362024125803E-2</v>
      </c>
      <c r="F396" s="122">
        <f t="shared" si="59"/>
        <v>-7.9153639627344605E-2</v>
      </c>
      <c r="G396" s="122">
        <f t="shared" si="60"/>
        <v>0.89813010215761624</v>
      </c>
      <c r="H396" s="122">
        <f t="shared" si="61"/>
        <v>2.8601711864555492E-2</v>
      </c>
      <c r="I396" s="122">
        <f t="shared" si="62"/>
        <v>0.89506351808364171</v>
      </c>
      <c r="J396" s="122">
        <f t="shared" si="63"/>
        <v>-1.0059517824127126E-2</v>
      </c>
      <c r="K396" s="122">
        <f t="shared" si="64"/>
        <v>3.8661229688682616E-2</v>
      </c>
      <c r="Y396" s="126">
        <f>IF($Z$1, C396, -0.2)</f>
        <v>-0.2</v>
      </c>
    </row>
    <row r="397" spans="2:25" x14ac:dyDescent="0.3">
      <c r="B397" s="122">
        <v>0.89850590568558575</v>
      </c>
      <c r="C397" s="122">
        <f t="shared" si="56"/>
        <v>9.1193043133711016E-3</v>
      </c>
      <c r="D397" s="126">
        <f t="shared" si="57"/>
        <v>1.910435383788418E-2</v>
      </c>
      <c r="E397" s="122">
        <f t="shared" si="58"/>
        <v>-7.9701181137117161E-2</v>
      </c>
      <c r="F397" s="122">
        <f t="shared" si="59"/>
        <v>-7.9533060083998686E-2</v>
      </c>
      <c r="G397" s="122">
        <f t="shared" si="60"/>
        <v>0.90002373205518038</v>
      </c>
      <c r="H397" s="122">
        <f t="shared" si="61"/>
        <v>2.8163267626579912E-2</v>
      </c>
      <c r="I397" s="122">
        <f t="shared" si="62"/>
        <v>0.89698807931599112</v>
      </c>
      <c r="J397" s="122">
        <f t="shared" si="63"/>
        <v>-9.9246589998377086E-3</v>
      </c>
      <c r="K397" s="122">
        <f t="shared" si="64"/>
        <v>3.808792662641762E-2</v>
      </c>
      <c r="Y397" s="126">
        <f>IF($Z$1, C397, -0.2)</f>
        <v>-0.2</v>
      </c>
    </row>
    <row r="398" spans="2:25" x14ac:dyDescent="0.3">
      <c r="B398" s="122">
        <v>0.90039920580133004</v>
      </c>
      <c r="C398" s="122">
        <f t="shared" si="56"/>
        <v>8.968047599366414E-3</v>
      </c>
      <c r="D398" s="126">
        <f t="shared" si="57"/>
        <v>1.8817824847121464E-2</v>
      </c>
      <c r="E398" s="122">
        <f t="shared" si="58"/>
        <v>-8.0079841160266008E-2</v>
      </c>
      <c r="F398" s="122">
        <f t="shared" si="59"/>
        <v>-7.9909318634908119E-2</v>
      </c>
      <c r="G398" s="122">
        <f t="shared" si="60"/>
        <v>0.901901325540579</v>
      </c>
      <c r="H398" s="122">
        <f t="shared" si="61"/>
        <v>2.7725823807272842E-2</v>
      </c>
      <c r="I398" s="122">
        <f t="shared" si="62"/>
        <v>0.89889708606208107</v>
      </c>
      <c r="J398" s="122">
        <f t="shared" si="63"/>
        <v>-9.7897286085400145E-3</v>
      </c>
      <c r="K398" s="122">
        <f t="shared" si="64"/>
        <v>3.7515552415812857E-2</v>
      </c>
      <c r="Y398" s="126">
        <f>IF($Z$1, C398, -0.2)</f>
        <v>-0.2</v>
      </c>
    </row>
    <row r="399" spans="2:25" x14ac:dyDescent="0.3">
      <c r="B399" s="122">
        <v>0.90227663542373993</v>
      </c>
      <c r="C399" s="122">
        <f t="shared" si="56"/>
        <v>8.8173508592155458E-3</v>
      </c>
      <c r="D399" s="126">
        <f t="shared" si="57"/>
        <v>1.8531796634894297E-2</v>
      </c>
      <c r="E399" s="122">
        <f t="shared" si="58"/>
        <v>-8.0455327084747993E-2</v>
      </c>
      <c r="F399" s="122">
        <f t="shared" si="59"/>
        <v>-8.0282400829421452E-2</v>
      </c>
      <c r="G399" s="122">
        <f t="shared" si="60"/>
        <v>0.90376281487820054</v>
      </c>
      <c r="H399" s="122">
        <f t="shared" si="61"/>
        <v>2.7289458404003687E-2</v>
      </c>
      <c r="I399" s="122">
        <f t="shared" si="62"/>
        <v>0.90079045596927931</v>
      </c>
      <c r="J399" s="122">
        <f t="shared" si="63"/>
        <v>-9.6547566855725939E-3</v>
      </c>
      <c r="K399" s="122">
        <f t="shared" si="64"/>
        <v>3.6944215089576279E-2</v>
      </c>
      <c r="Y399" s="126">
        <f>IF($Z$1, C399, -0.2)</f>
        <v>-0.2</v>
      </c>
    </row>
    <row r="400" spans="2:25" x14ac:dyDescent="0.3">
      <c r="B400" s="122">
        <v>0.90413812013774664</v>
      </c>
      <c r="C400" s="122">
        <f t="shared" si="56"/>
        <v>8.6672379851528321E-3</v>
      </c>
      <c r="D400" s="126">
        <f t="shared" si="57"/>
        <v>1.8246323506702664E-2</v>
      </c>
      <c r="E400" s="122">
        <f t="shared" si="58"/>
        <v>-8.0827624027549339E-2</v>
      </c>
      <c r="F400" s="122">
        <f t="shared" si="59"/>
        <v>-8.0652292345929577E-2</v>
      </c>
      <c r="G400" s="122">
        <f t="shared" si="60"/>
        <v>0.90560813305706955</v>
      </c>
      <c r="H400" s="122">
        <f t="shared" si="61"/>
        <v>2.685424938142885E-2</v>
      </c>
      <c r="I400" s="122">
        <f t="shared" si="62"/>
        <v>0.90266810721842372</v>
      </c>
      <c r="J400" s="122">
        <f t="shared" si="63"/>
        <v>-9.5197734111231863E-3</v>
      </c>
      <c r="K400" s="122">
        <f t="shared" si="64"/>
        <v>3.6374022792552037E-2</v>
      </c>
      <c r="Y400" s="126">
        <f>IF($Z$1, C400, -0.2)</f>
        <v>-0.2</v>
      </c>
    </row>
    <row r="401" spans="2:25" x14ac:dyDescent="0.3">
      <c r="B401" s="122">
        <v>0.9059835861602854</v>
      </c>
      <c r="C401" s="122">
        <f t="shared" si="56"/>
        <v>8.5177327768434126E-3</v>
      </c>
      <c r="D401" s="126">
        <f t="shared" si="57"/>
        <v>1.7961459822689312E-2</v>
      </c>
      <c r="E401" s="122">
        <f t="shared" si="58"/>
        <v>-8.1196717232057083E-2</v>
      </c>
      <c r="F401" s="122">
        <f t="shared" si="59"/>
        <v>-8.1018978992267343E-2</v>
      </c>
      <c r="G401" s="122">
        <f t="shared" si="60"/>
        <v>0.90743721379084352</v>
      </c>
      <c r="H401" s="122">
        <f t="shared" si="61"/>
        <v>2.6420274654290879E-2</v>
      </c>
      <c r="I401" s="122">
        <f t="shared" si="62"/>
        <v>0.90452995852972728</v>
      </c>
      <c r="J401" s="122">
        <f t="shared" si="63"/>
        <v>-9.3848091006040538E-3</v>
      </c>
      <c r="K401" s="122">
        <f t="shared" si="64"/>
        <v>3.5805083754894933E-2</v>
      </c>
      <c r="Y401" s="126">
        <f>IF($Z$1, C401, -0.2)</f>
        <v>-0.2</v>
      </c>
    </row>
    <row r="402" spans="2:25" x14ac:dyDescent="0.3">
      <c r="B402" s="122">
        <v>0.9078129603432179</v>
      </c>
      <c r="C402" s="122">
        <f t="shared" si="56"/>
        <v>8.3688589376101023E-3</v>
      </c>
      <c r="D402" s="126">
        <f t="shared" si="57"/>
        <v>1.7677259984046297E-2</v>
      </c>
      <c r="E402" s="122">
        <f t="shared" si="58"/>
        <v>-8.156259206864358E-2</v>
      </c>
      <c r="F402" s="122">
        <f t="shared" si="59"/>
        <v>-8.1382446706108363E-2</v>
      </c>
      <c r="G402" s="122">
        <f t="shared" si="60"/>
        <v>0.90924999151772923</v>
      </c>
      <c r="H402" s="122">
        <f t="shared" si="61"/>
        <v>2.5987612070197182E-2</v>
      </c>
      <c r="I402" s="122">
        <f t="shared" si="62"/>
        <v>0.90637592916870657</v>
      </c>
      <c r="J402" s="122">
        <f t="shared" si="63"/>
        <v>-9.2498941949769788E-3</v>
      </c>
      <c r="K402" s="122">
        <f t="shared" si="64"/>
        <v>3.5237506265174162E-2</v>
      </c>
      <c r="Y402" s="126">
        <f>IF($Z$1, C402, -0.2)</f>
        <v>-0.2</v>
      </c>
    </row>
    <row r="403" spans="2:25" x14ac:dyDescent="0.3">
      <c r="B403" s="122">
        <v>0.90962617017623426</v>
      </c>
      <c r="C403" s="122">
        <f t="shared" si="56"/>
        <v>8.2206400706750782E-3</v>
      </c>
      <c r="D403" s="126">
        <f t="shared" si="57"/>
        <v>1.7393778419379984E-2</v>
      </c>
      <c r="E403" s="122">
        <f t="shared" si="58"/>
        <v>-8.1925234035246861E-2</v>
      </c>
      <c r="F403" s="122">
        <f t="shared" si="59"/>
        <v>-8.1742681555354565E-2</v>
      </c>
      <c r="G403" s="122">
        <f t="shared" si="60"/>
        <v>0.91104640140032966</v>
      </c>
      <c r="H403" s="122">
        <f t="shared" si="61"/>
        <v>2.5556339392380948E-2</v>
      </c>
      <c r="I403" s="122">
        <f t="shared" si="62"/>
        <v>0.90820593895213886</v>
      </c>
      <c r="J403" s="122">
        <f t="shared" si="63"/>
        <v>-9.1150592510307916E-3</v>
      </c>
      <c r="K403" s="122">
        <f t="shared" si="64"/>
        <v>3.467139864341174E-2</v>
      </c>
      <c r="Y403" s="126">
        <f>IF($Z$1, C403, -0.2)</f>
        <v>-0.2</v>
      </c>
    </row>
    <row r="404" spans="2:25" x14ac:dyDescent="0.3">
      <c r="B404" s="122">
        <v>0.91142314378972433</v>
      </c>
      <c r="C404" s="122">
        <f t="shared" si="56"/>
        <v>8.0730996754179839E-3</v>
      </c>
      <c r="D404" s="126">
        <f t="shared" si="57"/>
        <v>1.7111069571040246E-2</v>
      </c>
      <c r="E404" s="122">
        <f t="shared" si="58"/>
        <v>-8.2284628757944872E-2</v>
      </c>
      <c r="F404" s="122">
        <f t="shared" si="59"/>
        <v>-8.2099669738518677E-2</v>
      </c>
      <c r="G404" s="122">
        <f t="shared" si="60"/>
        <v>0.912826379325412</v>
      </c>
      <c r="H404" s="122">
        <f t="shared" si="61"/>
        <v>2.5126534282451339E-2</v>
      </c>
      <c r="I404" s="122">
        <f t="shared" si="62"/>
        <v>0.91001990825403667</v>
      </c>
      <c r="J404" s="122">
        <f t="shared" si="63"/>
        <v>-8.9803349316153695E-3</v>
      </c>
      <c r="K404" s="122">
        <f t="shared" si="64"/>
        <v>3.4106869214066707E-2</v>
      </c>
      <c r="Y404" s="126">
        <f>IF($Z$1, C404, -0.2)</f>
        <v>-0.2</v>
      </c>
    </row>
    <row r="405" spans="2:25" x14ac:dyDescent="0.3">
      <c r="B405" s="122">
        <v>0.91320380995762895</v>
      </c>
      <c r="C405" s="122">
        <f t="shared" si="56"/>
        <v>7.9262611436499708E-3</v>
      </c>
      <c r="D405" s="126">
        <f t="shared" si="57"/>
        <v>1.682918788141612E-2</v>
      </c>
      <c r="E405" s="122">
        <f t="shared" si="58"/>
        <v>-8.2640761991525799E-2</v>
      </c>
      <c r="F405" s="122">
        <f t="shared" si="59"/>
        <v>-8.2453397585101895E-2</v>
      </c>
      <c r="G405" s="122">
        <f t="shared" si="60"/>
        <v>0.91458986190360791</v>
      </c>
      <c r="H405" s="122">
        <f t="shared" si="61"/>
        <v>2.4698274283134786E-2</v>
      </c>
      <c r="I405" s="122">
        <f t="shared" si="62"/>
        <v>0.91181775801164999</v>
      </c>
      <c r="J405" s="122">
        <f t="shared" si="63"/>
        <v>-8.8457519958348441E-3</v>
      </c>
      <c r="K405" s="122">
        <f t="shared" si="64"/>
        <v>3.354402627896963E-2</v>
      </c>
      <c r="Y405" s="126">
        <f>IF($Z$1, C405, -0.2)</f>
        <v>-0.2</v>
      </c>
    </row>
    <row r="406" spans="2:25" x14ac:dyDescent="0.3">
      <c r="B406" s="122">
        <v>0.91496809810026081</v>
      </c>
      <c r="C406" s="122">
        <f t="shared" si="56"/>
        <v>7.7801477559052319E-3</v>
      </c>
      <c r="D406" s="126">
        <f t="shared" si="57"/>
        <v>1.654818777920353E-2</v>
      </c>
      <c r="E406" s="122">
        <f t="shared" si="58"/>
        <v>-8.2993619620052167E-2</v>
      </c>
      <c r="F406" s="122">
        <f t="shared" si="59"/>
        <v>-8.2803851555964494E-2</v>
      </c>
      <c r="G406" s="122">
        <f t="shared" si="60"/>
        <v>0.91633678646903882</v>
      </c>
      <c r="H406" s="122">
        <f t="shared" si="61"/>
        <v>2.4271636801014313E-2</v>
      </c>
      <c r="I406" s="122">
        <f t="shared" si="62"/>
        <v>0.91359940973148279</v>
      </c>
      <c r="J406" s="122">
        <f t="shared" si="63"/>
        <v>-8.7113412892038493E-3</v>
      </c>
      <c r="K406" s="122">
        <f t="shared" si="64"/>
        <v>3.2982978090218162E-2</v>
      </c>
      <c r="Y406" s="126">
        <f>IF($Z$1, C406, -0.2)</f>
        <v>-0.2</v>
      </c>
    </row>
    <row r="407" spans="2:25" x14ac:dyDescent="0.3">
      <c r="B407" s="122">
        <v>0.91671593828710374</v>
      </c>
      <c r="C407" s="122">
        <f t="shared" si="56"/>
        <v>7.6347826777498741E-3</v>
      </c>
      <c r="D407" s="126">
        <f t="shared" si="57"/>
        <v>1.6268123665647893E-2</v>
      </c>
      <c r="E407" s="122">
        <f t="shared" si="58"/>
        <v>-8.3343187657420756E-2</v>
      </c>
      <c r="F407" s="122">
        <f t="shared" si="59"/>
        <v>-8.3151018243691491E-2</v>
      </c>
      <c r="G407" s="122">
        <f t="shared" si="60"/>
        <v>0.91806709107887541</v>
      </c>
      <c r="H407" s="122">
        <f t="shared" si="61"/>
        <v>2.3846699089269535E-2</v>
      </c>
      <c r="I407" s="122">
        <f t="shared" si="62"/>
        <v>0.91536478549533207</v>
      </c>
      <c r="J407" s="122">
        <f t="shared" si="63"/>
        <v>-8.5771337337697887E-3</v>
      </c>
      <c r="K407" s="122">
        <f t="shared" si="64"/>
        <v>3.2423832823039324E-2</v>
      </c>
      <c r="Y407" s="126">
        <f>IF($Z$1, C407, -0.2)</f>
        <v>-0.2</v>
      </c>
    </row>
    <row r="408" spans="2:25" x14ac:dyDescent="0.3">
      <c r="B408" s="122">
        <v>0.91844726123958387</v>
      </c>
      <c r="C408" s="122">
        <f t="shared" si="56"/>
        <v>7.490188956109145E-3</v>
      </c>
      <c r="D408" s="126">
        <f t="shared" si="57"/>
        <v>1.5989049900766508E-2</v>
      </c>
      <c r="E408" s="122">
        <f t="shared" si="58"/>
        <v>-8.3689452247916782E-2</v>
      </c>
      <c r="F408" s="122">
        <f t="shared" si="59"/>
        <v>-8.3494884372951841E-2</v>
      </c>
      <c r="G408" s="122">
        <f t="shared" si="60"/>
        <v>0.91978071451282595</v>
      </c>
      <c r="H408" s="122">
        <f t="shared" si="61"/>
        <v>2.3423538230423112E-2</v>
      </c>
      <c r="I408" s="122">
        <f t="shared" si="62"/>
        <v>0.91711380796634179</v>
      </c>
      <c r="J408" s="122">
        <f t="shared" si="63"/>
        <v>-8.4431603182048218E-3</v>
      </c>
      <c r="K408" s="122">
        <f t="shared" si="64"/>
        <v>3.1866698548627934E-2</v>
      </c>
      <c r="Y408" s="126">
        <f>IF($Z$1, C408, -0.2)</f>
        <v>-0.2</v>
      </c>
    </row>
    <row r="409" spans="2:25" x14ac:dyDescent="0.3">
      <c r="B409" s="122">
        <v>0.92016199833381507</v>
      </c>
      <c r="C409" s="122">
        <f t="shared" si="56"/>
        <v>7.3463895156135163E-3</v>
      </c>
      <c r="D409" s="126">
        <f t="shared" si="57"/>
        <v>1.5711020789554598E-2</v>
      </c>
      <c r="E409" s="122">
        <f t="shared" si="58"/>
        <v>-8.4032399666763014E-2</v>
      </c>
      <c r="F409" s="122">
        <f t="shared" si="59"/>
        <v>-8.3835436800851926E-2</v>
      </c>
      <c r="G409" s="122">
        <f t="shared" si="60"/>
        <v>0.92147759627255865</v>
      </c>
      <c r="H409" s="122">
        <f t="shared" si="61"/>
        <v>2.3002231119097837E-2</v>
      </c>
      <c r="I409" s="122">
        <f t="shared" si="62"/>
        <v>0.91884640039507148</v>
      </c>
      <c r="J409" s="122">
        <f t="shared" si="63"/>
        <v>-8.3094520878708063E-3</v>
      </c>
      <c r="K409" s="122">
        <f t="shared" si="64"/>
        <v>3.1311683206968643E-2</v>
      </c>
      <c r="Y409" s="126">
        <f>IF($Z$1, C409, -0.2)</f>
        <v>-0.2</v>
      </c>
    </row>
    <row r="410" spans="2:25" x14ac:dyDescent="0.3">
      <c r="B410" s="122">
        <v>0.92186008160332</v>
      </c>
      <c r="C410" s="122">
        <f t="shared" si="56"/>
        <v>7.2034071549640149E-3</v>
      </c>
      <c r="D410" s="126">
        <f t="shared" si="57"/>
        <v>1.5434090568178694E-2</v>
      </c>
      <c r="E410" s="122">
        <f t="shared" si="58"/>
        <v>-8.4372016320664003E-2</v>
      </c>
      <c r="F410" s="122">
        <f t="shared" si="59"/>
        <v>-8.4172662517283683E-2</v>
      </c>
      <c r="G410" s="122">
        <f t="shared" si="60"/>
        <v>0.92315767658105985</v>
      </c>
      <c r="H410" s="122">
        <f t="shared" si="61"/>
        <v>2.2582854444788407E-2</v>
      </c>
      <c r="I410" s="122">
        <f t="shared" si="62"/>
        <v>0.92056248662558016</v>
      </c>
      <c r="J410" s="122">
        <f t="shared" si="63"/>
        <v>-8.1760401348603788E-3</v>
      </c>
      <c r="K410" s="122">
        <f t="shared" si="64"/>
        <v>3.0758894579648786E-2</v>
      </c>
      <c r="Y410" s="126">
        <f>IF($Z$1, C410, -0.2)</f>
        <v>-0.2</v>
      </c>
    </row>
    <row r="411" spans="2:25" x14ac:dyDescent="0.3">
      <c r="B411" s="122">
        <v>0.92354144374172342</v>
      </c>
      <c r="C411" s="122">
        <f t="shared" si="56"/>
        <v>7.0612645433176585E-3</v>
      </c>
      <c r="D411" s="126">
        <f t="shared" si="57"/>
        <v>1.5158313390162196E-2</v>
      </c>
      <c r="E411" s="122">
        <f t="shared" si="58"/>
        <v>-8.4708288748344684E-2</v>
      </c>
      <c r="F411" s="122">
        <f t="shared" si="59"/>
        <v>-8.4506548645266494E-2</v>
      </c>
      <c r="G411" s="122">
        <f t="shared" si="60"/>
        <v>0.92482089638192722</v>
      </c>
      <c r="H411" s="122">
        <f t="shared" si="61"/>
        <v>2.2165484674653343E-2</v>
      </c>
      <c r="I411" s="122">
        <f t="shared" si="62"/>
        <v>0.92226199110151963</v>
      </c>
      <c r="J411" s="122">
        <f t="shared" si="63"/>
        <v>-8.0429555880180276E-3</v>
      </c>
      <c r="K411" s="122">
        <f t="shared" si="64"/>
        <v>3.020844026267137E-2</v>
      </c>
      <c r="Y411" s="126">
        <f>IF($Z$1, C411, -0.2)</f>
        <v>-0.2</v>
      </c>
    </row>
    <row r="412" spans="2:25" x14ac:dyDescent="0.3">
      <c r="B412" s="122">
        <v>0.92520601810542002</v>
      </c>
      <c r="C412" s="122">
        <f t="shared" si="56"/>
        <v>6.9199842166933201E-3</v>
      </c>
      <c r="D412" s="126">
        <f t="shared" si="57"/>
        <v>1.4883743312566592E-2</v>
      </c>
      <c r="E412" s="122">
        <f t="shared" si="58"/>
        <v>-8.5041203621084013E-2</v>
      </c>
      <c r="F412" s="122">
        <f t="shared" si="59"/>
        <v>-8.4837082441283768E-2</v>
      </c>
      <c r="G412" s="122">
        <f t="shared" si="60"/>
        <v>0.92646719733860006</v>
      </c>
      <c r="H412" s="122">
        <f t="shared" si="61"/>
        <v>2.1750198036330791E-2</v>
      </c>
      <c r="I412" s="122">
        <f t="shared" si="62"/>
        <v>0.92394483887223999</v>
      </c>
      <c r="J412" s="122">
        <f t="shared" si="63"/>
        <v>-7.9102296029441507E-3</v>
      </c>
      <c r="K412" s="122">
        <f t="shared" si="64"/>
        <v>2.9660427639274942E-2</v>
      </c>
      <c r="Y412" s="126">
        <f>IF($Z$1, C412, -0.2)</f>
        <v>-0.2</v>
      </c>
    </row>
    <row r="413" spans="2:25" x14ac:dyDescent="0.3">
      <c r="B413" s="122">
        <v>0.9268537387162159</v>
      </c>
      <c r="C413" s="122">
        <f t="shared" si="56"/>
        <v>6.7795885743988545E-3</v>
      </c>
      <c r="D413" s="126">
        <f t="shared" si="57"/>
        <v>1.4610434282172846E-2</v>
      </c>
      <c r="E413" s="122">
        <f t="shared" si="58"/>
        <v>-8.5370747743243186E-2</v>
      </c>
      <c r="F413" s="122">
        <f t="shared" si="59"/>
        <v>-8.5164251295613697E-2</v>
      </c>
      <c r="G413" s="122">
        <f t="shared" si="60"/>
        <v>0.92809652183353009</v>
      </c>
      <c r="H413" s="122">
        <f t="shared" si="61"/>
        <v>2.1337070500783321E-2</v>
      </c>
      <c r="I413" s="122">
        <f t="shared" si="62"/>
        <v>0.92561095559890172</v>
      </c>
      <c r="J413" s="122">
        <f t="shared" si="63"/>
        <v>-7.7778933519856118E-3</v>
      </c>
      <c r="K413" s="122">
        <f t="shared" si="64"/>
        <v>2.9114963852768933E-2</v>
      </c>
      <c r="Y413" s="126">
        <f>IF($Z$1, C413, -0.2)</f>
        <v>-0.2</v>
      </c>
    </row>
    <row r="414" spans="2:25" x14ac:dyDescent="0.3">
      <c r="B414" s="122">
        <v>0.92848454026394456</v>
      </c>
      <c r="C414" s="122">
        <f t="shared" si="56"/>
        <v>6.6400998754796107E-3</v>
      </c>
      <c r="D414" s="126">
        <f t="shared" si="57"/>
        <v>1.4338440121666692E-2</v>
      </c>
      <c r="E414" s="122">
        <f t="shared" si="58"/>
        <v>-8.5696908052788914E-2</v>
      </c>
      <c r="F414" s="122">
        <f t="shared" si="59"/>
        <v>-8.5488042732654826E-2</v>
      </c>
      <c r="G414" s="122">
        <f t="shared" si="60"/>
        <v>0.9297088129672928</v>
      </c>
      <c r="H414" s="122">
        <f t="shared" si="61"/>
        <v>2.092617776517549E-2</v>
      </c>
      <c r="I414" s="122">
        <f t="shared" si="62"/>
        <v>0.92726026756059632</v>
      </c>
      <c r="J414" s="122">
        <f t="shared" si="63"/>
        <v>-7.64597801421627E-3</v>
      </c>
      <c r="K414" s="122">
        <f t="shared" si="64"/>
        <v>2.8572155779391761E-2</v>
      </c>
      <c r="Y414" s="126">
        <f>IF($Z$1, C414, -0.2)</f>
        <v>-0.2</v>
      </c>
    </row>
    <row r="415" spans="2:25" x14ac:dyDescent="0.3">
      <c r="B415" s="122">
        <v>0.93009835810905406</v>
      </c>
      <c r="C415" s="122">
        <f t="shared" si="56"/>
        <v>6.5015402351895849E-3</v>
      </c>
      <c r="D415" s="126">
        <f t="shared" si="57"/>
        <v>1.4067814515832631E-2</v>
      </c>
      <c r="E415" s="122">
        <f t="shared" si="58"/>
        <v>-8.6019671621810817E-2</v>
      </c>
      <c r="F415" s="122">
        <f t="shared" si="59"/>
        <v>-8.5808444411245452E-2</v>
      </c>
      <c r="G415" s="122">
        <f t="shared" si="60"/>
        <v>0.93130401455763889</v>
      </c>
      <c r="H415" s="122">
        <f t="shared" si="61"/>
        <v>2.051759523579004E-2</v>
      </c>
      <c r="I415" s="122">
        <f t="shared" si="62"/>
        <v>0.92889270166046922</v>
      </c>
      <c r="J415" s="122">
        <f t="shared" si="63"/>
        <v>-7.5145147654108683E-3</v>
      </c>
      <c r="K415" s="122">
        <f t="shared" si="64"/>
        <v>2.8032110001200906E-2</v>
      </c>
      <c r="Y415" s="126">
        <f>IF($Z$1, C415, -0.2)</f>
        <v>-0.2</v>
      </c>
    </row>
    <row r="416" spans="2:25" x14ac:dyDescent="0.3">
      <c r="B416" s="122">
        <v>0.93169512828517065</v>
      </c>
      <c r="C416" s="122">
        <f t="shared" si="56"/>
        <v>6.363931621485009E-3</v>
      </c>
      <c r="D416" s="126">
        <f t="shared" si="57"/>
        <v>1.3798610997759869E-2</v>
      </c>
      <c r="E416" s="122">
        <f t="shared" si="58"/>
        <v>-8.6339025657034135E-2</v>
      </c>
      <c r="F416" s="122">
        <f t="shared" si="59"/>
        <v>-8.6125444124978315E-2</v>
      </c>
      <c r="G416" s="122">
        <f t="shared" si="60"/>
        <v>0.93288207113849297</v>
      </c>
      <c r="H416" s="122">
        <f t="shared" si="61"/>
        <v>2.0111398010985538E-2</v>
      </c>
      <c r="I416" s="122">
        <f t="shared" si="62"/>
        <v>0.93050818543184832</v>
      </c>
      <c r="J416" s="122">
        <f t="shared" si="63"/>
        <v>-7.3835347680155199E-3</v>
      </c>
      <c r="K416" s="122">
        <f t="shared" si="64"/>
        <v>2.7494932779001058E-2</v>
      </c>
      <c r="Y416" s="126">
        <f>IF($Z$1, C416, -0.2)</f>
        <v>-0.2</v>
      </c>
    </row>
    <row r="417" spans="2:25" x14ac:dyDescent="0.3">
      <c r="B417" s="122">
        <v>0.93327478750163317</v>
      </c>
      <c r="C417" s="122">
        <f t="shared" si="56"/>
        <v>6.2272958515414596E-3</v>
      </c>
      <c r="D417" s="126">
        <f t="shared" si="57"/>
        <v>1.3530882935065117E-2</v>
      </c>
      <c r="E417" s="122">
        <f t="shared" si="58"/>
        <v>-8.6654957500326646E-2</v>
      </c>
      <c r="F417" s="122">
        <f t="shared" si="59"/>
        <v>-8.6439029802509268E-2</v>
      </c>
      <c r="G417" s="122">
        <f t="shared" si="60"/>
        <v>0.93444292795889417</v>
      </c>
      <c r="H417" s="122">
        <f t="shared" si="61"/>
        <v>1.9707660864201414E-2</v>
      </c>
      <c r="I417" s="122">
        <f t="shared" si="62"/>
        <v>0.93210664704437218</v>
      </c>
      <c r="J417" s="122">
        <f t="shared" si="63"/>
        <v>-7.2530691611184944E-3</v>
      </c>
      <c r="K417" s="122">
        <f t="shared" si="64"/>
        <v>2.6960730025319908E-2</v>
      </c>
      <c r="Y417" s="126">
        <f>IF($Z$1, C417, -0.2)</f>
        <v>-0.2</v>
      </c>
    </row>
    <row r="418" spans="2:25" x14ac:dyDescent="0.3">
      <c r="B418" s="122">
        <v>0.93483727314600207</v>
      </c>
      <c r="C418" s="122">
        <f t="shared" si="56"/>
        <v>6.0916545882949147E-3</v>
      </c>
      <c r="D418" s="126">
        <f t="shared" si="57"/>
        <v>1.3264683516135949E-2</v>
      </c>
      <c r="E418" s="122">
        <f t="shared" si="58"/>
        <v>-8.6967454629200414E-2</v>
      </c>
      <c r="F418" s="122">
        <f t="shared" si="59"/>
        <v>-8.6749189507860855E-2</v>
      </c>
      <c r="G418" s="122">
        <f t="shared" si="60"/>
        <v>0.93598653098188622</v>
      </c>
      <c r="H418" s="122">
        <f t="shared" si="61"/>
        <v>1.930645822701417E-2</v>
      </c>
      <c r="I418" s="122">
        <f t="shared" si="62"/>
        <v>0.93368801531011791</v>
      </c>
      <c r="J418" s="122">
        <f t="shared" si="63"/>
        <v>-7.1231490504243423E-3</v>
      </c>
      <c r="K418" s="122">
        <f t="shared" si="64"/>
        <v>2.6429607277438514E-2</v>
      </c>
      <c r="Y418" s="126">
        <f>IF($Z$1, C418, -0.2)</f>
        <v>-0.2</v>
      </c>
    </row>
    <row r="419" spans="2:25" x14ac:dyDescent="0.3">
      <c r="B419" s="122">
        <v>0.93638252328654126</v>
      </c>
      <c r="C419" s="122">
        <f t="shared" si="56"/>
        <v>5.9570293370071253E-3</v>
      </c>
      <c r="D419" s="126">
        <f t="shared" si="57"/>
        <v>1.3000065736398921E-2</v>
      </c>
      <c r="E419" s="122">
        <f t="shared" si="58"/>
        <v>-8.7276504657308254E-2</v>
      </c>
      <c r="F419" s="122">
        <f t="shared" si="59"/>
        <v>-8.7055911440720654E-2</v>
      </c>
      <c r="G419" s="122">
        <f t="shared" si="60"/>
        <v>0.93751282688335535</v>
      </c>
      <c r="H419" s="122">
        <f t="shared" si="61"/>
        <v>1.8907864172249308E-2</v>
      </c>
      <c r="I419" s="122">
        <f t="shared" si="62"/>
        <v>0.93525221968972716</v>
      </c>
      <c r="J419" s="122">
        <f t="shared" si="63"/>
        <v>-6.9938054982350588E-3</v>
      </c>
      <c r="K419" s="122">
        <f t="shared" si="64"/>
        <v>2.5901669670484368E-2</v>
      </c>
      <c r="Y419" s="126">
        <f>IF($Z$1, C419, -0.2)</f>
        <v>-0.2</v>
      </c>
    </row>
    <row r="420" spans="2:25" x14ac:dyDescent="0.3">
      <c r="B420" s="122">
        <v>0.9379104766746722</v>
      </c>
      <c r="C420" s="122">
        <f t="shared" si="56"/>
        <v>5.8234414418561371E-3</v>
      </c>
      <c r="D420" s="126">
        <f t="shared" si="57"/>
        <v>1.2737082384616764E-2</v>
      </c>
      <c r="E420" s="122">
        <f t="shared" si="58"/>
        <v>-8.758209533493444E-2</v>
      </c>
      <c r="F420" s="122">
        <f t="shared" si="59"/>
        <v>-8.7359183936734003E-2</v>
      </c>
      <c r="G420" s="122">
        <f t="shared" si="60"/>
        <v>0.93902176305081742</v>
      </c>
      <c r="H420" s="122">
        <f t="shared" si="61"/>
        <v>1.8511952397153794E-2</v>
      </c>
      <c r="I420" s="122">
        <f t="shared" si="62"/>
        <v>0.93679919029852698</v>
      </c>
      <c r="J420" s="122">
        <f t="shared" si="63"/>
        <v>-6.8650695134415199E-3</v>
      </c>
      <c r="K420" s="122">
        <f t="shared" si="64"/>
        <v>2.5377021910595314E-2</v>
      </c>
      <c r="Y420" s="126">
        <f>IF($Z$1, C420, -0.2)</f>
        <v>-0.2</v>
      </c>
    </row>
    <row r="421" spans="2:25" x14ac:dyDescent="0.3">
      <c r="B421" s="122">
        <v>0.93942107274740294</v>
      </c>
      <c r="C421" s="122">
        <f t="shared" si="56"/>
        <v>5.690912082552158E-3</v>
      </c>
      <c r="D421" s="126">
        <f t="shared" si="57"/>
        <v>1.2475786029218316E-2</v>
      </c>
      <c r="E421" s="122">
        <f t="shared" si="58"/>
        <v>-8.7884214549480588E-2</v>
      </c>
      <c r="F421" s="122">
        <f t="shared" si="59"/>
        <v>-8.7658995467792031E-2</v>
      </c>
      <c r="G421" s="122">
        <f t="shared" si="60"/>
        <v>0.94051328758215968</v>
      </c>
      <c r="H421" s="122">
        <f t="shared" si="61"/>
        <v>1.8118796206632818E-2</v>
      </c>
      <c r="I421" s="122">
        <f t="shared" si="62"/>
        <v>0.9383288579126462</v>
      </c>
      <c r="J421" s="122">
        <f t="shared" si="63"/>
        <v>-6.7369720415285028E-3</v>
      </c>
      <c r="K421" s="122">
        <f t="shared" si="64"/>
        <v>2.4855768248161322E-2</v>
      </c>
      <c r="Y421" s="126">
        <f>IF($Z$1, C421, -0.2)</f>
        <v>-0.2</v>
      </c>
    </row>
    <row r="422" spans="2:25" x14ac:dyDescent="0.3">
      <c r="B422" s="122">
        <v>0.94091425162972686</v>
      </c>
      <c r="C422" s="122">
        <f t="shared" si="56"/>
        <v>5.5594622709797875E-3</v>
      </c>
      <c r="D422" s="126">
        <f t="shared" si="57"/>
        <v>1.2216229004666105E-2</v>
      </c>
      <c r="E422" s="122">
        <f t="shared" si="58"/>
        <v>-8.8182850325945375E-2</v>
      </c>
      <c r="F422" s="122">
        <f t="shared" si="59"/>
        <v>-8.7955334642313907E-2</v>
      </c>
      <c r="G422" s="122">
        <f t="shared" si="60"/>
        <v>0.94198734928433236</v>
      </c>
      <c r="H422" s="122">
        <f t="shared" si="61"/>
        <v>1.7728468496556529E-2</v>
      </c>
      <c r="I422" s="122">
        <f t="shared" si="62"/>
        <v>0.93984115397512136</v>
      </c>
      <c r="J422" s="122">
        <f t="shared" si="63"/>
        <v>-6.6095439545969551E-3</v>
      </c>
      <c r="K422" s="122">
        <f t="shared" si="64"/>
        <v>2.4338012451153485E-2</v>
      </c>
      <c r="Y422" s="126">
        <f>IF($Z$1, C422, -0.2)</f>
        <v>-0.2</v>
      </c>
    </row>
    <row r="423" spans="2:25" x14ac:dyDescent="0.3">
      <c r="B423" s="122">
        <v>0.94238995413699778</v>
      </c>
      <c r="C423" s="122">
        <f t="shared" si="56"/>
        <v>5.4291128478665025E-3</v>
      </c>
      <c r="D423" s="126">
        <f t="shared" si="57"/>
        <v>1.1958463397864568E-2</v>
      </c>
      <c r="E423" s="122">
        <f t="shared" si="58"/>
        <v>-8.8477990827399558E-2</v>
      </c>
      <c r="F423" s="122">
        <f t="shared" si="59"/>
        <v>-8.8248190205524546E-2</v>
      </c>
      <c r="G423" s="122">
        <f t="shared" si="60"/>
        <v>0.94344389767199954</v>
      </c>
      <c r="H423" s="122">
        <f t="shared" si="61"/>
        <v>1.7341041737139417E-2</v>
      </c>
      <c r="I423" s="122">
        <f t="shared" si="62"/>
        <v>0.94133601060199601</v>
      </c>
      <c r="J423" s="122">
        <f t="shared" si="63"/>
        <v>-6.4828160414064119E-3</v>
      </c>
      <c r="K423" s="122">
        <f t="shared" si="64"/>
        <v>2.3823857778545829E-2</v>
      </c>
      <c r="Y423" s="126">
        <f>IF($Z$1, C423, -0.2)</f>
        <v>-0.2</v>
      </c>
    </row>
    <row r="424" spans="2:25" x14ac:dyDescent="0.3">
      <c r="B424" s="122">
        <v>0.94384812177727417</v>
      </c>
      <c r="C424" s="122">
        <f t="shared" si="56"/>
        <v>5.2998844794786004E-3</v>
      </c>
      <c r="D424" s="126">
        <f t="shared" si="57"/>
        <v>1.1702541034614329E-2</v>
      </c>
      <c r="E424" s="122">
        <f t="shared" si="58"/>
        <v>-8.8769624355454838E-2</v>
      </c>
      <c r="F424" s="122">
        <f t="shared" si="59"/>
        <v>-8.8537551039726783E-2</v>
      </c>
      <c r="G424" s="122">
        <f t="shared" si="60"/>
        <v>0.94488288296614331</v>
      </c>
      <c r="H424" s="122">
        <f t="shared" si="61"/>
        <v>1.6956587956398754E-2</v>
      </c>
      <c r="I424" s="122">
        <f t="shared" si="62"/>
        <v>0.94281336058840504</v>
      </c>
      <c r="J424" s="122">
        <f t="shared" si="63"/>
        <v>-6.3568189974415514E-3</v>
      </c>
      <c r="K424" s="122">
        <f t="shared" si="64"/>
        <v>2.3313406953840304E-2</v>
      </c>
      <c r="Y424" s="126">
        <f>IF($Z$1, C424, -0.2)</f>
        <v>-0.2</v>
      </c>
    </row>
    <row r="425" spans="2:25" x14ac:dyDescent="0.3">
      <c r="B425" s="122">
        <v>0.94528869675363891</v>
      </c>
      <c r="C425" s="122">
        <f t="shared" si="56"/>
        <v>5.1717976543445791E-3</v>
      </c>
      <c r="D425" s="126">
        <f t="shared" si="57"/>
        <v>1.1448513466115296E-2</v>
      </c>
      <c r="E425" s="122">
        <f t="shared" si="58"/>
        <v>-8.9057739350727791E-2</v>
      </c>
      <c r="F425" s="122">
        <f t="shared" si="59"/>
        <v>-8.8823406164568908E-2</v>
      </c>
      <c r="G425" s="122">
        <f t="shared" si="60"/>
        <v>0.94630425609263014</v>
      </c>
      <c r="H425" s="122">
        <f t="shared" si="61"/>
        <v>1.6575178723694628E-2</v>
      </c>
      <c r="I425" s="122">
        <f t="shared" si="62"/>
        <v>0.94427313741464769</v>
      </c>
      <c r="J425" s="122">
        <f t="shared" si="63"/>
        <v>-6.2315834150054681E-3</v>
      </c>
      <c r="K425" s="122">
        <f t="shared" si="64"/>
        <v>2.2806762138700094E-2</v>
      </c>
      <c r="Y425" s="126">
        <f>IF($Z$1, C425, -0.2)</f>
        <v>-0.2</v>
      </c>
    </row>
    <row r="426" spans="2:25" x14ac:dyDescent="0.3">
      <c r="B426" s="122">
        <v>0.94671162196648917</v>
      </c>
      <c r="C426" s="122">
        <f t="shared" si="56"/>
        <v>5.0448726800068518E-3</v>
      </c>
      <c r="D426" s="126">
        <f t="shared" si="57"/>
        <v>1.1196431955523788E-2</v>
      </c>
      <c r="E426" s="122">
        <f t="shared" si="58"/>
        <v>-8.9342324393297839E-2</v>
      </c>
      <c r="F426" s="122">
        <f t="shared" si="59"/>
        <v>-8.9105744737306855E-2</v>
      </c>
      <c r="G426" s="122">
        <f t="shared" si="60"/>
        <v>0.94770796868073448</v>
      </c>
      <c r="H426" s="122">
        <f t="shared" si="61"/>
        <v>1.6196885133357444E-2</v>
      </c>
      <c r="I426" s="122">
        <f t="shared" si="62"/>
        <v>0.94571527525224386</v>
      </c>
      <c r="J426" s="122">
        <f t="shared" si="63"/>
        <v>-6.1071397733437425E-3</v>
      </c>
      <c r="K426" s="122">
        <f t="shared" si="64"/>
        <v>2.2304024906701189E-2</v>
      </c>
      <c r="Y426" s="126">
        <f>IF($Z$1, C426, -0.2)</f>
        <v>-0.2</v>
      </c>
    </row>
    <row r="427" spans="2:25" x14ac:dyDescent="0.3">
      <c r="B427" s="122">
        <v>0.94811684101580029</v>
      </c>
      <c r="C427" s="122">
        <f t="shared" si="56"/>
        <v>4.9191296798019929E-3</v>
      </c>
      <c r="D427" s="126">
        <f t="shared" si="57"/>
        <v>1.0946347464566923E-2</v>
      </c>
      <c r="E427" s="122">
        <f t="shared" si="58"/>
        <v>-8.9623368203160067E-2</v>
      </c>
      <c r="F427" s="122">
        <f t="shared" si="59"/>
        <v>-8.9384556053061809E-2</v>
      </c>
      <c r="G427" s="122">
        <f t="shared" si="60"/>
        <v>0.94909397306162724</v>
      </c>
      <c r="H427" s="122">
        <f t="shared" si="61"/>
        <v>1.5821777788406106E-2</v>
      </c>
      <c r="I427" s="122">
        <f t="shared" si="62"/>
        <v>0.94713970896997335</v>
      </c>
      <c r="J427" s="122">
        <f t="shared" si="63"/>
        <v>-5.9835184288021198E-3</v>
      </c>
      <c r="K427" s="122">
        <f t="shared" si="64"/>
        <v>2.1805296217208225E-2</v>
      </c>
      <c r="Y427" s="126">
        <f>IF($Z$1, C427, -0.2)</f>
        <v>-0.2</v>
      </c>
    </row>
    <row r="428" spans="2:25" x14ac:dyDescent="0.3">
      <c r="B428" s="122">
        <v>0.94950429820336102</v>
      </c>
      <c r="C428" s="122">
        <f t="shared" si="56"/>
        <v>4.7945885896703904E-3</v>
      </c>
      <c r="D428" s="126">
        <f t="shared" si="57"/>
        <v>1.069831064021886E-2</v>
      </c>
      <c r="E428" s="122">
        <f t="shared" si="58"/>
        <v>-8.9900859640672209E-2</v>
      </c>
      <c r="F428" s="122">
        <f t="shared" si="59"/>
        <v>-8.9659829545072747E-2</v>
      </c>
      <c r="G428" s="122">
        <f t="shared" si="60"/>
        <v>0.95046222226682586</v>
      </c>
      <c r="H428" s="122">
        <f t="shared" si="61"/>
        <v>1.5449926784362054E-2</v>
      </c>
      <c r="I428" s="122">
        <f t="shared" si="62"/>
        <v>0.94854637413989618</v>
      </c>
      <c r="J428" s="122">
        <f t="shared" si="63"/>
        <v>-5.8607496050212737E-3</v>
      </c>
      <c r="K428" s="122">
        <f t="shared" si="64"/>
        <v>2.1310676389383328E-2</v>
      </c>
      <c r="Y428" s="126">
        <f>IF($Z$1, C428, -0.2)</f>
        <v>-0.2</v>
      </c>
    </row>
    <row r="429" spans="2:25" x14ac:dyDescent="0.3">
      <c r="B429" s="122">
        <v>0.95087393853498114</v>
      </c>
      <c r="C429" s="122">
        <f t="shared" si="56"/>
        <v>4.6712691549954059E-3</v>
      </c>
      <c r="D429" s="126">
        <f t="shared" si="57"/>
        <v>1.0452371801442635E-2</v>
      </c>
      <c r="E429" s="122">
        <f t="shared" si="58"/>
        <v>-9.0174787706996232E-2</v>
      </c>
      <c r="F429" s="122">
        <f t="shared" si="59"/>
        <v>-8.993155478494419E-2</v>
      </c>
      <c r="G429" s="122">
        <f t="shared" si="60"/>
        <v>0.95181267002661207</v>
      </c>
      <c r="H429" s="122">
        <f t="shared" si="61"/>
        <v>1.5081401693162895E-2</v>
      </c>
      <c r="I429" s="122">
        <f t="shared" si="62"/>
        <v>0.94993520704335022</v>
      </c>
      <c r="J429" s="122">
        <f t="shared" si="63"/>
        <v>-5.7388633831720829E-3</v>
      </c>
      <c r="K429" s="122">
        <f t="shared" si="64"/>
        <v>2.0820265076334978E-2</v>
      </c>
      <c r="Y429" s="126">
        <f>IF($Z$1, C429, -0.2)</f>
        <v>-0.2</v>
      </c>
    </row>
    <row r="430" spans="2:25" x14ac:dyDescent="0.3">
      <c r="B430" s="122">
        <v>0.95222570772267157</v>
      </c>
      <c r="C430" s="122">
        <f t="shared" si="56"/>
        <v>4.5491909274728796E-3</v>
      </c>
      <c r="D430" s="126">
        <f t="shared" si="57"/>
        <v>1.0208580926001685E-2</v>
      </c>
      <c r="E430" s="122">
        <f t="shared" si="58"/>
        <v>-9.0445141544534313E-2</v>
      </c>
      <c r="F430" s="122">
        <f t="shared" si="59"/>
        <v>-9.0199721482889211E-2</v>
      </c>
      <c r="G430" s="122">
        <f t="shared" si="60"/>
        <v>0.95314527076841571</v>
      </c>
      <c r="H430" s="122">
        <f t="shared" si="61"/>
        <v>1.4716271547180153E-2</v>
      </c>
      <c r="I430" s="122">
        <f t="shared" si="62"/>
        <v>0.95130614467692742</v>
      </c>
      <c r="J430" s="122">
        <f t="shared" si="63"/>
        <v>-5.617889692234394E-3</v>
      </c>
      <c r="K430" s="122">
        <f t="shared" si="64"/>
        <v>2.0334161239414547E-2</v>
      </c>
      <c r="Y430" s="126">
        <f>IF($Z$1, C430, -0.2)</f>
        <v>-0.2</v>
      </c>
    </row>
    <row r="431" spans="2:25" x14ac:dyDescent="0.3">
      <c r="B431" s="122">
        <v>0.95355955218679578</v>
      </c>
      <c r="C431" s="122">
        <f t="shared" si="56"/>
        <v>4.4283732620113312E-3</v>
      </c>
      <c r="D431" s="126">
        <f t="shared" si="57"/>
        <v>9.9669876373451611E-3</v>
      </c>
      <c r="E431" s="122">
        <f t="shared" si="58"/>
        <v>-9.0711910437359156E-2</v>
      </c>
      <c r="F431" s="122">
        <f t="shared" si="59"/>
        <v>-9.0464319487967737E-2</v>
      </c>
      <c r="G431" s="122">
        <f t="shared" si="60"/>
        <v>0.95445997961516804</v>
      </c>
      <c r="H431" s="122">
        <f t="shared" si="61"/>
        <v>1.4354604823345482E-2</v>
      </c>
      <c r="I431" s="122">
        <f t="shared" si="62"/>
        <v>0.95265912475842351</v>
      </c>
      <c r="J431" s="122">
        <f t="shared" si="63"/>
        <v>-5.4978582993228204E-3</v>
      </c>
      <c r="K431" s="122">
        <f t="shared" si="64"/>
        <v>1.9852463122668303E-2</v>
      </c>
      <c r="Y431" s="126">
        <f>IF($Z$1, C431, -0.2)</f>
        <v>-0.2</v>
      </c>
    </row>
    <row r="432" spans="2:25" x14ac:dyDescent="0.3">
      <c r="B432" s="122">
        <v>0.95487541905819395</v>
      </c>
      <c r="C432" s="122">
        <f t="shared" si="56"/>
        <v>4.3088353136632399E-3</v>
      </c>
      <c r="D432" s="126">
        <f t="shared" si="57"/>
        <v>9.7276411915708204E-3</v>
      </c>
      <c r="E432" s="122">
        <f t="shared" si="58"/>
        <v>-9.0975083811638796E-2</v>
      </c>
      <c r="F432" s="122">
        <f t="shared" si="59"/>
        <v>-9.0725338788320106E-2</v>
      </c>
      <c r="G432" s="122">
        <f t="shared" si="60"/>
        <v>0.95575675238362667</v>
      </c>
      <c r="H432" s="122">
        <f t="shared" si="61"/>
        <v>1.3996469427389207E-2</v>
      </c>
      <c r="I432" s="122">
        <f t="shared" si="62"/>
        <v>0.95399408573276123</v>
      </c>
      <c r="J432" s="122">
        <f t="shared" si="63"/>
        <v>-5.3787988000627267E-3</v>
      </c>
      <c r="K432" s="122">
        <f t="shared" si="64"/>
        <v>1.9375268227451933E-2</v>
      </c>
      <c r="Y432" s="126">
        <f>IF($Z$1, C432, -0.2)</f>
        <v>-0.2</v>
      </c>
    </row>
    <row r="433" spans="2:25" x14ac:dyDescent="0.3">
      <c r="B433" s="122">
        <v>0.95617325618027782</v>
      </c>
      <c r="C433" s="122">
        <f t="shared" si="56"/>
        <v>4.1905960345882676E-3</v>
      </c>
      <c r="D433" s="126">
        <f t="shared" si="57"/>
        <v>9.4905904644697319E-3</v>
      </c>
      <c r="E433" s="122">
        <f t="shared" si="58"/>
        <v>-9.1234651236055564E-2</v>
      </c>
      <c r="F433" s="122">
        <f t="shared" si="59"/>
        <v>-9.0982769511396E-2</v>
      </c>
      <c r="G433" s="122">
        <f t="shared" si="60"/>
        <v>0.9570355455826719</v>
      </c>
      <c r="H433" s="122">
        <f t="shared" si="61"/>
        <v>1.3641932678196019E-2</v>
      </c>
      <c r="I433" s="122">
        <f t="shared" si="62"/>
        <v>0.95531096677788374</v>
      </c>
      <c r="J433" s="122">
        <f t="shared" si="63"/>
        <v>-5.260740609019484E-3</v>
      </c>
      <c r="K433" s="122">
        <f t="shared" si="64"/>
        <v>1.8902673287215503E-2</v>
      </c>
      <c r="Y433" s="126">
        <f>IF($Z$1, C433, -0.2)</f>
        <v>-0.2</v>
      </c>
    </row>
    <row r="434" spans="2:25" x14ac:dyDescent="0.3">
      <c r="B434" s="122">
        <v>0.9574530121110989</v>
      </c>
      <c r="C434" s="122">
        <f t="shared" si="56"/>
        <v>4.0736741710482808E-3</v>
      </c>
      <c r="D434" s="126">
        <f t="shared" si="57"/>
        <v>9.2558839386563067E-3</v>
      </c>
      <c r="E434" s="122">
        <f t="shared" si="58"/>
        <v>-9.1490602422219791E-2</v>
      </c>
      <c r="F434" s="122">
        <f t="shared" si="59"/>
        <v>-9.1236601924178984E-2</v>
      </c>
      <c r="G434" s="122">
        <f t="shared" si="60"/>
        <v>0.95829631641157931</v>
      </c>
      <c r="H434" s="122">
        <f t="shared" si="61"/>
        <v>1.3291061292281015E-2</v>
      </c>
      <c r="I434" s="122">
        <f t="shared" si="62"/>
        <v>0.95660970781061849</v>
      </c>
      <c r="J434" s="122">
        <f t="shared" si="63"/>
        <v>-5.1437129501844536E-3</v>
      </c>
      <c r="K434" s="122">
        <f t="shared" si="64"/>
        <v>1.8434774242465469E-2</v>
      </c>
      <c r="Y434" s="126">
        <f>IF($Z$1, C434, -0.2)</f>
        <v>-0.2</v>
      </c>
    </row>
    <row r="435" spans="2:25" x14ac:dyDescent="0.3">
      <c r="B435" s="122">
        <v>0.95871463612538665</v>
      </c>
      <c r="C435" s="122">
        <f t="shared" si="56"/>
        <v>3.9580882604354104E-3</v>
      </c>
      <c r="D435" s="126">
        <f t="shared" si="57"/>
        <v>9.0235696907881094E-3</v>
      </c>
      <c r="E435" s="122">
        <f t="shared" si="58"/>
        <v>-9.1742927225077334E-2</v>
      </c>
      <c r="F435" s="122">
        <f t="shared" si="59"/>
        <v>-9.1486826433406193E-2</v>
      </c>
      <c r="G435" s="122">
        <f t="shared" si="60"/>
        <v>0.95953902275826652</v>
      </c>
      <c r="H435" s="122">
        <f t="shared" si="61"/>
        <v>1.2943921368391443E-2</v>
      </c>
      <c r="I435" s="122">
        <f t="shared" si="62"/>
        <v>0.95789024949250678</v>
      </c>
      <c r="J435" s="122">
        <f t="shared" si="63"/>
        <v>-5.0277448475206212E-3</v>
      </c>
      <c r="K435" s="122">
        <f t="shared" si="64"/>
        <v>1.7971666215912063E-2</v>
      </c>
      <c r="Y435" s="126">
        <f>IF($Z$1, C435, -0.2)</f>
        <v>-0.2</v>
      </c>
    </row>
    <row r="436" spans="2:25" x14ac:dyDescent="0.3">
      <c r="B436" s="122">
        <v>0.95995807821655976</v>
      </c>
      <c r="C436" s="122">
        <f t="shared" si="56"/>
        <v>3.8438566283329092E-3</v>
      </c>
      <c r="D436" s="126">
        <f t="shared" si="57"/>
        <v>8.7936953788788404E-3</v>
      </c>
      <c r="E436" s="122">
        <f t="shared" si="58"/>
        <v>-9.1991615643311958E-2</v>
      </c>
      <c r="F436" s="122">
        <f t="shared" si="59"/>
        <v>-9.1733433585783938E-2</v>
      </c>
      <c r="G436" s="122">
        <f t="shared" si="60"/>
        <v>0.9607636231975204</v>
      </c>
      <c r="H436" s="122">
        <f t="shared" si="61"/>
        <v>1.2600578372237084E-2</v>
      </c>
      <c r="I436" s="122">
        <f t="shared" si="62"/>
        <v>0.95915253323559913</v>
      </c>
      <c r="J436" s="122">
        <f t="shared" si="63"/>
        <v>-4.912865115571265E-3</v>
      </c>
      <c r="K436" s="122">
        <f t="shared" si="64"/>
        <v>1.7513443487808349E-2</v>
      </c>
      <c r="Y436" s="126">
        <f>IF($Z$1, C436, -0.2)</f>
        <v>-0.2</v>
      </c>
    </row>
    <row r="437" spans="2:25" x14ac:dyDescent="0.3">
      <c r="B437" s="122">
        <v>0.96118328909870754</v>
      </c>
      <c r="C437" s="122">
        <f t="shared" si="56"/>
        <v>3.7309973856097913E-3</v>
      </c>
      <c r="D437" s="126">
        <f t="shared" si="57"/>
        <v>8.5663082297087641E-3</v>
      </c>
      <c r="E437" s="122">
        <f t="shared" si="58"/>
        <v>-9.223665781974151E-2</v>
      </c>
      <c r="F437" s="122">
        <f t="shared" si="59"/>
        <v>-9.1976414068198412E-2</v>
      </c>
      <c r="G437" s="122">
        <f t="shared" si="60"/>
        <v>0.96197007698920167</v>
      </c>
      <c r="H437" s="122">
        <f t="shared" si="61"/>
        <v>1.2261097121354262E-2</v>
      </c>
      <c r="I437" s="122">
        <f t="shared" si="62"/>
        <v>0.9603965012082134</v>
      </c>
      <c r="J437" s="122">
        <f t="shared" si="63"/>
        <v>-4.7991023501346803E-3</v>
      </c>
      <c r="K437" s="122">
        <f t="shared" si="64"/>
        <v>1.7060199471488943E-2</v>
      </c>
      <c r="Y437" s="126">
        <f>IF($Z$1, C437, -0.2)</f>
        <v>-0.2</v>
      </c>
    </row>
    <row r="438" spans="2:25" x14ac:dyDescent="0.3">
      <c r="B438" s="122">
        <v>0.96239022020854426</v>
      </c>
      <c r="C438" s="122">
        <f t="shared" si="56"/>
        <v>3.6195284255493899E-3</v>
      </c>
      <c r="D438" s="126">
        <f t="shared" si="57"/>
        <v>8.3414550263360039E-3</v>
      </c>
      <c r="E438" s="122">
        <f t="shared" si="58"/>
        <v>-9.2478044041708854E-2</v>
      </c>
      <c r="F438" s="122">
        <f t="shared" si="59"/>
        <v>-9.2215758707922577E-2</v>
      </c>
      <c r="G438" s="122">
        <f t="shared" si="60"/>
        <v>0.9631583440764333</v>
      </c>
      <c r="H438" s="122">
        <f t="shared" si="61"/>
        <v>1.1925541770106778E-2</v>
      </c>
      <c r="I438" s="122">
        <f t="shared" si="62"/>
        <v>0.96162209634065521</v>
      </c>
      <c r="J438" s="122">
        <f t="shared" si="63"/>
        <v>-4.6864849190079994E-3</v>
      </c>
      <c r="K438" s="122">
        <f t="shared" si="64"/>
        <v>1.6612026689114778E-2</v>
      </c>
      <c r="Y438" s="126">
        <f>IF($Z$1, C438, -0.2)</f>
        <v>-0.2</v>
      </c>
    </row>
    <row r="439" spans="2:25" x14ac:dyDescent="0.3">
      <c r="B439" s="122">
        <v>0.96357882370733328</v>
      </c>
      <c r="C439" s="122">
        <f t="shared" si="56"/>
        <v>3.5094674210125244E-3</v>
      </c>
      <c r="D439" s="126">
        <f t="shared" si="57"/>
        <v>8.1191820957130251E-3</v>
      </c>
      <c r="E439" s="122">
        <f t="shared" si="58"/>
        <v>-9.2715764741466658E-2</v>
      </c>
      <c r="F439" s="122">
        <f t="shared" si="59"/>
        <v>-9.2451458472818104E-2</v>
      </c>
      <c r="G439" s="122">
        <f t="shared" si="60"/>
        <v>0.96432838508377039</v>
      </c>
      <c r="H439" s="122">
        <f t="shared" si="61"/>
        <v>1.1593975794828499E-2</v>
      </c>
      <c r="I439" s="122">
        <f t="shared" si="62"/>
        <v>0.96282926233089616</v>
      </c>
      <c r="J439" s="122">
        <f t="shared" si="63"/>
        <v>-4.5750409528034514E-3</v>
      </c>
      <c r="K439" s="122">
        <f t="shared" si="64"/>
        <v>1.6169016747631951E-2</v>
      </c>
      <c r="Y439" s="126">
        <f>IF($Z$1, C439, -0.2)</f>
        <v>-0.2</v>
      </c>
    </row>
    <row r="440" spans="2:25" x14ac:dyDescent="0.3">
      <c r="B440" s="122">
        <v>0.96474905248278331</v>
      </c>
      <c r="C440" s="122">
        <f t="shared" si="56"/>
        <v>3.4008318216355083E-3</v>
      </c>
      <c r="D440" s="126">
        <f t="shared" si="57"/>
        <v>7.8995352964116236E-3</v>
      </c>
      <c r="E440" s="122">
        <f t="shared" si="58"/>
        <v>-9.2949810496556665E-2</v>
      </c>
      <c r="F440" s="122">
        <f t="shared" si="59"/>
        <v>-9.2683504471533479E-2</v>
      </c>
      <c r="G440" s="122">
        <f t="shared" si="60"/>
        <v>0.96548016131535663</v>
      </c>
      <c r="H440" s="122">
        <f t="shared" si="61"/>
        <v>1.1266461979110898E-2</v>
      </c>
      <c r="I440" s="122">
        <f t="shared" si="62"/>
        <v>0.96401794365020999</v>
      </c>
      <c r="J440" s="122">
        <f t="shared" si="63"/>
        <v>-4.4647983358398827E-3</v>
      </c>
      <c r="K440" s="122">
        <f t="shared" si="64"/>
        <v>1.5731260314950781E-2</v>
      </c>
      <c r="Y440" s="126">
        <f>IF($Z$1, C440, -0.2)</f>
        <v>-0.2</v>
      </c>
    </row>
    <row r="441" spans="2:25" x14ac:dyDescent="0.3">
      <c r="B441" s="122">
        <v>0.9659008601509167</v>
      </c>
      <c r="C441" s="122">
        <f t="shared" si="56"/>
        <v>3.2936388510635961E-3</v>
      </c>
      <c r="D441" s="126">
        <f t="shared" si="57"/>
        <v>7.6825600064602149E-3</v>
      </c>
      <c r="E441" s="122">
        <f t="shared" si="58"/>
        <v>-9.3180172030183347E-2</v>
      </c>
      <c r="F441" s="122">
        <f t="shared" si="59"/>
        <v>-9.2911887953697814E-2</v>
      </c>
      <c r="G441" s="122">
        <f t="shared" si="60"/>
        <v>0.9666136347530675</v>
      </c>
      <c r="H441" s="122">
        <f t="shared" si="61"/>
        <v>1.0943062399239679E-2</v>
      </c>
      <c r="I441" s="122">
        <f t="shared" si="62"/>
        <v>0.9651880855487659</v>
      </c>
      <c r="J441" s="122">
        <f t="shared" si="63"/>
        <v>-4.3557846971124872E-3</v>
      </c>
      <c r="K441" s="122">
        <f t="shared" si="64"/>
        <v>1.5298847096352167E-2</v>
      </c>
      <c r="Y441" s="126">
        <f>IF($Z$1, C441, -0.2)</f>
        <v>-0.2</v>
      </c>
    </row>
    <row r="442" spans="2:25" x14ac:dyDescent="0.3">
      <c r="B442" s="122">
        <v>0.9670342010579065</v>
      </c>
      <c r="C442" s="122">
        <f t="shared" si="56"/>
        <v>3.1879055042203009E-3</v>
      </c>
      <c r="D442" s="126">
        <f t="shared" si="57"/>
        <v>7.4683011112977211E-3</v>
      </c>
      <c r="E442" s="122">
        <f t="shared" si="58"/>
        <v>-9.3406840211581299E-2</v>
      </c>
      <c r="F442" s="122">
        <f t="shared" si="59"/>
        <v>-9.3136600310110132E-2</v>
      </c>
      <c r="G442" s="122">
        <f t="shared" si="60"/>
        <v>0.96772876805464059</v>
      </c>
      <c r="H442" s="122">
        <f t="shared" si="61"/>
        <v>1.0623838409784909E-2</v>
      </c>
      <c r="I442" s="122">
        <f t="shared" si="62"/>
        <v>0.9663396340611724</v>
      </c>
      <c r="J442" s="122">
        <f t="shared" si="63"/>
        <v>-4.2480274013443082E-3</v>
      </c>
      <c r="K442" s="122">
        <f t="shared" si="64"/>
        <v>1.4871865811129217E-2</v>
      </c>
      <c r="Y442" s="126">
        <f>IF($Z$1, C442, -0.2)</f>
        <v>-0.2</v>
      </c>
    </row>
    <row r="443" spans="2:25" x14ac:dyDescent="0.3">
      <c r="B443" s="122">
        <v>0.96814903028188737</v>
      </c>
      <c r="C443" s="122">
        <f t="shared" si="56"/>
        <v>3.0836485446128492E-3</v>
      </c>
      <c r="D443" s="126">
        <f t="shared" si="57"/>
        <v>7.2568029918467511E-3</v>
      </c>
      <c r="E443" s="122">
        <f t="shared" si="58"/>
        <v>-9.3629806056377482E-2</v>
      </c>
      <c r="F443" s="122">
        <f t="shared" si="59"/>
        <v>-9.3357633072925036E-2</v>
      </c>
      <c r="G443" s="122">
        <f t="shared" si="60"/>
        <v>0.96882552455179916</v>
      </c>
      <c r="H443" s="122">
        <f t="shared" si="61"/>
        <v>1.0308850629347395E-2</v>
      </c>
      <c r="I443" s="122">
        <f t="shared" si="62"/>
        <v>0.96747253601197558</v>
      </c>
      <c r="J443" s="122">
        <f t="shared" si="63"/>
        <v>-4.1415535401216966E-3</v>
      </c>
      <c r="K443" s="122">
        <f t="shared" si="64"/>
        <v>1.4450404169469092E-2</v>
      </c>
      <c r="Y443" s="126">
        <f>IF($Z$1, C443, -0.2)</f>
        <v>-0.2</v>
      </c>
    </row>
    <row r="444" spans="2:25" x14ac:dyDescent="0.3">
      <c r="B444" s="122">
        <v>0.96924530363473493</v>
      </c>
      <c r="C444" s="122">
        <f t="shared" si="56"/>
        <v>2.9808845016745414E-3</v>
      </c>
      <c r="D444" s="126">
        <f t="shared" si="57"/>
        <v>7.0481095127107605E-3</v>
      </c>
      <c r="E444" s="122">
        <f t="shared" si="58"/>
        <v>-9.3849060726946987E-2</v>
      </c>
      <c r="F444" s="122">
        <f t="shared" si="59"/>
        <v>-9.3574977915833635E-2</v>
      </c>
      <c r="G444" s="122">
        <f t="shared" si="60"/>
        <v>0.96990386824836483</v>
      </c>
      <c r="H444" s="122">
        <f t="shared" si="61"/>
        <v>9.9981589264664314E-3</v>
      </c>
      <c r="I444" s="122">
        <f t="shared" si="62"/>
        <v>0.96858673902110504</v>
      </c>
      <c r="J444" s="122">
        <f t="shared" si="63"/>
        <v>-4.0363899231173495E-3</v>
      </c>
      <c r="K444" s="122">
        <f t="shared" si="64"/>
        <v>1.4034548849583781E-2</v>
      </c>
      <c r="Y444" s="126">
        <f>IF($Z$1, C444, -0.2)</f>
        <v>-0.2</v>
      </c>
    </row>
    <row r="445" spans="2:25" x14ac:dyDescent="0.3">
      <c r="B445" s="122">
        <v>0.97032297766381859</v>
      </c>
      <c r="C445" s="122">
        <f t="shared" si="56"/>
        <v>2.8796296681439237E-3</v>
      </c>
      <c r="D445" s="126">
        <f t="shared" si="57"/>
        <v>6.8422640104978246E-3</v>
      </c>
      <c r="E445" s="122">
        <f t="shared" si="58"/>
        <v>-9.4064595532763723E-2</v>
      </c>
      <c r="F445" s="122">
        <f t="shared" si="59"/>
        <v>-9.3788626654241189E-2</v>
      </c>
      <c r="G445" s="122">
        <f t="shared" si="60"/>
        <v>0.97096376381836724</v>
      </c>
      <c r="H445" s="122">
        <f t="shared" si="61"/>
        <v>9.6918224056912524E-3</v>
      </c>
      <c r="I445" s="122">
        <f t="shared" si="62"/>
        <v>0.96968219150926993</v>
      </c>
      <c r="J445" s="122">
        <f t="shared" si="63"/>
        <v>-3.9325630694034049E-3</v>
      </c>
      <c r="K445" s="122">
        <f t="shared" si="64"/>
        <v>1.3624385475094657E-2</v>
      </c>
      <c r="Y445" s="126">
        <f>IF($Z$1, C445, -0.2)</f>
        <v>-0.2</v>
      </c>
    </row>
    <row r="446" spans="2:25" x14ac:dyDescent="0.3">
      <c r="B446" s="122">
        <v>0.97138200965372234</v>
      </c>
      <c r="C446" s="122">
        <f t="shared" si="56"/>
        <v>2.7799000974818022E-3</v>
      </c>
      <c r="D446" s="126">
        <f t="shared" si="57"/>
        <v>6.6393092822756156E-3</v>
      </c>
      <c r="E446" s="122">
        <f t="shared" si="58"/>
        <v>-9.4276401930744477E-2</v>
      </c>
      <c r="F446" s="122">
        <f t="shared" si="59"/>
        <v>-9.3998571245439907E-2</v>
      </c>
      <c r="G446" s="122">
        <f t="shared" si="60"/>
        <v>0.97200517660414598</v>
      </c>
      <c r="H446" s="122">
        <f t="shared" si="61"/>
        <v>9.3898993938214652E-3</v>
      </c>
      <c r="I446" s="122">
        <f t="shared" si="62"/>
        <v>0.97075884270329871</v>
      </c>
      <c r="J446" s="122">
        <f t="shared" si="63"/>
        <v>-3.8300991988578599E-3</v>
      </c>
      <c r="K446" s="122">
        <f t="shared" si="64"/>
        <v>1.3219998592679324E-2</v>
      </c>
      <c r="Y446" s="126">
        <f>IF($Z$1, C446, -0.2)</f>
        <v>-0.2</v>
      </c>
    </row>
    <row r="447" spans="2:25" x14ac:dyDescent="0.3">
      <c r="B447" s="122">
        <v>0.97242235762793938</v>
      </c>
      <c r="C447" s="122">
        <f t="shared" si="56"/>
        <v>2.6817116013259316E-3</v>
      </c>
      <c r="D447" s="126">
        <f t="shared" si="57"/>
        <v>6.439287574160046E-3</v>
      </c>
      <c r="E447" s="122">
        <f t="shared" si="58"/>
        <v>-9.4484471525587879E-2</v>
      </c>
      <c r="F447" s="122">
        <f t="shared" si="59"/>
        <v>-9.4204803788778546E-2</v>
      </c>
      <c r="G447" s="122">
        <f t="shared" si="60"/>
        <v>0.97302807261445401</v>
      </c>
      <c r="H447" s="122">
        <f t="shared" si="61"/>
        <v>9.0924474263185361E-3</v>
      </c>
      <c r="I447" s="122">
        <f t="shared" si="62"/>
        <v>0.97181664264142475</v>
      </c>
      <c r="J447" s="122">
        <f t="shared" si="63"/>
        <v>-3.7290242236666729E-3</v>
      </c>
      <c r="K447" s="122">
        <f t="shared" si="64"/>
        <v>1.2821471649985209E-2</v>
      </c>
      <c r="Y447" s="126">
        <f>IF($Z$1, C447, -0.2)</f>
        <v>-0.2</v>
      </c>
    </row>
    <row r="448" spans="2:25" x14ac:dyDescent="0.3">
      <c r="B448" s="122">
        <v>0.97344398035053437</v>
      </c>
      <c r="C448" s="122">
        <f t="shared" si="56"/>
        <v>2.585079746984287E-3</v>
      </c>
      <c r="D448" s="126">
        <f t="shared" si="57"/>
        <v>6.2422405700421754E-3</v>
      </c>
      <c r="E448" s="122">
        <f t="shared" si="58"/>
        <v>-9.4688796070106884E-2</v>
      </c>
      <c r="F448" s="122">
        <f t="shared" si="59"/>
        <v>-9.4407316525827428E-2</v>
      </c>
      <c r="G448" s="122">
        <f t="shared" si="60"/>
        <v>0.97403241852255551</v>
      </c>
      <c r="H448" s="122">
        <f t="shared" si="61"/>
        <v>8.7995232338935418E-3</v>
      </c>
      <c r="I448" s="122">
        <f t="shared" si="62"/>
        <v>0.97285554217851322</v>
      </c>
      <c r="J448" s="122">
        <f t="shared" si="63"/>
        <v>-3.6293637399249681E-3</v>
      </c>
      <c r="K448" s="122">
        <f t="shared" si="64"/>
        <v>1.242888697381851E-2</v>
      </c>
      <c r="Y448" s="126">
        <f>IF($Z$1, C448, -0.2)</f>
        <v>-0.2</v>
      </c>
    </row>
    <row r="449" spans="2:25" x14ac:dyDescent="0.3">
      <c r="B449" s="122">
        <v>0.97444683732777948</v>
      </c>
      <c r="C449" s="122">
        <f t="shared" ref="C449:C500" si="65">IF($A$1=0, 0, IF(B449&lt;=$A$2, ($A$1/$A$2^2)*(2*$A$2*B449-B449^2), ($A$1/(1-$A$2)^2)*((1-2*$A$2)+2*$A$2*B449-B449^2)))</f>
        <v>2.4900198549667519E-3</v>
      </c>
      <c r="D449" s="126">
        <f t="shared" ref="D449:D500" si="66">IF(B449&lt;$N$1, ($A$3/0.2)*($O$1*SQRT(B449)+$P$1*B449+$Q$1*(B449^2)+$R$1*(B449^3)), ($A$3/0.2)*($S$1+$T$1*(1-B449)+$U$1*((1-B449)^2)+$V$1*((1-B449)^3)))</f>
        <v>6.0482093804557144E-3</v>
      </c>
      <c r="E449" s="122">
        <f t="shared" ref="E449:E500" si="67">IF($A$1=0, 0, IF(B449&lt;=$A$2, ($A$1/$A$2^2) *(2*$A$2-2*B449), ($A$1/(1-$A$2)^2)*(2*$A$2-2*B449)))</f>
        <v>-9.4889367465555902E-2</v>
      </c>
      <c r="F449" s="122">
        <f t="shared" ref="F449:F500" si="68">IF($A$1=0, 0,  ATAN(E449))</f>
        <v>-9.4606101840540191E-2</v>
      </c>
      <c r="G449" s="122">
        <f t="shared" ref="G449:G500" si="69">B449-D449*SIN(F449)</f>
        <v>0.97501818166432952</v>
      </c>
      <c r="H449" s="122">
        <f t="shared" ref="H449:H500" si="70">C449+D449*COS(F449)</f>
        <v>8.5111827292730698E-3</v>
      </c>
      <c r="I449" s="122">
        <f t="shared" ref="I449:I500" si="71">B449+D449*SIN(F449)</f>
        <v>0.97387549299122944</v>
      </c>
      <c r="J449" s="122">
        <f t="shared" ref="J449:J500" si="72">C449-D449*COS(F449)</f>
        <v>-3.5311430193395656E-3</v>
      </c>
      <c r="K449" s="122">
        <f t="shared" ref="K449:K500" si="73">2*D449*COS(F449)</f>
        <v>1.2042325748612635E-2</v>
      </c>
      <c r="Y449" s="126">
        <f>IF($Z$1, C449, -0.2)</f>
        <v>-0.2</v>
      </c>
    </row>
    <row r="450" spans="2:25" x14ac:dyDescent="0.3">
      <c r="B450" s="122">
        <v>0.97543088880975826</v>
      </c>
      <c r="C450" s="122">
        <f t="shared" si="65"/>
        <v>2.396546996556326E-3</v>
      </c>
      <c r="D450" s="126">
        <f t="shared" si="66"/>
        <v>5.8572345315896276E-3</v>
      </c>
      <c r="E450" s="122">
        <f t="shared" si="67"/>
        <v>-9.5086177761951662E-2</v>
      </c>
      <c r="F450" s="122">
        <f t="shared" si="68"/>
        <v>-9.48011522594112E-2</v>
      </c>
      <c r="G450" s="122">
        <f t="shared" si="69"/>
        <v>0.97598533003637156</v>
      </c>
      <c r="H450" s="122">
        <f t="shared" si="70"/>
        <v>8.2274809941486112E-3</v>
      </c>
      <c r="I450" s="122">
        <f t="shared" si="71"/>
        <v>0.97487644758314496</v>
      </c>
      <c r="J450" s="122">
        <f t="shared" si="72"/>
        <v>-3.4343870010359588E-3</v>
      </c>
      <c r="K450" s="122">
        <f t="shared" si="73"/>
        <v>1.166186799518457E-2</v>
      </c>
      <c r="Y450" s="126">
        <f>IF($Z$1, C450, -0.2)</f>
        <v>-0.2</v>
      </c>
    </row>
    <row r="451" spans="2:25" x14ac:dyDescent="0.3">
      <c r="B451" s="122">
        <v>0.97639609579194131</v>
      </c>
      <c r="C451" s="122">
        <f t="shared" si="65"/>
        <v>2.3046759914195471E-3</v>
      </c>
      <c r="D451" s="126">
        <f t="shared" si="66"/>
        <v>5.669355954448457E-3</v>
      </c>
      <c r="E451" s="122">
        <f t="shared" si="67"/>
        <v>-9.5279219158388273E-2</v>
      </c>
      <c r="F451" s="122">
        <f t="shared" si="68"/>
        <v>-9.499246045162936E-2</v>
      </c>
      <c r="G451" s="122">
        <f t="shared" si="69"/>
        <v>0.97693383229410202</v>
      </c>
      <c r="H451" s="122">
        <f t="shared" si="70"/>
        <v>7.9484722663114848E-3</v>
      </c>
      <c r="I451" s="122">
        <f t="shared" si="71"/>
        <v>0.9758583592897806</v>
      </c>
      <c r="J451" s="122">
        <f t="shared" si="72"/>
        <v>-3.3391202834723915E-3</v>
      </c>
      <c r="K451" s="122">
        <f t="shared" si="73"/>
        <v>1.1287592549783877E-2</v>
      </c>
      <c r="Y451" s="126">
        <f>IF($Z$1, C451, -0.2)</f>
        <v>-0.2</v>
      </c>
    </row>
    <row r="452" spans="2:25" x14ac:dyDescent="0.3">
      <c r="B452" s="122">
        <v>0.97734242001673288</v>
      </c>
      <c r="C452" s="122">
        <f t="shared" si="65"/>
        <v>2.2144214052568947E-3</v>
      </c>
      <c r="D452" s="126">
        <f t="shared" si="66"/>
        <v>5.4846129741638562E-3</v>
      </c>
      <c r="E452" s="122">
        <f t="shared" si="67"/>
        <v>-9.5468484003346579E-2</v>
      </c>
      <c r="F452" s="122">
        <f t="shared" si="68"/>
        <v>-9.5180019229228335E-2</v>
      </c>
      <c r="G452" s="122">
        <f t="shared" si="69"/>
        <v>0.97786365774988038</v>
      </c>
      <c r="H452" s="122">
        <f t="shared" si="70"/>
        <v>7.6742099269772861E-3</v>
      </c>
      <c r="I452" s="122">
        <f t="shared" si="71"/>
        <v>0.97682118228358539</v>
      </c>
      <c r="J452" s="122">
        <f t="shared" si="72"/>
        <v>-3.2453671164634963E-3</v>
      </c>
      <c r="K452" s="122">
        <f t="shared" si="73"/>
        <v>1.0919577043440782E-2</v>
      </c>
      <c r="Y452" s="126">
        <f>IF($Z$1, C452, -0.2)</f>
        <v>-0.2</v>
      </c>
    </row>
    <row r="453" spans="2:25" x14ac:dyDescent="0.3">
      <c r="B453" s="122">
        <v>0.97826982397498718</v>
      </c>
      <c r="C453" s="122">
        <f t="shared" si="65"/>
        <v>2.1257975474934798E-3</v>
      </c>
      <c r="D453" s="126">
        <f t="shared" si="66"/>
        <v>5.303044299460811E-3</v>
      </c>
      <c r="E453" s="122">
        <f t="shared" si="67"/>
        <v>-9.5653964794997437E-2</v>
      </c>
      <c r="F453" s="122">
        <f t="shared" si="68"/>
        <v>-9.5363821547232955E-2</v>
      </c>
      <c r="G453" s="122">
        <f t="shared" si="69"/>
        <v>0.97877477637112598</v>
      </c>
      <c r="H453" s="122">
        <f t="shared" si="70"/>
        <v>7.4047464883033338E-3</v>
      </c>
      <c r="I453" s="122">
        <f t="shared" si="71"/>
        <v>0.97776487157884839</v>
      </c>
      <c r="J453" s="122">
        <f t="shared" si="72"/>
        <v>-3.1531513933163741E-3</v>
      </c>
      <c r="K453" s="122">
        <f t="shared" si="73"/>
        <v>1.0557897881619708E-2</v>
      </c>
      <c r="Y453" s="126">
        <f>IF($Z$1, C453, -0.2)</f>
        <v>-0.2</v>
      </c>
    </row>
    <row r="454" spans="2:25" x14ac:dyDescent="0.3">
      <c r="B454" s="122">
        <v>0.97917827090749432</v>
      </c>
      <c r="C454" s="122">
        <f t="shared" si="65"/>
        <v>2.0388184690103952E-3</v>
      </c>
      <c r="D454" s="126">
        <f t="shared" si="66"/>
        <v>5.1246880122818358E-3</v>
      </c>
      <c r="E454" s="122">
        <f t="shared" si="67"/>
        <v>-9.5835654181498864E-2</v>
      </c>
      <c r="F454" s="122">
        <f t="shared" si="68"/>
        <v>-9.5543860503801661E-2</v>
      </c>
      <c r="G454" s="122">
        <f t="shared" si="69"/>
        <v>0.97966715877844768</v>
      </c>
      <c r="H454" s="122">
        <f t="shared" si="70"/>
        <v>7.1401335811025583E-3</v>
      </c>
      <c r="I454" s="122">
        <f t="shared" si="71"/>
        <v>0.97868938303654096</v>
      </c>
      <c r="J454" s="122">
        <f t="shared" si="72"/>
        <v>-3.062496643081768E-3</v>
      </c>
      <c r="K454" s="122">
        <f t="shared" si="73"/>
        <v>1.0202630224184326E-2</v>
      </c>
      <c r="Y454" s="126">
        <f>IF($Z$1, C454, -0.2)</f>
        <v>-0.2</v>
      </c>
    </row>
    <row r="455" spans="2:25" x14ac:dyDescent="0.3">
      <c r="B455" s="122">
        <v>0.98006772480643811</v>
      </c>
      <c r="C455" s="122">
        <f t="shared" si="65"/>
        <v>1.9534979599170055E-3</v>
      </c>
      <c r="D455" s="126">
        <f t="shared" si="66"/>
        <v>4.9495815575718513E-3</v>
      </c>
      <c r="E455" s="122">
        <f t="shared" si="67"/>
        <v>-9.6013544961287625E-2</v>
      </c>
      <c r="F455" s="122">
        <f t="shared" si="68"/>
        <v>-9.5720129340365834E-2</v>
      </c>
      <c r="G455" s="122">
        <f t="shared" si="69"/>
        <v>0.98054077624378533</v>
      </c>
      <c r="H455" s="122">
        <f t="shared" si="70"/>
        <v>6.8804219427565146E-3</v>
      </c>
      <c r="I455" s="122">
        <f t="shared" si="71"/>
        <v>0.9795946733690909</v>
      </c>
      <c r="J455" s="122">
        <f t="shared" si="72"/>
        <v>-2.9734260229225037E-3</v>
      </c>
      <c r="K455" s="122">
        <f t="shared" si="73"/>
        <v>9.8538479656790183E-3</v>
      </c>
      <c r="Y455" s="126">
        <f>IF($Z$1, C455, -0.2)</f>
        <v>-0.2</v>
      </c>
    </row>
    <row r="456" spans="2:25" x14ac:dyDescent="0.3">
      <c r="B456" s="122">
        <v>0.98093815041682331</v>
      </c>
      <c r="C456" s="122">
        <f t="shared" si="65"/>
        <v>1.8698495473644995E-3</v>
      </c>
      <c r="D456" s="126">
        <f t="shared" si="66"/>
        <v>4.7777617332273852E-3</v>
      </c>
      <c r="E456" s="122">
        <f t="shared" si="67"/>
        <v>-9.6187630083364672E-2</v>
      </c>
      <c r="F456" s="122">
        <f t="shared" si="68"/>
        <v>-9.5892621441765261E-2</v>
      </c>
      <c r="G456" s="122">
        <f t="shared" si="69"/>
        <v>0.98139560068856346</v>
      </c>
      <c r="H456" s="122">
        <f t="shared" si="70"/>
        <v>6.625661405331211E-3</v>
      </c>
      <c r="I456" s="122">
        <f t="shared" si="71"/>
        <v>0.98048070014508315</v>
      </c>
      <c r="J456" s="122">
        <f t="shared" si="72"/>
        <v>-2.8859623106022116E-3</v>
      </c>
      <c r="K456" s="122">
        <f t="shared" si="73"/>
        <v>9.5116237159334222E-3</v>
      </c>
      <c r="Y456" s="126">
        <f>IF($Z$1, C456, -0.2)</f>
        <v>-0.2</v>
      </c>
    </row>
    <row r="457" spans="2:25" x14ac:dyDescent="0.3">
      <c r="B457" s="122">
        <v>0.98178951323787245</v>
      </c>
      <c r="C457" s="122">
        <f t="shared" si="65"/>
        <v>1.7878864934013916E-3</v>
      </c>
      <c r="D457" s="126">
        <f t="shared" si="66"/>
        <v>4.6092646802131099E-3</v>
      </c>
      <c r="E457" s="122">
        <f t="shared" si="67"/>
        <v>-9.6357902647574489E-2</v>
      </c>
      <c r="F457" s="122">
        <f t="shared" si="68"/>
        <v>-9.6061330336379966E-2</v>
      </c>
      <c r="G457" s="122">
        <f t="shared" si="69"/>
        <v>0.98223160468185766</v>
      </c>
      <c r="H457" s="122">
        <f t="shared" si="70"/>
        <v>6.375900883899212E-3</v>
      </c>
      <c r="I457" s="122">
        <f t="shared" si="71"/>
        <v>0.98134742179388723</v>
      </c>
      <c r="J457" s="122">
        <f t="shared" si="72"/>
        <v>-2.8001278970964287E-3</v>
      </c>
      <c r="K457" s="122">
        <f t="shared" si="73"/>
        <v>9.1760287809956407E-3</v>
      </c>
      <c r="Y457" s="126">
        <f>IF($Z$1, C457, -0.2)</f>
        <v>-0.2</v>
      </c>
    </row>
    <row r="458" spans="2:25" x14ac:dyDescent="0.3">
      <c r="B458" s="122">
        <v>0.98262177952439389</v>
      </c>
      <c r="C458" s="122">
        <f t="shared" si="65"/>
        <v>1.7076217928707284E-3</v>
      </c>
      <c r="D458" s="126">
        <f t="shared" si="66"/>
        <v>4.4441258728484629E-3</v>
      </c>
      <c r="E458" s="122">
        <f t="shared" si="67"/>
        <v>-9.6524355904878789E-2</v>
      </c>
      <c r="F458" s="122">
        <f t="shared" si="68"/>
        <v>-9.6226249696258884E-2</v>
      </c>
      <c r="G458" s="122">
        <f t="shared" si="69"/>
        <v>0.98304876143857778</v>
      </c>
      <c r="H458" s="122">
        <f t="shared" si="70"/>
        <v>6.1311883650702424E-3</v>
      </c>
      <c r="I458" s="122">
        <f t="shared" si="71"/>
        <v>0.98219479761021</v>
      </c>
      <c r="J458" s="122">
        <f t="shared" si="72"/>
        <v>-2.7159447793287852E-3</v>
      </c>
      <c r="K458" s="122">
        <f t="shared" si="73"/>
        <v>8.8471331443990275E-3</v>
      </c>
      <c r="Y458" s="126">
        <f>IF($Z$1, C458, -0.2)</f>
        <v>-0.2</v>
      </c>
    </row>
    <row r="459" spans="2:25" x14ac:dyDescent="0.3">
      <c r="B459" s="122">
        <v>0.98343491628811885</v>
      </c>
      <c r="C459" s="122">
        <f t="shared" si="65"/>
        <v>1.6290681713499568E-3</v>
      </c>
      <c r="D459" s="126">
        <f t="shared" si="66"/>
        <v>4.2823801092677742E-3</v>
      </c>
      <c r="E459" s="122">
        <f t="shared" si="67"/>
        <v>-9.6686983257623774E-2</v>
      </c>
      <c r="F459" s="122">
        <f t="shared" si="68"/>
        <v>-9.6387373337244536E-2</v>
      </c>
      <c r="G459" s="122">
        <f t="shared" si="69"/>
        <v>0.98384704481766694</v>
      </c>
      <c r="H459" s="122">
        <f t="shared" si="70"/>
        <v>5.891570895734396E-3</v>
      </c>
      <c r="I459" s="122">
        <f t="shared" si="71"/>
        <v>0.98302278775857077</v>
      </c>
      <c r="J459" s="122">
        <f t="shared" si="72"/>
        <v>-2.6334345530344824E-3</v>
      </c>
      <c r="K459" s="122">
        <f t="shared" si="73"/>
        <v>8.5250054487688784E-3</v>
      </c>
      <c r="Y459" s="126">
        <f>IF($Z$1, C459, -0.2)</f>
        <v>-0.2</v>
      </c>
    </row>
    <row r="460" spans="2:25" x14ac:dyDescent="0.3">
      <c r="B460" s="122">
        <v>0.98422889129900959</v>
      </c>
      <c r="C460" s="122">
        <f t="shared" si="65"/>
        <v>1.552238083133195E-3</v>
      </c>
      <c r="D460" s="126">
        <f t="shared" si="66"/>
        <v>4.1240615020563627E-3</v>
      </c>
      <c r="E460" s="122">
        <f t="shared" si="67"/>
        <v>-9.6845778259801923E-2</v>
      </c>
      <c r="F460" s="122">
        <f t="shared" si="68"/>
        <v>-9.6544695219094964E-2</v>
      </c>
      <c r="G460" s="122">
        <f t="shared" si="69"/>
        <v>0.98462642932032063</v>
      </c>
      <c r="H460" s="122">
        <f t="shared" si="70"/>
        <v>5.657094572019925E-3</v>
      </c>
      <c r="I460" s="122">
        <f t="shared" si="71"/>
        <v>0.98383135327769855</v>
      </c>
      <c r="J460" s="122">
        <f t="shared" si="72"/>
        <v>-2.5526184057535354E-3</v>
      </c>
      <c r="K460" s="122">
        <f t="shared" si="73"/>
        <v>8.2097129777734604E-3</v>
      </c>
      <c r="Y460" s="126">
        <f>IF($Z$1, C460, -0.2)</f>
        <v>-0.2</v>
      </c>
    </row>
    <row r="461" spans="2:25" x14ac:dyDescent="0.3">
      <c r="B461" s="122">
        <v>0.98500367308653625</v>
      </c>
      <c r="C461" s="122">
        <f t="shared" si="65"/>
        <v>1.477143709256823E-3</v>
      </c>
      <c r="D461" s="126">
        <f t="shared" si="66"/>
        <v>3.9692034690660205E-3</v>
      </c>
      <c r="E461" s="122">
        <f t="shared" si="67"/>
        <v>-9.7000734617307252E-2</v>
      </c>
      <c r="F461" s="122">
        <f t="shared" si="68"/>
        <v>-9.6698209445601535E-2</v>
      </c>
      <c r="G461" s="122">
        <f t="shared" si="69"/>
        <v>0.98538689008822367</v>
      </c>
      <c r="H461" s="122">
        <f t="shared" si="70"/>
        <v>5.4278045284696548E-3</v>
      </c>
      <c r="I461" s="122">
        <f t="shared" si="71"/>
        <v>0.98462045608484883</v>
      </c>
      <c r="J461" s="122">
        <f t="shared" si="72"/>
        <v>-2.4735171099560093E-3</v>
      </c>
      <c r="K461" s="122">
        <f t="shared" si="73"/>
        <v>7.9013216384256641E-3</v>
      </c>
      <c r="Y461" s="126">
        <f>IF($Z$1, C461, -0.2)</f>
        <v>-0.2</v>
      </c>
    </row>
    <row r="462" spans="2:25" x14ac:dyDescent="0.3">
      <c r="B462" s="122">
        <v>0.98575923094092466</v>
      </c>
      <c r="C462" s="122">
        <f t="shared" si="65"/>
        <v>1.4037969555681373E-3</v>
      </c>
      <c r="D462" s="126">
        <f t="shared" si="66"/>
        <v>3.8178387244122243E-3</v>
      </c>
      <c r="E462" s="122">
        <f t="shared" si="67"/>
        <v>-9.715184618818494E-2</v>
      </c>
      <c r="F462" s="122">
        <f t="shared" si="68"/>
        <v>-9.6847910264704032E-2</v>
      </c>
      <c r="G462" s="122">
        <f t="shared" si="69"/>
        <v>0.98612840290181081</v>
      </c>
      <c r="H462" s="122">
        <f t="shared" si="70"/>
        <v>5.203744927437884E-3</v>
      </c>
      <c r="I462" s="122">
        <f t="shared" si="71"/>
        <v>0.98539005898003851</v>
      </c>
      <c r="J462" s="122">
        <f t="shared" si="72"/>
        <v>-2.3961510163016094E-3</v>
      </c>
      <c r="K462" s="122">
        <f t="shared" si="73"/>
        <v>7.5998959437394934E-3</v>
      </c>
      <c r="Y462" s="126">
        <f>IF($Z$1, C462, -0.2)</f>
        <v>-0.2</v>
      </c>
    </row>
    <row r="463" spans="2:25" x14ac:dyDescent="0.3">
      <c r="B463" s="122">
        <v>0.98649553491437336</v>
      </c>
      <c r="C463" s="122">
        <f t="shared" si="65"/>
        <v>1.3322094508377736E-3</v>
      </c>
      <c r="D463" s="126">
        <f t="shared" si="66"/>
        <v>3.6699992696561943E-3</v>
      </c>
      <c r="E463" s="122">
        <f t="shared" si="67"/>
        <v>-9.7299106982874681E-2</v>
      </c>
      <c r="F463" s="122">
        <f t="shared" si="68"/>
        <v>-9.6993792068601939E-2</v>
      </c>
      <c r="G463" s="122">
        <f t="shared" si="69"/>
        <v>0.98685094417854857</v>
      </c>
      <c r="H463" s="122">
        <f t="shared" si="70"/>
        <v>4.9849589487113155E-3</v>
      </c>
      <c r="I463" s="122">
        <f t="shared" si="71"/>
        <v>0.98614012565019815</v>
      </c>
      <c r="J463" s="122">
        <f t="shared" si="72"/>
        <v>-2.3205400470357679E-3</v>
      </c>
      <c r="K463" s="122">
        <f t="shared" si="73"/>
        <v>7.3054989957470834E-3</v>
      </c>
      <c r="Y463" s="126">
        <f>IF($Z$1, C463, -0.2)</f>
        <v>-0.2</v>
      </c>
    </row>
    <row r="464" spans="2:25" x14ac:dyDescent="0.3">
      <c r="B464" s="122">
        <v>0.98721255582224088</v>
      </c>
      <c r="C464" s="122">
        <f t="shared" si="65"/>
        <v>1.2623925449159802E-3</v>
      </c>
      <c r="D464" s="126">
        <f t="shared" si="66"/>
        <v>3.5257163851743064E-3</v>
      </c>
      <c r="E464" s="122">
        <f t="shared" si="67"/>
        <v>-9.7442511164448187E-2</v>
      </c>
      <c r="F464" s="122">
        <f t="shared" si="68"/>
        <v>-9.71358493938628E-2</v>
      </c>
      <c r="G464" s="122">
        <f t="shared" si="69"/>
        <v>0.98755449097124248</v>
      </c>
      <c r="H464" s="122">
        <f t="shared" si="70"/>
        <v>4.7714887793563875E-3</v>
      </c>
      <c r="I464" s="122">
        <f t="shared" si="71"/>
        <v>0.98687062067323927</v>
      </c>
      <c r="J464" s="122">
        <f t="shared" si="72"/>
        <v>-2.2467036895244268E-3</v>
      </c>
      <c r="K464" s="122">
        <f t="shared" si="73"/>
        <v>7.0181924688808139E-3</v>
      </c>
      <c r="Y464" s="126">
        <f>IF($Z$1, C464, -0.2)</f>
        <v>-0.2</v>
      </c>
    </row>
    <row r="465" spans="2:25" x14ac:dyDescent="0.3">
      <c r="B465" s="122">
        <v>0.98791026524420245</v>
      </c>
      <c r="C465" s="122">
        <f t="shared" si="65"/>
        <v>1.1943573069332027E-3</v>
      </c>
      <c r="D465" s="126">
        <f t="shared" si="66"/>
        <v>3.385020621717682E-3</v>
      </c>
      <c r="E465" s="122">
        <f t="shared" si="67"/>
        <v>-9.7582053048840489E-2</v>
      </c>
      <c r="F465" s="122">
        <f t="shared" si="68"/>
        <v>-9.7274076921527119E-2</v>
      </c>
      <c r="G465" s="122">
        <f t="shared" si="69"/>
        <v>0.9882390209663694</v>
      </c>
      <c r="H465" s="122">
        <f t="shared" si="70"/>
        <v>4.563375603796019E-3</v>
      </c>
      <c r="I465" s="122">
        <f t="shared" si="71"/>
        <v>0.98758150952203549</v>
      </c>
      <c r="J465" s="122">
        <f t="shared" si="72"/>
        <v>-2.1746609899296132E-3</v>
      </c>
      <c r="K465" s="122">
        <f t="shared" si="73"/>
        <v>6.7380365937256322E-3</v>
      </c>
      <c r="Y465" s="126">
        <f>IF($Z$1, C465, -0.2)</f>
        <v>-0.2</v>
      </c>
    </row>
    <row r="466" spans="2:25" x14ac:dyDescent="0.3">
      <c r="B466" s="122">
        <v>0.98858863552537568</v>
      </c>
      <c r="C466" s="122">
        <f t="shared" si="65"/>
        <v>1.1281145235451651E-3</v>
      </c>
      <c r="D466" s="126">
        <f t="shared" si="66"/>
        <v>3.2479417921646306E-3</v>
      </c>
      <c r="E466" s="122">
        <f t="shared" si="67"/>
        <v>-9.7717727105075147E-2</v>
      </c>
      <c r="F466" s="122">
        <f t="shared" si="68"/>
        <v>-9.7408469477210005E-2</v>
      </c>
      <c r="G466" s="122">
        <f t="shared" si="69"/>
        <v>0.98890451248243683</v>
      </c>
      <c r="H466" s="122">
        <f t="shared" si="70"/>
        <v>4.360659594118411E-3</v>
      </c>
      <c r="I466" s="122">
        <f t="shared" si="71"/>
        <v>0.98827275856831454</v>
      </c>
      <c r="J466" s="122">
        <f t="shared" si="72"/>
        <v>-2.1044305470280808E-3</v>
      </c>
      <c r="K466" s="122">
        <f t="shared" si="73"/>
        <v>6.4650901411464918E-3</v>
      </c>
      <c r="Y466" s="126">
        <f>IF($Z$1, C466, -0.2)</f>
        <v>-0.2</v>
      </c>
    </row>
    <row r="467" spans="2:25" x14ac:dyDescent="0.3">
      <c r="B467" s="122">
        <v>0.98924763977741859</v>
      </c>
      <c r="C467" s="122">
        <f t="shared" si="65"/>
        <v>1.0636746972225275E-3</v>
      </c>
      <c r="D467" s="126">
        <f t="shared" si="66"/>
        <v>3.1145089634678404E-3</v>
      </c>
      <c r="E467" s="122">
        <f t="shared" si="67"/>
        <v>-9.7849527955483726E-2</v>
      </c>
      <c r="F467" s="122">
        <f t="shared" si="68"/>
        <v>-9.7539022031199948E-2</v>
      </c>
      <c r="G467" s="122">
        <f t="shared" si="69"/>
        <v>0.98955094446837211</v>
      </c>
      <c r="H467" s="122">
        <f t="shared" si="70"/>
        <v>4.1633799006196319E-3</v>
      </c>
      <c r="I467" s="122">
        <f t="shared" si="71"/>
        <v>0.98894433508646507</v>
      </c>
      <c r="J467" s="122">
        <f t="shared" si="72"/>
        <v>-2.0360305061745774E-3</v>
      </c>
      <c r="K467" s="122">
        <f t="shared" si="73"/>
        <v>6.1994104067942092E-3</v>
      </c>
      <c r="Y467" s="126">
        <f>IF($Z$1, C467, -0.2)</f>
        <v>-0.2</v>
      </c>
    </row>
    <row r="468" spans="2:25" x14ac:dyDescent="0.3">
      <c r="B468" s="122">
        <v>0.98988725187959314</v>
      </c>
      <c r="C468" s="122">
        <f t="shared" si="65"/>
        <v>1.0010480445860059E-3</v>
      </c>
      <c r="D468" s="126">
        <f t="shared" si="66"/>
        <v>2.9847504488001203E-3</v>
      </c>
      <c r="E468" s="122">
        <f t="shared" si="67"/>
        <v>-9.7977450375918637E-2</v>
      </c>
      <c r="F468" s="122">
        <f t="shared" si="68"/>
        <v>-9.766572969855393E-2</v>
      </c>
      <c r="G468" s="122">
        <f t="shared" si="69"/>
        <v>0.99017829650193889</v>
      </c>
      <c r="H468" s="122">
        <f t="shared" si="70"/>
        <v>3.9715746425844391E-3</v>
      </c>
      <c r="I468" s="122">
        <f t="shared" si="71"/>
        <v>0.9895962072572474</v>
      </c>
      <c r="J468" s="122">
        <f t="shared" si="72"/>
        <v>-1.9694785534124276E-3</v>
      </c>
      <c r="K468" s="122">
        <f t="shared" si="73"/>
        <v>5.9410531959968671E-3</v>
      </c>
      <c r="Y468" s="126">
        <f>IF($Z$1, C468, -0.2)</f>
        <v>-0.2</v>
      </c>
    </row>
    <row r="469" spans="2:25" x14ac:dyDescent="0.3">
      <c r="B469" s="122">
        <v>0.99050744647980227</v>
      </c>
      <c r="C469" s="122">
        <f t="shared" si="65"/>
        <v>9.4024449478639091E-4</v>
      </c>
      <c r="D469" s="126">
        <f t="shared" si="66"/>
        <v>2.8586937998995661E-3</v>
      </c>
      <c r="E469" s="122">
        <f t="shared" si="67"/>
        <v>-9.8101489295960465E-2</v>
      </c>
      <c r="F469" s="122">
        <f t="shared" si="68"/>
        <v>-9.7788587739189969E-2</v>
      </c>
      <c r="G469" s="122">
        <f t="shared" si="69"/>
        <v>0.99078654878818684</v>
      </c>
      <c r="H469" s="122">
        <f t="shared" si="70"/>
        <v>3.7852808993054333E-3</v>
      </c>
      <c r="I469" s="122">
        <f t="shared" si="71"/>
        <v>0.9902283441714177</v>
      </c>
      <c r="J469" s="122">
        <f t="shared" si="72"/>
        <v>-1.9047919097326515E-3</v>
      </c>
      <c r="K469" s="122">
        <f t="shared" si="73"/>
        <v>5.6900728090380848E-3</v>
      </c>
      <c r="Y469" s="126">
        <f>IF($Z$1, C469, -0.2)</f>
        <v>-0.2</v>
      </c>
    </row>
    <row r="470" spans="2:25" x14ac:dyDescent="0.3">
      <c r="B470" s="122">
        <v>0.99110819899559388</v>
      </c>
      <c r="C470" s="122">
        <f t="shared" si="65"/>
        <v>8.8127368793041729E-4</v>
      </c>
      <c r="D470" s="126">
        <f t="shared" si="66"/>
        <v>2.7363657996177602E-3</v>
      </c>
      <c r="E470" s="122">
        <f t="shared" si="67"/>
        <v>-9.8221639799118785E-2</v>
      </c>
      <c r="F470" s="122">
        <f t="shared" si="68"/>
        <v>-9.7907591557976167E-2</v>
      </c>
      <c r="G470" s="122">
        <f t="shared" si="69"/>
        <v>0.99137568215793248</v>
      </c>
      <c r="H470" s="122">
        <f t="shared" si="70"/>
        <v>3.6045347013448675E-3</v>
      </c>
      <c r="I470" s="122">
        <f t="shared" si="71"/>
        <v>0.99084071583325528</v>
      </c>
      <c r="J470" s="122">
        <f t="shared" si="72"/>
        <v>-1.8419873254840332E-3</v>
      </c>
      <c r="K470" s="122">
        <f t="shared" si="73"/>
        <v>5.4465220268289007E-3</v>
      </c>
      <c r="Y470" s="126">
        <f>IF($Z$1, C470, -0.2)</f>
        <v>-0.2</v>
      </c>
    </row>
    <row r="471" spans="2:25" x14ac:dyDescent="0.3">
      <c r="B471" s="122">
        <v>0.99168948561513559</v>
      </c>
      <c r="C471" s="122">
        <f t="shared" si="65"/>
        <v>8.2414497355233214E-4</v>
      </c>
      <c r="D471" s="126">
        <f t="shared" si="66"/>
        <v>2.6177924546726111E-3</v>
      </c>
      <c r="E471" s="122">
        <f t="shared" si="67"/>
        <v>-9.8337897123027124E-2</v>
      </c>
      <c r="F471" s="122">
        <f t="shared" si="68"/>
        <v>-9.8022736704816885E-2</v>
      </c>
      <c r="G471" s="122">
        <f t="shared" si="69"/>
        <v>0.99194567806627398</v>
      </c>
      <c r="H471" s="122">
        <f t="shared" si="70"/>
        <v>3.4293710220403575E-3</v>
      </c>
      <c r="I471" s="122">
        <f t="shared" si="71"/>
        <v>0.9914332931639972</v>
      </c>
      <c r="J471" s="122">
        <f t="shared" si="72"/>
        <v>-1.781081074935693E-3</v>
      </c>
      <c r="K471" s="122">
        <f t="shared" si="73"/>
        <v>5.2104520969760504E-3</v>
      </c>
      <c r="Y471" s="126">
        <f>IF($Z$1, C471, -0.2)</f>
        <v>-0.2</v>
      </c>
    </row>
    <row r="472" spans="2:25" x14ac:dyDescent="0.3">
      <c r="B472" s="122">
        <v>0.99225128329815826</v>
      </c>
      <c r="C472" s="122">
        <f t="shared" si="65"/>
        <v>7.6886740913163505E-4</v>
      </c>
      <c r="D472" s="126">
        <f t="shared" si="66"/>
        <v>2.5029989886083868E-3</v>
      </c>
      <c r="E472" s="122">
        <f t="shared" si="67"/>
        <v>-9.8450256659631655E-2</v>
      </c>
      <c r="F472" s="122">
        <f t="shared" si="68"/>
        <v>-9.8134018874735787E-2</v>
      </c>
      <c r="G472" s="122">
        <f t="shared" si="69"/>
        <v>0.99249651859114052</v>
      </c>
      <c r="H472" s="122">
        <f t="shared" si="70"/>
        <v>3.259823769257297E-3</v>
      </c>
      <c r="I472" s="122">
        <f t="shared" si="71"/>
        <v>0.992006048005176</v>
      </c>
      <c r="J472" s="122">
        <f t="shared" si="72"/>
        <v>-1.7220889509940267E-3</v>
      </c>
      <c r="K472" s="122">
        <f t="shared" si="73"/>
        <v>4.9819127202513237E-3</v>
      </c>
      <c r="Y472" s="126">
        <f>IF($Z$1, C472, -0.2)</f>
        <v>-0.2</v>
      </c>
    </row>
    <row r="473" spans="2:25" x14ac:dyDescent="0.3">
      <c r="B473" s="122">
        <v>0.99279356977686972</v>
      </c>
      <c r="C473" s="122">
        <f t="shared" si="65"/>
        <v>7.1544975865693865E-4</v>
      </c>
      <c r="D473" s="126">
        <f t="shared" si="66"/>
        <v>2.3920098349648907E-3</v>
      </c>
      <c r="E473" s="122">
        <f t="shared" si="67"/>
        <v>-9.8558713955373953E-2</v>
      </c>
      <c r="F473" s="122">
        <f t="shared" si="68"/>
        <v>-9.8241433907956102E-2</v>
      </c>
      <c r="G473" s="122">
        <f t="shared" si="69"/>
        <v>0.99302818643187762</v>
      </c>
      <c r="H473" s="122">
        <f t="shared" si="70"/>
        <v>3.0959257773896763E-3</v>
      </c>
      <c r="I473" s="122">
        <f t="shared" si="71"/>
        <v>0.99255895312186182</v>
      </c>
      <c r="J473" s="122">
        <f t="shared" si="72"/>
        <v>-1.6650262600757988E-3</v>
      </c>
      <c r="K473" s="122">
        <f t="shared" si="73"/>
        <v>4.7609520374654749E-3</v>
      </c>
      <c r="Y473" s="126">
        <f>IF($Z$1, C473, -0.2)</f>
        <v>-0.2</v>
      </c>
    </row>
    <row r="474" spans="2:25" x14ac:dyDescent="0.3">
      <c r="B474" s="122">
        <v>0.99331632355683674</v>
      </c>
      <c r="C474" s="122">
        <f t="shared" si="65"/>
        <v>6.6390049123663539E-4</v>
      </c>
      <c r="D474" s="126">
        <f t="shared" si="66"/>
        <v>2.2848486306582569E-3</v>
      </c>
      <c r="E474" s="122">
        <f t="shared" si="67"/>
        <v>-9.8663264711367354E-2</v>
      </c>
      <c r="F474" s="122">
        <f t="shared" si="68"/>
        <v>-9.8344977789977472E-2</v>
      </c>
      <c r="G474" s="122">
        <f t="shared" si="69"/>
        <v>0.99354066490786896</v>
      </c>
      <c r="H474" s="122">
        <f t="shared" si="70"/>
        <v>2.9377087996122499E-3</v>
      </c>
      <c r="I474" s="122">
        <f t="shared" si="71"/>
        <v>0.99309198220580452</v>
      </c>
      <c r="J474" s="122">
        <f t="shared" si="72"/>
        <v>-1.6099078171389791E-3</v>
      </c>
      <c r="K474" s="122">
        <f t="shared" si="73"/>
        <v>4.5476166167512291E-3</v>
      </c>
      <c r="Y474" s="126">
        <f>IF($Z$1, C474, -0.2)</f>
        <v>-0.2</v>
      </c>
    </row>
    <row r="475" spans="2:25" x14ac:dyDescent="0.3">
      <c r="B475" s="122">
        <v>0.99381952391783734</v>
      </c>
      <c r="C475" s="122">
        <f t="shared" si="65"/>
        <v>6.1422777975604918E-4</v>
      </c>
      <c r="D475" s="126">
        <f t="shared" si="66"/>
        <v>2.1815382095749683E-3</v>
      </c>
      <c r="E475" s="122">
        <f t="shared" si="67"/>
        <v>-9.8763904783567474E-2</v>
      </c>
      <c r="F475" s="122">
        <f t="shared" si="68"/>
        <v>-9.8444646651650328E-2</v>
      </c>
      <c r="G475" s="122">
        <f t="shared" si="69"/>
        <v>0.99403393795719697</v>
      </c>
      <c r="H475" s="122">
        <f t="shared" si="70"/>
        <v>2.7852035003851482E-3</v>
      </c>
      <c r="I475" s="122">
        <f t="shared" si="71"/>
        <v>0.99360510987847772</v>
      </c>
      <c r="J475" s="122">
        <f t="shared" si="72"/>
        <v>-1.5567479408730501E-3</v>
      </c>
      <c r="K475" s="122">
        <f t="shared" si="73"/>
        <v>4.3419514412581985E-3</v>
      </c>
      <c r="Y475" s="126">
        <f>IF($Z$1, C475, -0.2)</f>
        <v>-0.2</v>
      </c>
    </row>
    <row r="476" spans="2:25" x14ac:dyDescent="0.3">
      <c r="B476" s="122">
        <v>0.99430315091468235</v>
      </c>
      <c r="C476" s="122">
        <f t="shared" si="65"/>
        <v>5.6643949958167243E-4</v>
      </c>
      <c r="D476" s="126">
        <f t="shared" si="66"/>
        <v>2.0821005963813266E-3</v>
      </c>
      <c r="E476" s="122">
        <f t="shared" si="67"/>
        <v>-9.8860630182936476E-2</v>
      </c>
      <c r="F476" s="122">
        <f t="shared" si="68"/>
        <v>-9.8540436769247119E-2</v>
      </c>
      <c r="G476" s="122">
        <f t="shared" si="69"/>
        <v>0.99450799013534308</v>
      </c>
      <c r="H476" s="122">
        <f t="shared" si="70"/>
        <v>2.6384394482135655E-3</v>
      </c>
      <c r="I476" s="122">
        <f t="shared" si="71"/>
        <v>0.99409831169402163</v>
      </c>
      <c r="J476" s="122">
        <f t="shared" si="72"/>
        <v>-1.5055604490502208E-3</v>
      </c>
      <c r="K476" s="122">
        <f t="shared" si="73"/>
        <v>4.1439998972637865E-3</v>
      </c>
      <c r="Y476" s="126">
        <f>IF($Z$1, C476, -0.2)</f>
        <v>-0.2</v>
      </c>
    </row>
    <row r="477" spans="2:25" x14ac:dyDescent="0.3">
      <c r="B477" s="122">
        <v>0.99476718537800535</v>
      </c>
      <c r="C477" s="122">
        <f t="shared" si="65"/>
        <v>5.2054322731265312E-4</v>
      </c>
      <c r="D477" s="126">
        <f t="shared" si="66"/>
        <v>1.9865570005504389E-3</v>
      </c>
      <c r="E477" s="122">
        <f t="shared" si="67"/>
        <v>-9.8953437075601072E-2</v>
      </c>
      <c r="F477" s="122">
        <f t="shared" si="68"/>
        <v>-9.8632344564530558E-2</v>
      </c>
      <c r="G477" s="122">
        <f t="shared" si="69"/>
        <v>0.99496280661392633</v>
      </c>
      <c r="H477" s="122">
        <f t="shared" si="70"/>
        <v>2.4974451086645579E-3</v>
      </c>
      <c r="I477" s="122">
        <f t="shared" si="71"/>
        <v>0.99457156414208436</v>
      </c>
      <c r="J477" s="122">
        <f t="shared" si="72"/>
        <v>-1.4563586540392516E-3</v>
      </c>
      <c r="K477" s="122">
        <f t="shared" si="73"/>
        <v>3.9538037627038095E-3</v>
      </c>
      <c r="Y477" s="126">
        <f>IF($Z$1, C477, -0.2)</f>
        <v>-0.2</v>
      </c>
    </row>
    <row r="478" spans="2:25" x14ac:dyDescent="0.3">
      <c r="B478" s="122">
        <v>0.99521160891502314</v>
      </c>
      <c r="C478" s="122">
        <f t="shared" si="65"/>
        <v>4.7654623957942292E-4</v>
      </c>
      <c r="D478" s="126">
        <f t="shared" si="66"/>
        <v>1.8949278106081338E-3</v>
      </c>
      <c r="E478" s="122">
        <f t="shared" si="67"/>
        <v>-9.9042321783004636E-2</v>
      </c>
      <c r="F478" s="122">
        <f t="shared" si="68"/>
        <v>-9.8720366604819226E-2</v>
      </c>
      <c r="G478" s="122">
        <f t="shared" si="69"/>
        <v>0.99539837317948521</v>
      </c>
      <c r="H478" s="122">
        <f t="shared" si="70"/>
        <v>2.3622478376420872E-3</v>
      </c>
      <c r="I478" s="122">
        <f t="shared" si="71"/>
        <v>0.99502484465056107</v>
      </c>
      <c r="J478" s="122">
        <f t="shared" si="72"/>
        <v>-1.4091553584832414E-3</v>
      </c>
      <c r="K478" s="122">
        <f t="shared" si="73"/>
        <v>3.7714031961253286E-3</v>
      </c>
      <c r="Y478" s="126">
        <f>IF($Z$1, C478, -0.2)</f>
        <v>-0.2</v>
      </c>
    </row>
    <row r="479" spans="2:25" x14ac:dyDescent="0.3">
      <c r="B479" s="122">
        <v>0.99563640391026409</v>
      </c>
      <c r="C479" s="122">
        <f t="shared" si="65"/>
        <v>4.3445551189015276E-4</v>
      </c>
      <c r="D479" s="126">
        <f t="shared" si="66"/>
        <v>1.8072325886001365E-3</v>
      </c>
      <c r="E479" s="122">
        <f t="shared" si="67"/>
        <v>-9.9127280782052823E-2</v>
      </c>
      <c r="F479" s="122">
        <f t="shared" si="68"/>
        <v>-9.8804499603050044E-2</v>
      </c>
      <c r="G479" s="122">
        <f t="shared" si="69"/>
        <v>0.99581467623230002</v>
      </c>
      <c r="H479" s="122">
        <f t="shared" si="70"/>
        <v>2.2328738749231411E-3</v>
      </c>
      <c r="I479" s="122">
        <f t="shared" si="71"/>
        <v>0.99545813158822816</v>
      </c>
      <c r="J479" s="122">
        <f t="shared" si="72"/>
        <v>-1.3639628511428355E-3</v>
      </c>
      <c r="K479" s="122">
        <f t="shared" si="73"/>
        <v>3.5968367260659764E-3</v>
      </c>
      <c r="Y479" s="126">
        <f>IF($Z$1, C479, -0.2)</f>
        <v>-0.2</v>
      </c>
    </row>
    <row r="480" spans="2:25" x14ac:dyDescent="0.3">
      <c r="B480" s="122">
        <v>0.996041553526267</v>
      </c>
      <c r="C480" s="122">
        <f t="shared" si="65"/>
        <v>3.9427771752476026E-4</v>
      </c>
      <c r="D480" s="126">
        <f t="shared" si="66"/>
        <v>1.7234900647816462E-3</v>
      </c>
      <c r="E480" s="122">
        <f t="shared" si="67"/>
        <v>-9.9208310705253405E-2</v>
      </c>
      <c r="F480" s="122">
        <f t="shared" si="68"/>
        <v>-9.8884740417838179E-2</v>
      </c>
      <c r="G480" s="122">
        <f t="shared" si="69"/>
        <v>0.99621170278526017</v>
      </c>
      <c r="H480" s="122">
        <f t="shared" si="70"/>
        <v>2.1093483379556284E-3</v>
      </c>
      <c r="I480" s="122">
        <f t="shared" si="71"/>
        <v>0.99587140426727383</v>
      </c>
      <c r="J480" s="122">
        <f t="shared" si="72"/>
        <v>-1.3207929029061078E-3</v>
      </c>
      <c r="K480" s="122">
        <f t="shared" si="73"/>
        <v>3.4301412408617362E-3</v>
      </c>
      <c r="Y480" s="126">
        <f>IF($Z$1, C480, -0.2)</f>
        <v>-0.2</v>
      </c>
    </row>
    <row r="481" spans="2:25" x14ac:dyDescent="0.3">
      <c r="B481" s="122">
        <v>0.99642704170424801</v>
      </c>
      <c r="C481" s="122">
        <f t="shared" si="65"/>
        <v>3.56019226476878E-4</v>
      </c>
      <c r="D481" s="126">
        <f t="shared" si="66"/>
        <v>1.6437181325314953E-3</v>
      </c>
      <c r="E481" s="122">
        <f t="shared" si="67"/>
        <v>-9.9285408340849604E-2</v>
      </c>
      <c r="F481" s="122">
        <f t="shared" si="68"/>
        <v>-9.8961086053533959E-2</v>
      </c>
      <c r="G481" s="122">
        <f t="shared" si="69"/>
        <v>0.9965894404627732</v>
      </c>
      <c r="H481" s="122">
        <f t="shared" si="70"/>
        <v>1.991695215920475E-3</v>
      </c>
      <c r="I481" s="122">
        <f t="shared" si="71"/>
        <v>0.99626464294572281</v>
      </c>
      <c r="J481" s="122">
        <f t="shared" si="72"/>
        <v>-1.279656762966719E-3</v>
      </c>
      <c r="K481" s="122">
        <f t="shared" si="73"/>
        <v>3.271351978887194E-3</v>
      </c>
      <c r="Y481" s="126">
        <f>IF($Z$1, C481, -0.2)</f>
        <v>-0.2</v>
      </c>
    </row>
    <row r="482" spans="2:25" x14ac:dyDescent="0.3">
      <c r="B482" s="122">
        <v>0.9967928531647372</v>
      </c>
      <c r="C482" s="122">
        <f t="shared" si="65"/>
        <v>3.1968610444398364E-4</v>
      </c>
      <c r="D482" s="126">
        <f t="shared" si="66"/>
        <v>1.5679338434920918E-3</v>
      </c>
      <c r="E482" s="122">
        <f t="shared" si="67"/>
        <v>-9.9358570632947452E-2</v>
      </c>
      <c r="F482" s="122">
        <f t="shared" si="68"/>
        <v>-9.903353366027709E-2</v>
      </c>
      <c r="G482" s="122">
        <f t="shared" si="69"/>
        <v>0.9969478774997208</v>
      </c>
      <c r="H482" s="122">
        <f t="shared" si="70"/>
        <v>1.8799373640591682E-3</v>
      </c>
      <c r="I482" s="122">
        <f t="shared" si="71"/>
        <v>0.9966378288297536</v>
      </c>
      <c r="J482" s="122">
        <f t="shared" si="72"/>
        <v>-1.2405651551712009E-3</v>
      </c>
      <c r="K482" s="122">
        <f t="shared" si="73"/>
        <v>3.120502519230369E-3</v>
      </c>
      <c r="Y482" s="126">
        <f>IF($Z$1, C482, -0.2)</f>
        <v>-0.2</v>
      </c>
    </row>
    <row r="483" spans="2:25" x14ac:dyDescent="0.3">
      <c r="B483" s="122">
        <v>0.9971389734081848</v>
      </c>
      <c r="C483" s="122">
        <f t="shared" si="65"/>
        <v>2.8528411186561352E-4</v>
      </c>
      <c r="D483" s="126">
        <f t="shared" si="66"/>
        <v>1.4961534029366947E-3</v>
      </c>
      <c r="E483" s="122">
        <f t="shared" si="67"/>
        <v>-9.9427794681636969E-2</v>
      </c>
      <c r="F483" s="122">
        <f t="shared" si="68"/>
        <v>-9.910208053404812E-2</v>
      </c>
      <c r="G483" s="122">
        <f t="shared" si="69"/>
        <v>0.99728700274045945</v>
      </c>
      <c r="H483" s="122">
        <f t="shared" si="70"/>
        <v>1.7740964982680635E-3</v>
      </c>
      <c r="I483" s="122">
        <f t="shared" si="71"/>
        <v>0.99699094407591016</v>
      </c>
      <c r="J483" s="122">
        <f t="shared" si="72"/>
        <v>-1.2035282745368363E-3</v>
      </c>
      <c r="K483" s="122">
        <f t="shared" si="73"/>
        <v>2.9776247728048998E-3</v>
      </c>
      <c r="Y483" s="126">
        <f>IF($Z$1, C483, -0.2)</f>
        <v>-0.2</v>
      </c>
    </row>
    <row r="484" spans="2:25" x14ac:dyDescent="0.3">
      <c r="B484" s="122">
        <v>0.99746538871553492</v>
      </c>
      <c r="C484" s="122">
        <f t="shared" si="65"/>
        <v>2.5281870301017143E-4</v>
      </c>
      <c r="D484" s="126">
        <f t="shared" si="66"/>
        <v>1.4283921653658542E-3</v>
      </c>
      <c r="E484" s="122">
        <f t="shared" si="67"/>
        <v>-9.9493077743106992E-2</v>
      </c>
      <c r="F484" s="122">
        <f t="shared" si="68"/>
        <v>-9.9166724116717023E-2</v>
      </c>
      <c r="G484" s="122">
        <f t="shared" si="69"/>
        <v>0.9976068056378673</v>
      </c>
      <c r="H484" s="122">
        <f t="shared" si="70"/>
        <v>1.6741931899616591E-3</v>
      </c>
      <c r="I484" s="122">
        <f t="shared" si="71"/>
        <v>0.99732397179320253</v>
      </c>
      <c r="J484" s="122">
        <f t="shared" si="72"/>
        <v>-1.1685557839413161E-3</v>
      </c>
      <c r="K484" s="122">
        <f t="shared" si="73"/>
        <v>2.8427489739029752E-3</v>
      </c>
      <c r="Y484" s="126">
        <f>IF($Z$1, C484, -0.2)</f>
        <v>-0.2</v>
      </c>
    </row>
    <row r="485" spans="2:25" x14ac:dyDescent="0.3">
      <c r="B485" s="122">
        <v>0.99777208614877</v>
      </c>
      <c r="C485" s="122">
        <f t="shared" si="65"/>
        <v>2.2229502511015298E-4</v>
      </c>
      <c r="D485" s="126">
        <f t="shared" si="66"/>
        <v>1.3646646303337397E-3</v>
      </c>
      <c r="E485" s="122">
        <f t="shared" si="67"/>
        <v>-9.9554417229754E-2</v>
      </c>
      <c r="F485" s="122">
        <f t="shared" si="68"/>
        <v>-9.9227461996089214E-2</v>
      </c>
      <c r="G485" s="122">
        <f t="shared" si="69"/>
        <v>0.99790727625243847</v>
      </c>
      <c r="H485" s="122">
        <f t="shared" si="70"/>
        <v>1.5802468612052397E-3</v>
      </c>
      <c r="I485" s="122">
        <f t="shared" si="71"/>
        <v>0.99763689604510153</v>
      </c>
      <c r="J485" s="122">
        <f t="shared" si="72"/>
        <v>-1.1356568109849336E-3</v>
      </c>
      <c r="K485" s="122">
        <f t="shared" si="73"/>
        <v>2.7159036721901733E-3</v>
      </c>
      <c r="Y485" s="126">
        <f>IF($Z$1, C485, -0.2)</f>
        <v>-0.2</v>
      </c>
    </row>
    <row r="486" spans="2:25" x14ac:dyDescent="0.3">
      <c r="B486" s="122">
        <v>0.99805905355142333</v>
      </c>
      <c r="C486" s="122">
        <f t="shared" si="65"/>
        <v>1.9371791754604353E-4</v>
      </c>
      <c r="D486" s="126">
        <f t="shared" si="66"/>
        <v>1.3049844385061939E-3</v>
      </c>
      <c r="E486" s="122">
        <f t="shared" si="67"/>
        <v>-9.9611810710284673E-2</v>
      </c>
      <c r="F486" s="122">
        <f t="shared" si="68"/>
        <v>-9.9284291905948702E-2</v>
      </c>
      <c r="G486" s="122">
        <f t="shared" si="69"/>
        <v>0.99818840525142627</v>
      </c>
      <c r="H486" s="122">
        <f t="shared" si="70"/>
        <v>1.4922757801188562E-3</v>
      </c>
      <c r="I486" s="122">
        <f t="shared" si="71"/>
        <v>0.99792970185142038</v>
      </c>
      <c r="J486" s="122">
        <f t="shared" si="72"/>
        <v>-1.1048399450267689E-3</v>
      </c>
      <c r="K486" s="122">
        <f t="shared" si="73"/>
        <v>2.5971157251456251E-3</v>
      </c>
      <c r="Y486" s="126">
        <f>IF($Z$1, C486, -0.2)</f>
        <v>-0.2</v>
      </c>
    </row>
    <row r="487" spans="2:25" x14ac:dyDescent="0.3">
      <c r="B487" s="122">
        <v>0.99832627954906128</v>
      </c>
      <c r="C487" s="122">
        <f t="shared" si="65"/>
        <v>1.6709191107908695E-4</v>
      </c>
      <c r="D487" s="126">
        <f t="shared" si="66"/>
        <v>1.2493643679513694E-3</v>
      </c>
      <c r="E487" s="122">
        <f t="shared" si="67"/>
        <v>-9.9665255909812261E-2</v>
      </c>
      <c r="F487" s="122">
        <f t="shared" si="68"/>
        <v>-9.9337211726098731E-2</v>
      </c>
      <c r="G487" s="122">
        <f t="shared" si="69"/>
        <v>0.99845018390803342</v>
      </c>
      <c r="H487" s="122">
        <f t="shared" si="70"/>
        <v>1.410297056553572E-3</v>
      </c>
      <c r="I487" s="122">
        <f t="shared" si="71"/>
        <v>0.99820237519008914</v>
      </c>
      <c r="J487" s="122">
        <f t="shared" si="72"/>
        <v>-1.0761132343953979E-3</v>
      </c>
      <c r="K487" s="122">
        <f t="shared" si="73"/>
        <v>2.4864102909489699E-3</v>
      </c>
      <c r="Y487" s="126">
        <f>IF($Z$1, C487, -0.2)</f>
        <v>-0.2</v>
      </c>
    </row>
    <row r="488" spans="2:25" x14ac:dyDescent="0.3">
      <c r="B488" s="122">
        <v>0.99857375354973366</v>
      </c>
      <c r="C488" s="122">
        <f t="shared" si="65"/>
        <v>1.4242122713294946E-4</v>
      </c>
      <c r="D488" s="126">
        <f t="shared" si="66"/>
        <v>1.1978163306644554E-3</v>
      </c>
      <c r="E488" s="122">
        <f t="shared" si="67"/>
        <v>-9.9714750709946731E-2</v>
      </c>
      <c r="F488" s="122">
        <f t="shared" si="68"/>
        <v>-9.9386219482399493E-2</v>
      </c>
      <c r="G488" s="122">
        <f t="shared" si="69"/>
        <v>0.99869260410065219</v>
      </c>
      <c r="H488" s="122">
        <f t="shared" si="70"/>
        <v>1.3343266380413871E-3</v>
      </c>
      <c r="I488" s="122">
        <f t="shared" si="71"/>
        <v>0.99845490299881512</v>
      </c>
      <c r="J488" s="122">
        <f t="shared" si="72"/>
        <v>-1.0494841837754884E-3</v>
      </c>
      <c r="K488" s="122">
        <f t="shared" si="73"/>
        <v>2.3838108218168755E-3</v>
      </c>
      <c r="Y488" s="126">
        <f>IF($Z$1, C488, -0.2)</f>
        <v>-0.2</v>
      </c>
    </row>
    <row r="489" spans="2:25" x14ac:dyDescent="0.3">
      <c r="B489" s="122">
        <v>0.99880146574439399</v>
      </c>
      <c r="C489" s="122">
        <f t="shared" si="65"/>
        <v>1.1970977712441045E-4</v>
      </c>
      <c r="D489" s="126">
        <f t="shared" si="66"/>
        <v>1.1503513693271656E-3</v>
      </c>
      <c r="E489" s="122">
        <f t="shared" si="67"/>
        <v>-9.9760293148878798E-2</v>
      </c>
      <c r="F489" s="122">
        <f t="shared" si="68"/>
        <v>-9.9431313346803399E-2</v>
      </c>
      <c r="G489" s="122">
        <f t="shared" si="69"/>
        <v>0.99891565831215512</v>
      </c>
      <c r="H489" s="122">
        <f t="shared" si="70"/>
        <v>1.2643793060195393E-3</v>
      </c>
      <c r="I489" s="122">
        <f t="shared" si="71"/>
        <v>0.99868727317663286</v>
      </c>
      <c r="J489" s="122">
        <f t="shared" si="72"/>
        <v>-1.0249597517707186E-3</v>
      </c>
      <c r="K489" s="122">
        <f t="shared" si="73"/>
        <v>2.2893390577902579E-3</v>
      </c>
      <c r="Y489" s="126">
        <f>IF($Z$1, C489, -0.2)</f>
        <v>-0.2</v>
      </c>
    </row>
    <row r="490" spans="2:25" x14ac:dyDescent="0.3">
      <c r="B490" s="122">
        <v>0.99900940710728769</v>
      </c>
      <c r="C490" s="122">
        <f t="shared" si="65"/>
        <v>9.8961161843325041E-5</v>
      </c>
      <c r="D490" s="126">
        <f t="shared" si="66"/>
        <v>1.1069796543034384E-3</v>
      </c>
      <c r="E490" s="122">
        <f t="shared" si="67"/>
        <v>-9.9801881421457544E-2</v>
      </c>
      <c r="F490" s="122">
        <f t="shared" si="68"/>
        <v>-9.94724916373875E-2</v>
      </c>
      <c r="G490" s="122">
        <f t="shared" si="69"/>
        <v>0.99911933962923416</v>
      </c>
      <c r="H490" s="122">
        <f t="shared" si="70"/>
        <v>1.2004686723307658E-3</v>
      </c>
      <c r="I490" s="122">
        <f t="shared" si="71"/>
        <v>0.99889947458534123</v>
      </c>
      <c r="J490" s="122">
        <f t="shared" si="72"/>
        <v>-1.0025463486441157E-3</v>
      </c>
      <c r="K490" s="122">
        <f t="shared" si="73"/>
        <v>2.2030150209748816E-3</v>
      </c>
      <c r="Y490" s="126">
        <f>IF($Z$1, C490, -0.2)</f>
        <v>-0.2</v>
      </c>
    </row>
    <row r="491" spans="2:25" x14ac:dyDescent="0.3">
      <c r="B491" s="122">
        <v>0.99919756939631066</v>
      </c>
      <c r="C491" s="122">
        <f t="shared" si="65"/>
        <v>8.0178670881558833E-5</v>
      </c>
      <c r="D491" s="126">
        <f t="shared" si="66"/>
        <v>1.0677104808717354E-3</v>
      </c>
      <c r="E491" s="122">
        <f t="shared" si="67"/>
        <v>-9.983951387926214E-2</v>
      </c>
      <c r="F491" s="122">
        <f t="shared" si="68"/>
        <v>-9.9509752818383451E-2</v>
      </c>
      <c r="G491" s="122">
        <f t="shared" si="69"/>
        <v>0.99930364174179309</v>
      </c>
      <c r="H491" s="122">
        <f t="shared" si="70"/>
        <v>1.1426071759995289E-3</v>
      </c>
      <c r="I491" s="122">
        <f t="shared" si="71"/>
        <v>0.99909149705082823</v>
      </c>
      <c r="J491" s="122">
        <f t="shared" si="72"/>
        <v>-9.8224983423641121E-4</v>
      </c>
      <c r="K491" s="122">
        <f t="shared" si="73"/>
        <v>2.1248570102359401E-3</v>
      </c>
      <c r="Y491" s="126">
        <f>IF($Z$1, C491, -0.2)</f>
        <v>-0.2</v>
      </c>
    </row>
    <row r="492" spans="2:25" x14ac:dyDescent="0.3">
      <c r="B492" s="122">
        <v>0.99936594515333521</v>
      </c>
      <c r="C492" s="122">
        <f t="shared" si="65"/>
        <v>6.336528211161597E-5</v>
      </c>
      <c r="D492" s="126">
        <f t="shared" si="66"/>
        <v>1.0325522666954352E-3</v>
      </c>
      <c r="E492" s="122">
        <f t="shared" si="67"/>
        <v>-9.9873189030667053E-2</v>
      </c>
      <c r="F492" s="122">
        <f t="shared" si="68"/>
        <v>-9.9543095500204654E-2</v>
      </c>
      <c r="G492" s="122">
        <f t="shared" si="69"/>
        <v>0.99946855894238917</v>
      </c>
      <c r="H492" s="122">
        <f t="shared" si="70"/>
        <v>1.0908060802863224E-3</v>
      </c>
      <c r="I492" s="122">
        <f t="shared" si="71"/>
        <v>0.99926333136428125</v>
      </c>
      <c r="J492" s="122">
        <f t="shared" si="72"/>
        <v>-9.6407551606309059E-4</v>
      </c>
      <c r="K492" s="122">
        <f t="shared" si="73"/>
        <v>2.0548815963494131E-3</v>
      </c>
      <c r="Y492" s="126">
        <f>IF($Z$1, C492, -0.2)</f>
        <v>-0.2</v>
      </c>
    </row>
    <row r="493" spans="2:25" x14ac:dyDescent="0.3">
      <c r="B493" s="122">
        <v>0.99951452770450611</v>
      </c>
      <c r="C493" s="122">
        <f t="shared" si="65"/>
        <v>4.8523661214416874E-5</v>
      </c>
      <c r="D493" s="126">
        <f t="shared" si="66"/>
        <v>1.0015125495315526E-3</v>
      </c>
      <c r="E493" s="122">
        <f t="shared" si="67"/>
        <v>-9.9902905540901227E-2</v>
      </c>
      <c r="F493" s="122">
        <f t="shared" si="68"/>
        <v>-9.9572518439470903E-2</v>
      </c>
      <c r="G493" s="122">
        <f t="shared" si="69"/>
        <v>0.99961408612572777</v>
      </c>
      <c r="H493" s="122">
        <f t="shared" si="70"/>
        <v>1.0450754700196772E-3</v>
      </c>
      <c r="I493" s="122">
        <f t="shared" si="71"/>
        <v>0.99941496928328444</v>
      </c>
      <c r="J493" s="122">
        <f t="shared" si="72"/>
        <v>-9.4802814759084337E-4</v>
      </c>
      <c r="K493" s="122">
        <f t="shared" si="73"/>
        <v>1.9931036176105204E-3</v>
      </c>
      <c r="Y493" s="126">
        <f>IF($Z$1, C493, -0.2)</f>
        <v>-0.2</v>
      </c>
    </row>
    <row r="494" spans="2:25" x14ac:dyDescent="0.3">
      <c r="B494" s="122">
        <v>0.9996433111605052</v>
      </c>
      <c r="C494" s="122">
        <f t="shared" si="65"/>
        <v>3.5656161256658606E-5</v>
      </c>
      <c r="D494" s="126">
        <f t="shared" si="66"/>
        <v>9.7459798517876876E-4</v>
      </c>
      <c r="E494" s="122">
        <f t="shared" si="67"/>
        <v>-9.9928662232101048E-2</v>
      </c>
      <c r="F494" s="122">
        <f t="shared" si="68"/>
        <v>-9.9598020539030441E-2</v>
      </c>
      <c r="G494" s="122">
        <f t="shared" si="69"/>
        <v>0.99974021878820951</v>
      </c>
      <c r="H494" s="122">
        <f t="shared" si="70"/>
        <v>1.0054242492071976E-3</v>
      </c>
      <c r="I494" s="122">
        <f t="shared" si="71"/>
        <v>0.99954640353280089</v>
      </c>
      <c r="J494" s="122">
        <f t="shared" si="72"/>
        <v>-9.3411192669388033E-4</v>
      </c>
      <c r="K494" s="122">
        <f t="shared" si="73"/>
        <v>1.9395361759010779E-3</v>
      </c>
      <c r="Y494" s="126">
        <f>IF($Z$1, C494, -0.2)</f>
        <v>-0.2</v>
      </c>
    </row>
    <row r="495" spans="2:25" x14ac:dyDescent="0.3">
      <c r="B495" s="122">
        <v>0.99975229041678437</v>
      </c>
      <c r="C495" s="122">
        <f t="shared" si="65"/>
        <v>2.4764822317802083E-5</v>
      </c>
      <c r="D495" s="126">
        <f t="shared" si="66"/>
        <v>9.5181434566550169E-4</v>
      </c>
      <c r="E495" s="122">
        <f t="shared" si="67"/>
        <v>-9.9950458083356883E-2</v>
      </c>
      <c r="F495" s="122">
        <f t="shared" si="68"/>
        <v>-9.9619600847979231E-2</v>
      </c>
      <c r="G495" s="122">
        <f t="shared" si="69"/>
        <v>0.99984695302752802</v>
      </c>
      <c r="H495" s="122">
        <f t="shared" si="70"/>
        <v>9.7186013892635117E-4</v>
      </c>
      <c r="I495" s="122">
        <f t="shared" si="71"/>
        <v>0.99965762780604073</v>
      </c>
      <c r="J495" s="122">
        <f t="shared" si="72"/>
        <v>-9.2233049429074696E-4</v>
      </c>
      <c r="K495" s="122">
        <f t="shared" si="73"/>
        <v>1.8941906332170981E-3</v>
      </c>
      <c r="Y495" s="126">
        <f>IF($Z$1, C495, -0.2)</f>
        <v>-0.2</v>
      </c>
    </row>
    <row r="496" spans="2:25" x14ac:dyDescent="0.3">
      <c r="B496" s="122">
        <v>0.99984146115376804</v>
      </c>
      <c r="C496" s="122">
        <f t="shared" si="65"/>
        <v>1.5851371166619722E-5</v>
      </c>
      <c r="D496" s="126">
        <f t="shared" si="66"/>
        <v>9.3316651767829859E-4</v>
      </c>
      <c r="E496" s="122">
        <f t="shared" si="67"/>
        <v>-9.9968292230753611E-2</v>
      </c>
      <c r="F496" s="122">
        <f t="shared" si="68"/>
        <v>-9.9637258561677752E-2</v>
      </c>
      <c r="G496" s="122">
        <f t="shared" si="69"/>
        <v>0.99993428554232255</v>
      </c>
      <c r="H496" s="122">
        <f t="shared" si="70"/>
        <v>9.4438967549515614E-4</v>
      </c>
      <c r="I496" s="122">
        <f t="shared" si="71"/>
        <v>0.99974863676521353</v>
      </c>
      <c r="J496" s="122">
        <f t="shared" si="72"/>
        <v>-9.1268693316191678E-4</v>
      </c>
      <c r="K496" s="122">
        <f t="shared" si="73"/>
        <v>1.8570766086570729E-3</v>
      </c>
      <c r="Y496" s="126">
        <f>IF($Z$1, C496, -0.2)</f>
        <v>-0.2</v>
      </c>
    </row>
    <row r="497" spans="2:25" x14ac:dyDescent="0.3">
      <c r="B497" s="122">
        <v>0.99991081983702479</v>
      </c>
      <c r="C497" s="122">
        <f t="shared" si="65"/>
        <v>8.9172209873700229E-6</v>
      </c>
      <c r="D497" s="126">
        <f t="shared" si="66"/>
        <v>9.186585012311275E-4</v>
      </c>
      <c r="E497" s="122">
        <f t="shared" si="67"/>
        <v>-9.9982163967404961E-2</v>
      </c>
      <c r="F497" s="122">
        <f t="shared" si="68"/>
        <v>-9.9650993021765319E-2</v>
      </c>
      <c r="G497" s="122">
        <f t="shared" si="69"/>
        <v>1.0000022136318834</v>
      </c>
      <c r="H497" s="122">
        <f t="shared" si="70"/>
        <v>9.2301820892336857E-4</v>
      </c>
      <c r="I497" s="122">
        <f t="shared" si="71"/>
        <v>0.99981942604216623</v>
      </c>
      <c r="J497" s="122">
        <f t="shared" si="72"/>
        <v>-9.0518376694862857E-4</v>
      </c>
      <c r="K497" s="122">
        <f t="shared" si="73"/>
        <v>1.8282019758719971E-3</v>
      </c>
      <c r="Y497" s="126">
        <f>IF($Z$1, C497, -0.2)</f>
        <v>-0.2</v>
      </c>
    </row>
    <row r="498" spans="2:25" x14ac:dyDescent="0.3">
      <c r="B498" s="122">
        <v>0.99996036371740704</v>
      </c>
      <c r="C498" s="122">
        <f t="shared" si="65"/>
        <v>3.9634711558100836E-6</v>
      </c>
      <c r="D498" s="126">
        <f t="shared" si="66"/>
        <v>9.0829340857621725E-4</v>
      </c>
      <c r="E498" s="122">
        <f t="shared" si="67"/>
        <v>-9.9992072743481417E-2</v>
      </c>
      <c r="F498" s="122">
        <f t="shared" si="68"/>
        <v>-9.9660803716171587E-2</v>
      </c>
      <c r="G498" s="122">
        <f t="shared" si="69"/>
        <v>1.0000507351959091</v>
      </c>
      <c r="H498" s="122">
        <f t="shared" si="70"/>
        <v>9.0774990164498124E-4</v>
      </c>
      <c r="I498" s="122">
        <f t="shared" si="71"/>
        <v>0.99986999223890505</v>
      </c>
      <c r="J498" s="122">
        <f t="shared" si="72"/>
        <v>-8.9982295933336111E-4</v>
      </c>
      <c r="K498" s="122">
        <f t="shared" si="73"/>
        <v>1.8075728609783424E-3</v>
      </c>
      <c r="Y498" s="126">
        <f>IF($Z$1, C498, -0.2)</f>
        <v>-0.2</v>
      </c>
    </row>
    <row r="499" spans="2:25" x14ac:dyDescent="0.3">
      <c r="B499" s="122">
        <v>0.99999009083116008</v>
      </c>
      <c r="C499" s="122">
        <f t="shared" si="65"/>
        <v>9.9090706482396497E-7</v>
      </c>
      <c r="D499" s="126">
        <f t="shared" si="66"/>
        <v>9.0207346335649757E-4</v>
      </c>
      <c r="E499" s="122">
        <f t="shared" si="67"/>
        <v>-9.9998018166232022E-2</v>
      </c>
      <c r="F499" s="122">
        <f t="shared" si="68"/>
        <v>-9.9666690279125544E-2</v>
      </c>
      <c r="G499" s="122">
        <f t="shared" si="69"/>
        <v>1.000079848734319</v>
      </c>
      <c r="H499" s="122">
        <f t="shared" si="70"/>
        <v>8.985877275318328E-4</v>
      </c>
      <c r="I499" s="122">
        <f t="shared" si="71"/>
        <v>0.99990033292800107</v>
      </c>
      <c r="J499" s="122">
        <f t="shared" si="72"/>
        <v>-8.9660591340218491E-4</v>
      </c>
      <c r="K499" s="122">
        <f t="shared" si="73"/>
        <v>1.7951936409340177E-3</v>
      </c>
      <c r="Y499" s="126">
        <f>IF($Z$1, C499, -0.2)</f>
        <v>-0.2</v>
      </c>
    </row>
    <row r="500" spans="2:25" x14ac:dyDescent="0.3">
      <c r="B500" s="122">
        <v>1</v>
      </c>
      <c r="C500" s="122">
        <f t="shared" si="65"/>
        <v>0</v>
      </c>
      <c r="D500" s="126">
        <f t="shared" si="66"/>
        <v>8.9999999999999998E-4</v>
      </c>
      <c r="E500" s="122">
        <f t="shared" si="67"/>
        <v>-0.1</v>
      </c>
      <c r="F500" s="122">
        <f t="shared" si="68"/>
        <v>-9.9668652491162038E-2</v>
      </c>
      <c r="G500" s="122">
        <f t="shared" si="69"/>
        <v>1.0000895533471188</v>
      </c>
      <c r="H500" s="122">
        <f t="shared" si="70"/>
        <v>8.9553347118899018E-4</v>
      </c>
      <c r="I500" s="122">
        <f t="shared" si="71"/>
        <v>0.99991044665288109</v>
      </c>
      <c r="J500" s="122">
        <f t="shared" si="72"/>
        <v>-8.9553347118899018E-4</v>
      </c>
      <c r="K500" s="122">
        <f t="shared" si="73"/>
        <v>1.7910669423779804E-3</v>
      </c>
      <c r="Y500" s="126">
        <f>IF($Z$1, C500, -0.2)</f>
        <v>-0.2</v>
      </c>
    </row>
    <row r="501" spans="2:25" x14ac:dyDescent="0.3">
      <c r="C501" s="122"/>
      <c r="E501" s="122"/>
      <c r="F501" s="122"/>
      <c r="G501" s="122"/>
      <c r="H501" s="122"/>
      <c r="I501" s="122"/>
      <c r="J501" s="122"/>
      <c r="K501" s="122"/>
    </row>
    <row r="502" spans="2:25" x14ac:dyDescent="0.3">
      <c r="C502" s="122"/>
      <c r="E502" s="122"/>
      <c r="F502" s="122"/>
      <c r="G502" s="122"/>
      <c r="H502" s="122"/>
      <c r="I502" s="122"/>
      <c r="J502" s="122"/>
      <c r="K502" s="122"/>
    </row>
    <row r="503" spans="2:25" x14ac:dyDescent="0.3">
      <c r="C503" s="122"/>
      <c r="E503" s="122"/>
      <c r="F503" s="122"/>
      <c r="G503" s="122"/>
      <c r="H503" s="122"/>
      <c r="I503" s="122"/>
      <c r="J503" s="122"/>
      <c r="K503" s="122"/>
    </row>
    <row r="504" spans="2:25" x14ac:dyDescent="0.3">
      <c r="C504" s="122"/>
      <c r="E504" s="122"/>
      <c r="F504" s="122"/>
      <c r="G504" s="122"/>
      <c r="H504" s="122"/>
      <c r="I504" s="122"/>
      <c r="J504" s="122"/>
      <c r="K504" s="122"/>
    </row>
    <row r="505" spans="2:25" x14ac:dyDescent="0.3">
      <c r="C505" s="122"/>
      <c r="E505" s="122"/>
      <c r="F505" s="122"/>
      <c r="G505" s="122"/>
      <c r="H505" s="122"/>
      <c r="I505" s="122"/>
      <c r="J505" s="122"/>
      <c r="K505" s="122"/>
    </row>
    <row r="506" spans="2:25" x14ac:dyDescent="0.3">
      <c r="C506" s="122"/>
      <c r="E506" s="122"/>
      <c r="F506" s="122"/>
      <c r="G506" s="122"/>
      <c r="H506" s="122"/>
      <c r="I506" s="122"/>
      <c r="J506" s="122"/>
      <c r="K506" s="122"/>
    </row>
    <row r="507" spans="2:25" x14ac:dyDescent="0.3">
      <c r="C507" s="122"/>
      <c r="E507" s="122"/>
      <c r="F507" s="122"/>
      <c r="G507" s="122"/>
      <c r="H507" s="122"/>
      <c r="I507" s="122"/>
      <c r="J507" s="122"/>
      <c r="K507" s="122"/>
    </row>
    <row r="508" spans="2:25" x14ac:dyDescent="0.3">
      <c r="C508" s="122"/>
      <c r="E508" s="122"/>
      <c r="F508" s="122"/>
      <c r="G508" s="122"/>
      <c r="H508" s="122"/>
      <c r="I508" s="122"/>
      <c r="J508" s="122"/>
      <c r="K508" s="122"/>
    </row>
    <row r="509" spans="2:25" x14ac:dyDescent="0.3">
      <c r="C509" s="122"/>
      <c r="E509" s="122"/>
      <c r="F509" s="122"/>
      <c r="G509" s="122"/>
      <c r="H509" s="122"/>
      <c r="I509" s="122"/>
      <c r="J509" s="122"/>
      <c r="K509" s="122"/>
    </row>
    <row r="510" spans="2:25" x14ac:dyDescent="0.3">
      <c r="C510" s="122"/>
      <c r="E510" s="122"/>
      <c r="F510" s="122"/>
      <c r="G510" s="122"/>
      <c r="H510" s="122"/>
      <c r="I510" s="122"/>
      <c r="J510" s="122"/>
      <c r="K510" s="122"/>
    </row>
    <row r="511" spans="2:25" x14ac:dyDescent="0.3">
      <c r="C511" s="122"/>
      <c r="E511" s="122"/>
      <c r="F511" s="122"/>
      <c r="G511" s="122"/>
      <c r="H511" s="122"/>
      <c r="I511" s="122"/>
      <c r="J511" s="122"/>
      <c r="K511" s="122"/>
    </row>
    <row r="512" spans="2:25" x14ac:dyDescent="0.3">
      <c r="C512" s="122"/>
      <c r="E512" s="122"/>
      <c r="F512" s="122"/>
      <c r="G512" s="122"/>
      <c r="H512" s="122"/>
      <c r="I512" s="122"/>
      <c r="J512" s="122"/>
      <c r="K512" s="122"/>
    </row>
    <row r="513" spans="3:11" x14ac:dyDescent="0.3">
      <c r="C513" s="122"/>
      <c r="E513" s="122"/>
      <c r="F513" s="122"/>
      <c r="G513" s="122"/>
      <c r="H513" s="122"/>
      <c r="I513" s="122"/>
      <c r="J513" s="122"/>
      <c r="K513" s="122"/>
    </row>
    <row r="514" spans="3:11" x14ac:dyDescent="0.3">
      <c r="C514" s="122"/>
      <c r="E514" s="122"/>
      <c r="F514" s="122"/>
      <c r="G514" s="122"/>
      <c r="H514" s="122"/>
      <c r="I514" s="122"/>
      <c r="J514" s="122"/>
      <c r="K514" s="122"/>
    </row>
    <row r="515" spans="3:11" x14ac:dyDescent="0.3">
      <c r="C515" s="122"/>
      <c r="E515" s="122"/>
      <c r="F515" s="122"/>
      <c r="G515" s="122"/>
      <c r="H515" s="122"/>
      <c r="I515" s="122"/>
      <c r="J515" s="122"/>
      <c r="K515" s="122"/>
    </row>
    <row r="516" spans="3:11" x14ac:dyDescent="0.3">
      <c r="C516" s="122"/>
      <c r="E516" s="122"/>
      <c r="F516" s="122"/>
      <c r="G516" s="122"/>
      <c r="H516" s="122"/>
      <c r="I516" s="122"/>
      <c r="J516" s="122"/>
      <c r="K516" s="122"/>
    </row>
    <row r="517" spans="3:11" x14ac:dyDescent="0.3">
      <c r="C517" s="122"/>
      <c r="E517" s="122"/>
      <c r="F517" s="122"/>
      <c r="G517" s="122"/>
      <c r="H517" s="122"/>
      <c r="I517" s="122"/>
      <c r="J517" s="122"/>
      <c r="K517" s="122"/>
    </row>
    <row r="518" spans="3:11" x14ac:dyDescent="0.3">
      <c r="C518" s="122"/>
      <c r="E518" s="122"/>
      <c r="F518" s="122"/>
      <c r="G518" s="122"/>
      <c r="H518" s="122"/>
      <c r="I518" s="122"/>
      <c r="J518" s="122"/>
      <c r="K518" s="122"/>
    </row>
    <row r="519" spans="3:11" x14ac:dyDescent="0.3">
      <c r="C519" s="122"/>
      <c r="E519" s="122"/>
      <c r="F519" s="122"/>
      <c r="G519" s="122"/>
      <c r="H519" s="122"/>
      <c r="I519" s="122"/>
      <c r="J519" s="122"/>
      <c r="K519" s="122"/>
    </row>
    <row r="520" spans="3:11" x14ac:dyDescent="0.3">
      <c r="C520" s="122"/>
      <c r="E520" s="122"/>
      <c r="F520" s="122"/>
      <c r="G520" s="122"/>
      <c r="H520" s="122"/>
      <c r="I520" s="122"/>
      <c r="J520" s="122"/>
      <c r="K520" s="122"/>
    </row>
    <row r="521" spans="3:11" x14ac:dyDescent="0.3">
      <c r="C521" s="122"/>
      <c r="E521" s="122"/>
      <c r="F521" s="122"/>
      <c r="G521" s="122"/>
      <c r="H521" s="122"/>
      <c r="I521" s="122"/>
      <c r="J521" s="122"/>
      <c r="K521" s="122"/>
    </row>
    <row r="522" spans="3:11" x14ac:dyDescent="0.3">
      <c r="C522" s="122"/>
      <c r="E522" s="122"/>
      <c r="F522" s="122"/>
      <c r="G522" s="122"/>
      <c r="H522" s="122"/>
      <c r="I522" s="122"/>
      <c r="J522" s="122"/>
      <c r="K522" s="122"/>
    </row>
    <row r="523" spans="3:11" x14ac:dyDescent="0.3">
      <c r="C523" s="122"/>
      <c r="E523" s="122"/>
      <c r="F523" s="122"/>
      <c r="G523" s="122"/>
      <c r="H523" s="122"/>
      <c r="I523" s="122"/>
      <c r="J523" s="122"/>
      <c r="K523" s="122"/>
    </row>
    <row r="524" spans="3:11" x14ac:dyDescent="0.3">
      <c r="C524" s="122"/>
      <c r="E524" s="122"/>
      <c r="F524" s="122"/>
      <c r="G524" s="122"/>
      <c r="H524" s="122"/>
      <c r="I524" s="122"/>
      <c r="J524" s="122"/>
      <c r="K524" s="122"/>
    </row>
    <row r="525" spans="3:11" x14ac:dyDescent="0.3">
      <c r="C525" s="122"/>
      <c r="E525" s="122"/>
      <c r="F525" s="122"/>
      <c r="G525" s="122"/>
      <c r="H525" s="122"/>
      <c r="I525" s="122"/>
      <c r="J525" s="122"/>
      <c r="K525" s="122"/>
    </row>
    <row r="526" spans="3:11" x14ac:dyDescent="0.3">
      <c r="C526" s="122"/>
      <c r="E526" s="122"/>
      <c r="F526" s="122"/>
      <c r="G526" s="122"/>
      <c r="H526" s="122"/>
      <c r="I526" s="122"/>
      <c r="J526" s="122"/>
      <c r="K526" s="122"/>
    </row>
    <row r="527" spans="3:11" x14ac:dyDescent="0.3">
      <c r="C527" s="122"/>
      <c r="E527" s="122"/>
      <c r="F527" s="122"/>
      <c r="G527" s="122"/>
      <c r="H527" s="122"/>
      <c r="I527" s="122"/>
      <c r="J527" s="122"/>
      <c r="K527" s="122"/>
    </row>
    <row r="528" spans="3:11" x14ac:dyDescent="0.3">
      <c r="C528" s="122"/>
      <c r="E528" s="122"/>
      <c r="F528" s="122"/>
      <c r="G528" s="122"/>
      <c r="H528" s="122"/>
      <c r="I528" s="122"/>
      <c r="J528" s="122"/>
      <c r="K528" s="122"/>
    </row>
    <row r="529" spans="3:11" x14ac:dyDescent="0.3">
      <c r="C529" s="122"/>
      <c r="E529" s="122"/>
      <c r="F529" s="122"/>
      <c r="G529" s="122"/>
      <c r="H529" s="122"/>
      <c r="I529" s="122"/>
      <c r="J529" s="122"/>
      <c r="K529" s="122"/>
    </row>
    <row r="530" spans="3:11" x14ac:dyDescent="0.3">
      <c r="C530" s="122"/>
      <c r="E530" s="122"/>
      <c r="F530" s="122"/>
      <c r="G530" s="122"/>
      <c r="H530" s="122"/>
      <c r="I530" s="122"/>
      <c r="J530" s="122"/>
      <c r="K530" s="122"/>
    </row>
    <row r="531" spans="3:11" x14ac:dyDescent="0.3">
      <c r="C531" s="122"/>
      <c r="E531" s="122"/>
      <c r="F531" s="122"/>
      <c r="G531" s="122"/>
      <c r="H531" s="122"/>
      <c r="I531" s="122"/>
      <c r="J531" s="122"/>
      <c r="K531" s="122"/>
    </row>
    <row r="532" spans="3:11" x14ac:dyDescent="0.3">
      <c r="C532" s="122"/>
      <c r="E532" s="122"/>
      <c r="F532" s="122"/>
      <c r="G532" s="122"/>
      <c r="H532" s="122"/>
      <c r="I532" s="122"/>
      <c r="J532" s="122"/>
      <c r="K532" s="122"/>
    </row>
    <row r="533" spans="3:11" x14ac:dyDescent="0.3">
      <c r="C533" s="122"/>
      <c r="E533" s="122"/>
      <c r="F533" s="122"/>
      <c r="G533" s="122"/>
      <c r="H533" s="122"/>
      <c r="I533" s="122"/>
      <c r="J533" s="122"/>
      <c r="K533" s="122"/>
    </row>
    <row r="534" spans="3:11" x14ac:dyDescent="0.3">
      <c r="C534" s="122"/>
      <c r="E534" s="122"/>
      <c r="F534" s="122"/>
      <c r="G534" s="122"/>
      <c r="H534" s="122"/>
      <c r="I534" s="122"/>
      <c r="J534" s="122"/>
      <c r="K534" s="122"/>
    </row>
    <row r="535" spans="3:11" x14ac:dyDescent="0.3">
      <c r="C535" s="122"/>
      <c r="E535" s="122"/>
      <c r="F535" s="122"/>
      <c r="G535" s="122"/>
      <c r="H535" s="122"/>
      <c r="I535" s="122"/>
      <c r="J535" s="122"/>
      <c r="K535" s="122"/>
    </row>
    <row r="536" spans="3:11" x14ac:dyDescent="0.3">
      <c r="C536" s="122"/>
      <c r="E536" s="122"/>
      <c r="F536" s="122"/>
      <c r="G536" s="122"/>
      <c r="H536" s="122"/>
      <c r="I536" s="122"/>
      <c r="J536" s="122"/>
      <c r="K536" s="122"/>
    </row>
    <row r="537" spans="3:11" x14ac:dyDescent="0.3">
      <c r="C537" s="122"/>
      <c r="E537" s="122"/>
      <c r="F537" s="122"/>
      <c r="G537" s="122"/>
      <c r="H537" s="122"/>
      <c r="I537" s="122"/>
      <c r="J537" s="122"/>
      <c r="K537" s="122"/>
    </row>
    <row r="538" spans="3:11" x14ac:dyDescent="0.3">
      <c r="C538" s="122"/>
      <c r="E538" s="122"/>
      <c r="F538" s="122"/>
      <c r="G538" s="122"/>
      <c r="H538" s="122"/>
      <c r="I538" s="122"/>
      <c r="J538" s="122"/>
      <c r="K538" s="122"/>
    </row>
    <row r="539" spans="3:11" x14ac:dyDescent="0.3">
      <c r="C539" s="122"/>
      <c r="E539" s="122"/>
      <c r="F539" s="122"/>
      <c r="G539" s="122"/>
      <c r="H539" s="122"/>
      <c r="I539" s="122"/>
      <c r="J539" s="122"/>
      <c r="K539" s="122"/>
    </row>
    <row r="540" spans="3:11" x14ac:dyDescent="0.3">
      <c r="C540" s="122"/>
      <c r="E540" s="122"/>
      <c r="F540" s="122"/>
      <c r="G540" s="122"/>
      <c r="H540" s="122"/>
      <c r="I540" s="122"/>
      <c r="J540" s="122"/>
      <c r="K540" s="122"/>
    </row>
    <row r="541" spans="3:11" x14ac:dyDescent="0.3">
      <c r="C541" s="122"/>
      <c r="E541" s="122"/>
      <c r="F541" s="122"/>
      <c r="G541" s="122"/>
      <c r="H541" s="122"/>
      <c r="I541" s="122"/>
      <c r="J541" s="122"/>
      <c r="K541" s="122"/>
    </row>
    <row r="542" spans="3:11" x14ac:dyDescent="0.3">
      <c r="C542" s="122"/>
      <c r="E542" s="122"/>
      <c r="F542" s="122"/>
      <c r="G542" s="122"/>
      <c r="H542" s="122"/>
      <c r="I542" s="122"/>
      <c r="J542" s="122"/>
      <c r="K542" s="122"/>
    </row>
    <row r="543" spans="3:11" x14ac:dyDescent="0.3">
      <c r="C543" s="122"/>
      <c r="E543" s="122"/>
      <c r="F543" s="122"/>
      <c r="G543" s="122"/>
      <c r="H543" s="122"/>
      <c r="I543" s="122"/>
      <c r="J543" s="122"/>
      <c r="K543" s="122"/>
    </row>
    <row r="544" spans="3:11" x14ac:dyDescent="0.3">
      <c r="C544" s="122"/>
      <c r="E544" s="122"/>
      <c r="F544" s="122"/>
      <c r="G544" s="122"/>
      <c r="H544" s="122"/>
      <c r="I544" s="122"/>
      <c r="J544" s="122"/>
      <c r="K544" s="122"/>
    </row>
    <row r="545" spans="3:11" x14ac:dyDescent="0.3">
      <c r="C545" s="122"/>
      <c r="E545" s="122"/>
      <c r="F545" s="122"/>
      <c r="G545" s="122"/>
      <c r="H545" s="122"/>
      <c r="I545" s="122"/>
      <c r="J545" s="122"/>
      <c r="K545" s="122"/>
    </row>
    <row r="546" spans="3:11" x14ac:dyDescent="0.3">
      <c r="C546" s="122"/>
      <c r="E546" s="122"/>
      <c r="F546" s="122"/>
      <c r="G546" s="122"/>
      <c r="H546" s="122"/>
      <c r="I546" s="122"/>
      <c r="J546" s="122"/>
      <c r="K546" s="122"/>
    </row>
    <row r="547" spans="3:11" x14ac:dyDescent="0.3">
      <c r="C547" s="122"/>
      <c r="E547" s="122"/>
      <c r="F547" s="122"/>
      <c r="G547" s="122"/>
      <c r="H547" s="122"/>
      <c r="I547" s="122"/>
      <c r="J547" s="122"/>
      <c r="K547" s="122"/>
    </row>
    <row r="548" spans="3:11" x14ac:dyDescent="0.3">
      <c r="C548" s="122"/>
      <c r="E548" s="122"/>
      <c r="F548" s="122"/>
      <c r="G548" s="122"/>
      <c r="H548" s="122"/>
      <c r="I548" s="122"/>
      <c r="J548" s="122"/>
      <c r="K548" s="122"/>
    </row>
    <row r="549" spans="3:11" x14ac:dyDescent="0.3">
      <c r="C549" s="122"/>
      <c r="E549" s="122"/>
      <c r="F549" s="122"/>
      <c r="G549" s="122"/>
      <c r="H549" s="122"/>
      <c r="I549" s="122"/>
      <c r="J549" s="122"/>
      <c r="K549" s="122"/>
    </row>
    <row r="550" spans="3:11" x14ac:dyDescent="0.3">
      <c r="C550" s="122"/>
      <c r="E550" s="122"/>
      <c r="F550" s="122"/>
      <c r="G550" s="122"/>
      <c r="H550" s="122"/>
      <c r="I550" s="122"/>
      <c r="J550" s="122"/>
      <c r="K550" s="122"/>
    </row>
    <row r="551" spans="3:11" x14ac:dyDescent="0.3">
      <c r="C551" s="122"/>
      <c r="E551" s="122"/>
      <c r="F551" s="122"/>
      <c r="G551" s="122"/>
      <c r="H551" s="122"/>
      <c r="I551" s="122"/>
      <c r="J551" s="122"/>
      <c r="K551" s="122"/>
    </row>
    <row r="552" spans="3:11" x14ac:dyDescent="0.3">
      <c r="C552" s="122"/>
      <c r="E552" s="122"/>
      <c r="F552" s="122"/>
      <c r="G552" s="122"/>
      <c r="H552" s="122"/>
      <c r="I552" s="122"/>
      <c r="J552" s="122"/>
      <c r="K552" s="122"/>
    </row>
    <row r="553" spans="3:11" x14ac:dyDescent="0.3">
      <c r="C553" s="122"/>
      <c r="E553" s="122"/>
      <c r="F553" s="122"/>
      <c r="G553" s="122"/>
      <c r="H553" s="122"/>
      <c r="I553" s="122"/>
      <c r="J553" s="122"/>
      <c r="K553" s="122"/>
    </row>
    <row r="554" spans="3:11" x14ac:dyDescent="0.3">
      <c r="C554" s="122"/>
      <c r="E554" s="122"/>
      <c r="F554" s="122"/>
      <c r="G554" s="122"/>
      <c r="H554" s="122"/>
      <c r="I554" s="122"/>
      <c r="J554" s="122"/>
      <c r="K554" s="122"/>
    </row>
    <row r="555" spans="3:11" x14ac:dyDescent="0.3">
      <c r="C555" s="122"/>
      <c r="E555" s="122"/>
      <c r="F555" s="122"/>
      <c r="G555" s="122"/>
      <c r="H555" s="122"/>
      <c r="I555" s="122"/>
      <c r="J555" s="122"/>
      <c r="K555" s="122"/>
    </row>
    <row r="556" spans="3:11" x14ac:dyDescent="0.3">
      <c r="C556" s="122"/>
      <c r="E556" s="122"/>
      <c r="F556" s="122"/>
      <c r="G556" s="122"/>
      <c r="H556" s="122"/>
      <c r="I556" s="122"/>
      <c r="J556" s="122"/>
      <c r="K556" s="122"/>
    </row>
    <row r="557" spans="3:11" x14ac:dyDescent="0.3">
      <c r="C557" s="122"/>
      <c r="E557" s="122"/>
      <c r="F557" s="122"/>
      <c r="G557" s="122"/>
      <c r="H557" s="122"/>
      <c r="I557" s="122"/>
      <c r="J557" s="122"/>
      <c r="K557" s="122"/>
    </row>
    <row r="558" spans="3:11" x14ac:dyDescent="0.3">
      <c r="C558" s="122"/>
      <c r="E558" s="122"/>
      <c r="F558" s="122"/>
      <c r="G558" s="122"/>
      <c r="H558" s="122"/>
      <c r="I558" s="122"/>
      <c r="J558" s="122"/>
      <c r="K558" s="122"/>
    </row>
    <row r="559" spans="3:11" x14ac:dyDescent="0.3">
      <c r="C559" s="122"/>
      <c r="E559" s="122"/>
      <c r="F559" s="122"/>
      <c r="G559" s="122"/>
      <c r="H559" s="122"/>
      <c r="I559" s="122"/>
      <c r="J559" s="122"/>
      <c r="K559" s="122"/>
    </row>
    <row r="560" spans="3:11" x14ac:dyDescent="0.3">
      <c r="C560" s="122"/>
      <c r="E560" s="122"/>
      <c r="F560" s="122"/>
      <c r="G560" s="122"/>
      <c r="H560" s="122"/>
      <c r="I560" s="122"/>
      <c r="J560" s="122"/>
      <c r="K560" s="122"/>
    </row>
    <row r="561" spans="3:11" x14ac:dyDescent="0.3">
      <c r="C561" s="122"/>
      <c r="E561" s="122"/>
      <c r="F561" s="122"/>
      <c r="G561" s="122"/>
      <c r="H561" s="122"/>
      <c r="I561" s="122"/>
      <c r="J561" s="122"/>
      <c r="K561" s="122"/>
    </row>
    <row r="562" spans="3:11" x14ac:dyDescent="0.3">
      <c r="C562" s="122"/>
      <c r="E562" s="122"/>
      <c r="F562" s="122"/>
      <c r="G562" s="122"/>
      <c r="H562" s="122"/>
      <c r="I562" s="122"/>
      <c r="J562" s="122"/>
      <c r="K562" s="122"/>
    </row>
    <row r="563" spans="3:11" x14ac:dyDescent="0.3">
      <c r="C563" s="122"/>
      <c r="E563" s="122"/>
      <c r="F563" s="122"/>
      <c r="G563" s="122"/>
      <c r="H563" s="122"/>
      <c r="I563" s="122"/>
      <c r="J563" s="122"/>
      <c r="K563" s="122"/>
    </row>
    <row r="564" spans="3:11" x14ac:dyDescent="0.3">
      <c r="C564" s="122"/>
      <c r="E564" s="122"/>
      <c r="F564" s="122"/>
      <c r="G564" s="122"/>
      <c r="H564" s="122"/>
      <c r="I564" s="122"/>
      <c r="J564" s="122"/>
      <c r="K564" s="122"/>
    </row>
    <row r="565" spans="3:11" x14ac:dyDescent="0.3">
      <c r="C565" s="122"/>
      <c r="E565" s="122"/>
      <c r="F565" s="122"/>
      <c r="G565" s="122"/>
      <c r="H565" s="122"/>
      <c r="I565" s="122"/>
      <c r="J565" s="122"/>
      <c r="K565" s="122"/>
    </row>
    <row r="566" spans="3:11" x14ac:dyDescent="0.3">
      <c r="C566" s="122"/>
      <c r="E566" s="122"/>
      <c r="F566" s="122"/>
      <c r="G566" s="122"/>
      <c r="H566" s="122"/>
      <c r="I566" s="122"/>
      <c r="J566" s="122"/>
      <c r="K566" s="122"/>
    </row>
    <row r="567" spans="3:11" x14ac:dyDescent="0.3">
      <c r="C567" s="122"/>
      <c r="E567" s="122"/>
      <c r="F567" s="122"/>
      <c r="G567" s="122"/>
      <c r="H567" s="122"/>
      <c r="I567" s="122"/>
      <c r="J567" s="122"/>
      <c r="K567" s="122"/>
    </row>
    <row r="568" spans="3:11" x14ac:dyDescent="0.3">
      <c r="C568" s="122"/>
      <c r="E568" s="122"/>
      <c r="F568" s="122"/>
      <c r="G568" s="122"/>
      <c r="H568" s="122"/>
      <c r="I568" s="122"/>
      <c r="J568" s="122"/>
      <c r="K568" s="122"/>
    </row>
    <row r="569" spans="3:11" x14ac:dyDescent="0.3">
      <c r="C569" s="122"/>
      <c r="E569" s="122"/>
      <c r="F569" s="122"/>
      <c r="G569" s="122"/>
      <c r="H569" s="122"/>
      <c r="I569" s="122"/>
      <c r="J569" s="122"/>
      <c r="K569" s="122"/>
    </row>
    <row r="570" spans="3:11" x14ac:dyDescent="0.3">
      <c r="C570" s="122"/>
      <c r="E570" s="122"/>
      <c r="F570" s="122"/>
      <c r="G570" s="122"/>
      <c r="H570" s="122"/>
      <c r="I570" s="122"/>
      <c r="J570" s="122"/>
      <c r="K570" s="122"/>
    </row>
    <row r="571" spans="3:11" x14ac:dyDescent="0.3">
      <c r="C571" s="122"/>
      <c r="E571" s="122"/>
      <c r="F571" s="122"/>
      <c r="G571" s="122"/>
      <c r="H571" s="122"/>
      <c r="I571" s="122"/>
      <c r="J571" s="122"/>
      <c r="K571" s="122"/>
    </row>
    <row r="572" spans="3:11" x14ac:dyDescent="0.3">
      <c r="C572" s="122"/>
      <c r="E572" s="122"/>
      <c r="F572" s="122"/>
      <c r="G572" s="122"/>
      <c r="H572" s="122"/>
      <c r="I572" s="122"/>
      <c r="J572" s="122"/>
      <c r="K572" s="122"/>
    </row>
    <row r="573" spans="3:11" x14ac:dyDescent="0.3">
      <c r="C573" s="122"/>
      <c r="E573" s="122"/>
      <c r="F573" s="122"/>
      <c r="G573" s="122"/>
      <c r="H573" s="122"/>
      <c r="I573" s="122"/>
      <c r="J573" s="122"/>
      <c r="K573" s="122"/>
    </row>
    <row r="574" spans="3:11" x14ac:dyDescent="0.3">
      <c r="C574" s="122"/>
      <c r="E574" s="122"/>
      <c r="F574" s="122"/>
      <c r="G574" s="122"/>
      <c r="H574" s="122"/>
      <c r="I574" s="122"/>
      <c r="J574" s="122"/>
      <c r="K574" s="122"/>
    </row>
    <row r="575" spans="3:11" x14ac:dyDescent="0.3">
      <c r="C575" s="122"/>
      <c r="E575" s="122"/>
      <c r="F575" s="122"/>
      <c r="G575" s="122"/>
      <c r="H575" s="122"/>
      <c r="I575" s="122"/>
      <c r="J575" s="122"/>
      <c r="K575" s="122"/>
    </row>
    <row r="576" spans="3:11" x14ac:dyDescent="0.3">
      <c r="C576" s="122"/>
      <c r="E576" s="122"/>
      <c r="F576" s="122"/>
      <c r="G576" s="122"/>
      <c r="H576" s="122"/>
      <c r="I576" s="122"/>
      <c r="J576" s="122"/>
      <c r="K576" s="122"/>
    </row>
    <row r="577" spans="3:11" x14ac:dyDescent="0.3">
      <c r="C577" s="122"/>
      <c r="E577" s="122"/>
      <c r="F577" s="122"/>
      <c r="G577" s="122"/>
      <c r="H577" s="122"/>
      <c r="I577" s="122"/>
      <c r="J577" s="122"/>
      <c r="K577" s="122"/>
    </row>
    <row r="578" spans="3:11" x14ac:dyDescent="0.3">
      <c r="C578" s="122"/>
      <c r="E578" s="122"/>
      <c r="F578" s="122"/>
      <c r="G578" s="122"/>
      <c r="H578" s="122"/>
      <c r="I578" s="122"/>
      <c r="J578" s="122"/>
      <c r="K578" s="122"/>
    </row>
    <row r="579" spans="3:11" x14ac:dyDescent="0.3">
      <c r="C579" s="122"/>
      <c r="E579" s="122"/>
      <c r="F579" s="122"/>
      <c r="G579" s="122"/>
      <c r="H579" s="122"/>
      <c r="I579" s="122"/>
      <c r="J579" s="122"/>
      <c r="K579" s="122"/>
    </row>
    <row r="580" spans="3:11" x14ac:dyDescent="0.3">
      <c r="C580" s="122"/>
      <c r="E580" s="122"/>
      <c r="F580" s="122"/>
      <c r="G580" s="122"/>
      <c r="H580" s="122"/>
      <c r="I580" s="122"/>
      <c r="J580" s="122"/>
      <c r="K580" s="122"/>
    </row>
    <row r="581" spans="3:11" x14ac:dyDescent="0.3">
      <c r="C581" s="122"/>
      <c r="E581" s="122"/>
      <c r="F581" s="122"/>
      <c r="G581" s="122"/>
      <c r="H581" s="122"/>
      <c r="I581" s="122"/>
      <c r="J581" s="122"/>
      <c r="K581" s="122"/>
    </row>
    <row r="582" spans="3:11" x14ac:dyDescent="0.3">
      <c r="C582" s="122"/>
      <c r="E582" s="122"/>
      <c r="F582" s="122"/>
      <c r="G582" s="122"/>
      <c r="H582" s="122"/>
      <c r="I582" s="122"/>
      <c r="J582" s="122"/>
      <c r="K582" s="122"/>
    </row>
    <row r="583" spans="3:11" x14ac:dyDescent="0.3">
      <c r="C583" s="122"/>
      <c r="E583" s="122"/>
      <c r="F583" s="122"/>
      <c r="G583" s="122"/>
      <c r="H583" s="122"/>
      <c r="I583" s="122"/>
      <c r="J583" s="122"/>
      <c r="K583" s="122"/>
    </row>
    <row r="584" spans="3:11" x14ac:dyDescent="0.3">
      <c r="C584" s="122"/>
      <c r="E584" s="122"/>
      <c r="F584" s="122"/>
      <c r="G584" s="122"/>
      <c r="H584" s="122"/>
      <c r="I584" s="122"/>
      <c r="J584" s="122"/>
      <c r="K584" s="122"/>
    </row>
    <row r="585" spans="3:11" x14ac:dyDescent="0.3">
      <c r="C585" s="122"/>
      <c r="E585" s="122"/>
      <c r="F585" s="122"/>
      <c r="G585" s="122"/>
      <c r="H585" s="122"/>
      <c r="I585" s="122"/>
      <c r="J585" s="122"/>
      <c r="K585" s="122"/>
    </row>
    <row r="586" spans="3:11" x14ac:dyDescent="0.3">
      <c r="C586" s="122"/>
      <c r="E586" s="122"/>
      <c r="F586" s="122"/>
      <c r="G586" s="122"/>
      <c r="H586" s="122"/>
      <c r="I586" s="122"/>
      <c r="J586" s="122"/>
      <c r="K586" s="122"/>
    </row>
    <row r="587" spans="3:11" x14ac:dyDescent="0.3">
      <c r="C587" s="122"/>
      <c r="E587" s="122"/>
      <c r="F587" s="122"/>
      <c r="G587" s="122"/>
      <c r="H587" s="122"/>
      <c r="I587" s="122"/>
      <c r="J587" s="122"/>
      <c r="K587" s="122"/>
    </row>
    <row r="588" spans="3:11" x14ac:dyDescent="0.3">
      <c r="C588" s="122"/>
      <c r="E588" s="122"/>
      <c r="F588" s="122"/>
      <c r="G588" s="122"/>
      <c r="H588" s="122"/>
      <c r="I588" s="122"/>
      <c r="J588" s="122"/>
      <c r="K588" s="122"/>
    </row>
    <row r="589" spans="3:11" x14ac:dyDescent="0.3">
      <c r="C589" s="122"/>
      <c r="E589" s="122"/>
      <c r="F589" s="122"/>
      <c r="G589" s="122"/>
      <c r="H589" s="122"/>
      <c r="I589" s="122"/>
      <c r="J589" s="122"/>
      <c r="K589" s="122"/>
    </row>
    <row r="590" spans="3:11" x14ac:dyDescent="0.3">
      <c r="C590" s="122"/>
      <c r="E590" s="122"/>
      <c r="F590" s="122"/>
      <c r="G590" s="122"/>
      <c r="H590" s="122"/>
      <c r="I590" s="122"/>
      <c r="J590" s="122"/>
      <c r="K590" s="122"/>
    </row>
    <row r="591" spans="3:11" x14ac:dyDescent="0.3">
      <c r="C591" s="122"/>
      <c r="E591" s="122"/>
      <c r="F591" s="122"/>
      <c r="G591" s="122"/>
      <c r="H591" s="122"/>
      <c r="I591" s="122"/>
      <c r="J591" s="122"/>
      <c r="K591" s="122"/>
    </row>
    <row r="592" spans="3:11" x14ac:dyDescent="0.3">
      <c r="C592" s="122"/>
      <c r="E592" s="122"/>
      <c r="F592" s="122"/>
      <c r="G592" s="122"/>
      <c r="H592" s="122"/>
      <c r="I592" s="122"/>
      <c r="J592" s="122"/>
      <c r="K592" s="122"/>
    </row>
    <row r="593" spans="3:11" x14ac:dyDescent="0.3">
      <c r="C593" s="122"/>
      <c r="E593" s="122"/>
      <c r="F593" s="122"/>
      <c r="G593" s="122"/>
      <c r="H593" s="122"/>
      <c r="I593" s="122"/>
      <c r="J593" s="122"/>
      <c r="K593" s="122"/>
    </row>
    <row r="594" spans="3:11" x14ac:dyDescent="0.3">
      <c r="C594" s="122"/>
      <c r="E594" s="122"/>
      <c r="F594" s="122"/>
      <c r="G594" s="122"/>
      <c r="H594" s="122"/>
      <c r="I594" s="122"/>
      <c r="J594" s="122"/>
      <c r="K594" s="122"/>
    </row>
    <row r="595" spans="3:11" x14ac:dyDescent="0.3">
      <c r="C595" s="122"/>
      <c r="E595" s="122"/>
      <c r="F595" s="122"/>
      <c r="G595" s="122"/>
      <c r="H595" s="122"/>
      <c r="I595" s="122"/>
      <c r="J595" s="122"/>
      <c r="K595" s="122"/>
    </row>
    <row r="596" spans="3:11" x14ac:dyDescent="0.3">
      <c r="C596" s="122"/>
      <c r="E596" s="122"/>
      <c r="F596" s="122"/>
      <c r="G596" s="122"/>
      <c r="H596" s="122"/>
      <c r="I596" s="122"/>
      <c r="J596" s="122"/>
      <c r="K596" s="122"/>
    </row>
    <row r="597" spans="3:11" x14ac:dyDescent="0.3">
      <c r="C597" s="122"/>
      <c r="E597" s="122"/>
      <c r="F597" s="122"/>
      <c r="G597" s="122"/>
      <c r="H597" s="122"/>
      <c r="I597" s="122"/>
      <c r="J597" s="122"/>
      <c r="K597" s="122"/>
    </row>
    <row r="598" spans="3:11" x14ac:dyDescent="0.3">
      <c r="C598" s="122"/>
      <c r="E598" s="122"/>
      <c r="F598" s="122"/>
      <c r="G598" s="122"/>
      <c r="H598" s="122"/>
      <c r="I598" s="122"/>
      <c r="J598" s="122"/>
      <c r="K598" s="122"/>
    </row>
    <row r="599" spans="3:11" x14ac:dyDescent="0.3">
      <c r="C599" s="122"/>
      <c r="E599" s="122"/>
      <c r="F599" s="122"/>
      <c r="G599" s="122"/>
      <c r="H599" s="122"/>
      <c r="I599" s="122"/>
      <c r="J599" s="122"/>
      <c r="K599" s="122"/>
    </row>
    <row r="600" spans="3:11" x14ac:dyDescent="0.3">
      <c r="C600" s="122"/>
      <c r="E600" s="122"/>
      <c r="F600" s="122"/>
      <c r="G600" s="122"/>
      <c r="H600" s="122"/>
      <c r="I600" s="122"/>
      <c r="J600" s="122"/>
      <c r="K600" s="122"/>
    </row>
    <row r="601" spans="3:11" x14ac:dyDescent="0.3">
      <c r="C601" s="122"/>
      <c r="E601" s="122"/>
      <c r="F601" s="122"/>
      <c r="G601" s="122"/>
      <c r="H601" s="122"/>
      <c r="I601" s="122"/>
      <c r="J601" s="122"/>
      <c r="K601" s="122"/>
    </row>
    <row r="602" spans="3:11" x14ac:dyDescent="0.3">
      <c r="C602" s="122"/>
      <c r="E602" s="122"/>
      <c r="F602" s="122"/>
      <c r="G602" s="122"/>
      <c r="H602" s="122"/>
      <c r="I602" s="122"/>
      <c r="J602" s="122"/>
      <c r="K602" s="122"/>
    </row>
    <row r="603" spans="3:11" x14ac:dyDescent="0.3">
      <c r="C603" s="122"/>
      <c r="E603" s="122"/>
      <c r="F603" s="122"/>
      <c r="G603" s="122"/>
      <c r="H603" s="122"/>
      <c r="I603" s="122"/>
      <c r="J603" s="122"/>
      <c r="K603" s="122"/>
    </row>
    <row r="604" spans="3:11" x14ac:dyDescent="0.3">
      <c r="C604" s="122"/>
      <c r="E604" s="122"/>
      <c r="F604" s="122"/>
      <c r="G604" s="122"/>
      <c r="H604" s="122"/>
      <c r="I604" s="122"/>
      <c r="J604" s="122"/>
      <c r="K604" s="122"/>
    </row>
    <row r="605" spans="3:11" x14ac:dyDescent="0.3">
      <c r="C605" s="122"/>
      <c r="E605" s="122"/>
      <c r="F605" s="122"/>
      <c r="G605" s="122"/>
      <c r="H605" s="122"/>
      <c r="I605" s="122"/>
      <c r="J605" s="122"/>
      <c r="K605" s="122"/>
    </row>
    <row r="606" spans="3:11" x14ac:dyDescent="0.3">
      <c r="C606" s="122"/>
      <c r="E606" s="122"/>
      <c r="F606" s="122"/>
      <c r="G606" s="122"/>
      <c r="H606" s="122"/>
      <c r="I606" s="122"/>
      <c r="J606" s="122"/>
      <c r="K606" s="122"/>
    </row>
    <row r="607" spans="3:11" x14ac:dyDescent="0.3">
      <c r="C607" s="122"/>
      <c r="E607" s="122"/>
      <c r="F607" s="122"/>
      <c r="G607" s="122"/>
      <c r="H607" s="122"/>
      <c r="I607" s="122"/>
      <c r="J607" s="122"/>
      <c r="K607" s="122"/>
    </row>
    <row r="608" spans="3:11" x14ac:dyDescent="0.3">
      <c r="C608" s="122"/>
      <c r="E608" s="122"/>
      <c r="F608" s="122"/>
      <c r="G608" s="122"/>
      <c r="H608" s="122"/>
      <c r="I608" s="122"/>
      <c r="J608" s="122"/>
      <c r="K608" s="122"/>
    </row>
    <row r="609" spans="3:11" x14ac:dyDescent="0.3">
      <c r="C609" s="122"/>
      <c r="E609" s="122"/>
      <c r="F609" s="122"/>
      <c r="G609" s="122"/>
      <c r="H609" s="122"/>
      <c r="I609" s="122"/>
      <c r="J609" s="122"/>
      <c r="K609" s="122"/>
    </row>
    <row r="610" spans="3:11" x14ac:dyDescent="0.3">
      <c r="C610" s="122"/>
      <c r="E610" s="122"/>
      <c r="F610" s="122"/>
      <c r="G610" s="122"/>
      <c r="H610" s="122"/>
      <c r="I610" s="122"/>
      <c r="J610" s="122"/>
      <c r="K610" s="122"/>
    </row>
    <row r="611" spans="3:11" x14ac:dyDescent="0.3">
      <c r="C611" s="122"/>
      <c r="E611" s="122"/>
      <c r="F611" s="122"/>
      <c r="G611" s="122"/>
      <c r="H611" s="122"/>
      <c r="I611" s="122"/>
      <c r="J611" s="122"/>
      <c r="K611" s="122"/>
    </row>
    <row r="612" spans="3:11" x14ac:dyDescent="0.3">
      <c r="C612" s="122"/>
      <c r="E612" s="122"/>
      <c r="F612" s="122"/>
      <c r="G612" s="122"/>
      <c r="H612" s="122"/>
      <c r="I612" s="122"/>
      <c r="J612" s="122"/>
      <c r="K612" s="122"/>
    </row>
    <row r="613" spans="3:11" x14ac:dyDescent="0.3">
      <c r="C613" s="122"/>
      <c r="E613" s="122"/>
      <c r="F613" s="122"/>
      <c r="G613" s="122"/>
      <c r="H613" s="122"/>
      <c r="I613" s="122"/>
      <c r="J613" s="122"/>
      <c r="K613" s="122"/>
    </row>
    <row r="614" spans="3:11" x14ac:dyDescent="0.3">
      <c r="C614" s="122"/>
      <c r="E614" s="122"/>
      <c r="F614" s="122"/>
      <c r="G614" s="122"/>
      <c r="H614" s="122"/>
      <c r="I614" s="122"/>
      <c r="J614" s="122"/>
      <c r="K614" s="122"/>
    </row>
    <row r="615" spans="3:11" x14ac:dyDescent="0.3">
      <c r="C615" s="122"/>
      <c r="E615" s="122"/>
      <c r="F615" s="122"/>
      <c r="G615" s="122"/>
      <c r="H615" s="122"/>
      <c r="I615" s="122"/>
      <c r="J615" s="122"/>
      <c r="K615" s="122"/>
    </row>
    <row r="616" spans="3:11" x14ac:dyDescent="0.3">
      <c r="C616" s="122"/>
      <c r="E616" s="122"/>
      <c r="F616" s="122"/>
      <c r="G616" s="122"/>
      <c r="H616" s="122"/>
      <c r="I616" s="122"/>
      <c r="J616" s="122"/>
      <c r="K616" s="122"/>
    </row>
    <row r="617" spans="3:11" x14ac:dyDescent="0.3">
      <c r="C617" s="122"/>
      <c r="E617" s="122"/>
      <c r="F617" s="122"/>
      <c r="G617" s="122"/>
      <c r="H617" s="122"/>
      <c r="I617" s="122"/>
      <c r="J617" s="122"/>
      <c r="K617" s="122"/>
    </row>
    <row r="618" spans="3:11" x14ac:dyDescent="0.3">
      <c r="C618" s="122"/>
      <c r="E618" s="122"/>
      <c r="F618" s="122"/>
      <c r="G618" s="122"/>
      <c r="H618" s="122"/>
      <c r="I618" s="122"/>
      <c r="J618" s="122"/>
      <c r="K618" s="122"/>
    </row>
    <row r="619" spans="3:11" x14ac:dyDescent="0.3">
      <c r="C619" s="122"/>
      <c r="E619" s="122"/>
      <c r="F619" s="122"/>
      <c r="G619" s="122"/>
      <c r="H619" s="122"/>
      <c r="I619" s="122"/>
      <c r="J619" s="122"/>
      <c r="K619" s="122"/>
    </row>
    <row r="620" spans="3:11" x14ac:dyDescent="0.3">
      <c r="C620" s="122"/>
      <c r="E620" s="122"/>
      <c r="F620" s="122"/>
      <c r="G620" s="122"/>
      <c r="H620" s="122"/>
      <c r="I620" s="122"/>
      <c r="J620" s="122"/>
      <c r="K620" s="122"/>
    </row>
    <row r="621" spans="3:11" x14ac:dyDescent="0.3">
      <c r="C621" s="122"/>
      <c r="E621" s="122"/>
      <c r="F621" s="122"/>
      <c r="G621" s="122"/>
      <c r="H621" s="122"/>
      <c r="I621" s="122"/>
      <c r="J621" s="122"/>
      <c r="K621" s="122"/>
    </row>
    <row r="622" spans="3:11" x14ac:dyDescent="0.3">
      <c r="C622" s="122"/>
      <c r="E622" s="122"/>
      <c r="F622" s="122"/>
      <c r="G622" s="122"/>
      <c r="H622" s="122"/>
      <c r="I622" s="122"/>
      <c r="J622" s="122"/>
      <c r="K622" s="122"/>
    </row>
    <row r="623" spans="3:11" x14ac:dyDescent="0.3">
      <c r="C623" s="122"/>
      <c r="E623" s="122"/>
      <c r="F623" s="122"/>
      <c r="G623" s="122"/>
      <c r="H623" s="122"/>
      <c r="I623" s="122"/>
      <c r="J623" s="122"/>
      <c r="K623" s="122"/>
    </row>
    <row r="624" spans="3:11" x14ac:dyDescent="0.3">
      <c r="C624" s="122"/>
      <c r="E624" s="122"/>
      <c r="F624" s="122"/>
      <c r="G624" s="122"/>
      <c r="H624" s="122"/>
      <c r="I624" s="122"/>
      <c r="J624" s="122"/>
      <c r="K624" s="122"/>
    </row>
    <row r="625" spans="3:11" x14ac:dyDescent="0.3">
      <c r="C625" s="122"/>
      <c r="E625" s="122"/>
      <c r="F625" s="122"/>
      <c r="G625" s="122"/>
      <c r="H625" s="122"/>
      <c r="I625" s="122"/>
      <c r="J625" s="122"/>
      <c r="K625" s="122"/>
    </row>
    <row r="626" spans="3:11" x14ac:dyDescent="0.3">
      <c r="C626" s="122"/>
      <c r="E626" s="122"/>
      <c r="F626" s="122"/>
      <c r="G626" s="122"/>
      <c r="H626" s="122"/>
      <c r="I626" s="122"/>
      <c r="J626" s="122"/>
      <c r="K626" s="122"/>
    </row>
    <row r="627" spans="3:11" x14ac:dyDescent="0.3">
      <c r="C627" s="122"/>
      <c r="E627" s="122"/>
      <c r="F627" s="122"/>
      <c r="G627" s="122"/>
      <c r="H627" s="122"/>
      <c r="I627" s="122"/>
      <c r="J627" s="122"/>
      <c r="K627" s="122"/>
    </row>
    <row r="628" spans="3:11" x14ac:dyDescent="0.3">
      <c r="C628" s="122"/>
      <c r="E628" s="122"/>
      <c r="F628" s="122"/>
      <c r="G628" s="122"/>
      <c r="H628" s="122"/>
      <c r="I628" s="122"/>
      <c r="J628" s="122"/>
      <c r="K628" s="122"/>
    </row>
    <row r="629" spans="3:11" x14ac:dyDescent="0.3">
      <c r="C629" s="122"/>
      <c r="E629" s="122"/>
      <c r="F629" s="122"/>
      <c r="G629" s="122"/>
      <c r="H629" s="122"/>
      <c r="I629" s="122"/>
      <c r="J629" s="122"/>
      <c r="K629" s="122"/>
    </row>
    <row r="630" spans="3:11" x14ac:dyDescent="0.3">
      <c r="C630" s="122"/>
      <c r="E630" s="122"/>
      <c r="F630" s="122"/>
      <c r="G630" s="122"/>
      <c r="H630" s="122"/>
      <c r="I630" s="122"/>
      <c r="J630" s="122"/>
      <c r="K630" s="122"/>
    </row>
    <row r="631" spans="3:11" x14ac:dyDescent="0.3">
      <c r="C631" s="122"/>
      <c r="E631" s="122"/>
      <c r="F631" s="122"/>
      <c r="G631" s="122"/>
      <c r="H631" s="122"/>
      <c r="I631" s="122"/>
      <c r="J631" s="122"/>
      <c r="K631" s="122"/>
    </row>
    <row r="632" spans="3:11" x14ac:dyDescent="0.3">
      <c r="C632" s="122"/>
      <c r="E632" s="122"/>
      <c r="F632" s="122"/>
      <c r="G632" s="122"/>
      <c r="H632" s="122"/>
      <c r="I632" s="122"/>
      <c r="J632" s="122"/>
      <c r="K632" s="122"/>
    </row>
    <row r="633" spans="3:11" x14ac:dyDescent="0.3">
      <c r="C633" s="122"/>
      <c r="E633" s="122"/>
      <c r="F633" s="122"/>
      <c r="G633" s="122"/>
      <c r="H633" s="122"/>
      <c r="I633" s="122"/>
      <c r="J633" s="122"/>
      <c r="K633" s="122"/>
    </row>
    <row r="634" spans="3:11" x14ac:dyDescent="0.3">
      <c r="C634" s="122"/>
      <c r="E634" s="122"/>
      <c r="F634" s="122"/>
      <c r="G634" s="122"/>
      <c r="H634" s="122"/>
      <c r="I634" s="122"/>
      <c r="J634" s="122"/>
      <c r="K634" s="122"/>
    </row>
    <row r="635" spans="3:11" x14ac:dyDescent="0.3">
      <c r="C635" s="122"/>
      <c r="E635" s="122"/>
      <c r="F635" s="122"/>
      <c r="G635" s="122"/>
      <c r="H635" s="122"/>
      <c r="I635" s="122"/>
      <c r="J635" s="122"/>
      <c r="K635" s="122"/>
    </row>
    <row r="636" spans="3:11" x14ac:dyDescent="0.3">
      <c r="C636" s="122"/>
      <c r="E636" s="122"/>
      <c r="F636" s="122"/>
      <c r="G636" s="122"/>
      <c r="H636" s="122"/>
      <c r="I636" s="122"/>
      <c r="J636" s="122"/>
      <c r="K636" s="122"/>
    </row>
    <row r="637" spans="3:11" x14ac:dyDescent="0.3">
      <c r="C637" s="122"/>
      <c r="E637" s="122"/>
      <c r="F637" s="122"/>
      <c r="G637" s="122"/>
      <c r="H637" s="122"/>
      <c r="I637" s="122"/>
      <c r="J637" s="122"/>
      <c r="K637" s="122"/>
    </row>
    <row r="638" spans="3:11" x14ac:dyDescent="0.3">
      <c r="C638" s="122"/>
      <c r="E638" s="122"/>
      <c r="F638" s="122"/>
      <c r="G638" s="122"/>
      <c r="H638" s="122"/>
      <c r="I638" s="122"/>
      <c r="J638" s="122"/>
      <c r="K638" s="122"/>
    </row>
    <row r="639" spans="3:11" x14ac:dyDescent="0.3">
      <c r="C639" s="122"/>
      <c r="E639" s="122"/>
      <c r="F639" s="122"/>
      <c r="G639" s="122"/>
      <c r="H639" s="122"/>
      <c r="I639" s="122"/>
      <c r="J639" s="122"/>
      <c r="K639" s="122"/>
    </row>
    <row r="640" spans="3:11" x14ac:dyDescent="0.3">
      <c r="C640" s="122"/>
      <c r="E640" s="122"/>
      <c r="F640" s="122"/>
      <c r="G640" s="122"/>
      <c r="H640" s="122"/>
      <c r="I640" s="122"/>
      <c r="J640" s="122"/>
      <c r="K640" s="122"/>
    </row>
    <row r="641" spans="3:11" x14ac:dyDescent="0.3">
      <c r="C641" s="122"/>
      <c r="E641" s="122"/>
      <c r="F641" s="122"/>
      <c r="G641" s="122"/>
      <c r="H641" s="122"/>
      <c r="I641" s="122"/>
      <c r="J641" s="122"/>
      <c r="K641" s="122"/>
    </row>
    <row r="642" spans="3:11" x14ac:dyDescent="0.3">
      <c r="C642" s="122"/>
      <c r="E642" s="122"/>
      <c r="F642" s="122"/>
      <c r="G642" s="122"/>
      <c r="H642" s="122"/>
      <c r="I642" s="122"/>
      <c r="J642" s="122"/>
      <c r="K642" s="122"/>
    </row>
    <row r="643" spans="3:11" x14ac:dyDescent="0.3">
      <c r="C643" s="122"/>
      <c r="E643" s="122"/>
      <c r="F643" s="122"/>
      <c r="G643" s="122"/>
      <c r="H643" s="122"/>
      <c r="I643" s="122"/>
      <c r="J643" s="122"/>
      <c r="K643" s="122"/>
    </row>
    <row r="644" spans="3:11" x14ac:dyDescent="0.3">
      <c r="C644" s="122"/>
      <c r="E644" s="122"/>
      <c r="F644" s="122"/>
      <c r="G644" s="122"/>
      <c r="H644" s="122"/>
      <c r="I644" s="122"/>
      <c r="J644" s="122"/>
      <c r="K644" s="122"/>
    </row>
    <row r="645" spans="3:11" x14ac:dyDescent="0.3">
      <c r="C645" s="122"/>
      <c r="E645" s="122"/>
      <c r="F645" s="122"/>
      <c r="G645" s="122"/>
      <c r="H645" s="122"/>
      <c r="I645" s="122"/>
      <c r="J645" s="122"/>
      <c r="K645" s="122"/>
    </row>
    <row r="646" spans="3:11" x14ac:dyDescent="0.3">
      <c r="C646" s="122"/>
      <c r="E646" s="122"/>
      <c r="F646" s="122"/>
      <c r="G646" s="122"/>
      <c r="H646" s="122"/>
      <c r="I646" s="122"/>
      <c r="J646" s="122"/>
      <c r="K646" s="122"/>
    </row>
    <row r="647" spans="3:11" x14ac:dyDescent="0.3">
      <c r="C647" s="122"/>
      <c r="E647" s="122"/>
      <c r="F647" s="122"/>
      <c r="G647" s="122"/>
      <c r="H647" s="122"/>
      <c r="I647" s="122"/>
      <c r="J647" s="122"/>
      <c r="K647" s="122"/>
    </row>
    <row r="648" spans="3:11" x14ac:dyDescent="0.3">
      <c r="C648" s="122"/>
      <c r="E648" s="122"/>
      <c r="F648" s="122"/>
      <c r="G648" s="122"/>
      <c r="H648" s="122"/>
      <c r="I648" s="122"/>
      <c r="J648" s="122"/>
      <c r="K648" s="122"/>
    </row>
    <row r="649" spans="3:11" x14ac:dyDescent="0.3">
      <c r="C649" s="122"/>
      <c r="E649" s="122"/>
      <c r="F649" s="122"/>
      <c r="G649" s="122"/>
      <c r="H649" s="122"/>
      <c r="I649" s="122"/>
      <c r="J649" s="122"/>
      <c r="K649" s="122"/>
    </row>
    <row r="650" spans="3:11" x14ac:dyDescent="0.3">
      <c r="C650" s="122"/>
      <c r="E650" s="122"/>
      <c r="F650" s="122"/>
      <c r="G650" s="122"/>
      <c r="H650" s="122"/>
      <c r="I650" s="122"/>
      <c r="J650" s="122"/>
      <c r="K650" s="122"/>
    </row>
    <row r="651" spans="3:11" x14ac:dyDescent="0.3">
      <c r="C651" s="122"/>
      <c r="E651" s="122"/>
      <c r="F651" s="122"/>
      <c r="G651" s="122"/>
      <c r="H651" s="122"/>
      <c r="I651" s="122"/>
      <c r="J651" s="122"/>
      <c r="K651" s="122"/>
    </row>
    <row r="652" spans="3:11" x14ac:dyDescent="0.3">
      <c r="C652" s="122"/>
      <c r="E652" s="122"/>
      <c r="F652" s="122"/>
      <c r="G652" s="122"/>
      <c r="H652" s="122"/>
      <c r="I652" s="122"/>
      <c r="J652" s="122"/>
      <c r="K652" s="122"/>
    </row>
    <row r="653" spans="3:11" x14ac:dyDescent="0.3">
      <c r="C653" s="122"/>
      <c r="E653" s="122"/>
      <c r="F653" s="122"/>
      <c r="G653" s="122"/>
      <c r="H653" s="122"/>
      <c r="I653" s="122"/>
      <c r="J653" s="122"/>
      <c r="K653" s="122"/>
    </row>
    <row r="654" spans="3:11" x14ac:dyDescent="0.3">
      <c r="C654" s="122"/>
      <c r="E654" s="122"/>
      <c r="F654" s="122"/>
      <c r="G654" s="122"/>
      <c r="H654" s="122"/>
      <c r="I654" s="122"/>
      <c r="J654" s="122"/>
      <c r="K654" s="122"/>
    </row>
    <row r="655" spans="3:11" x14ac:dyDescent="0.3">
      <c r="C655" s="122"/>
      <c r="E655" s="122"/>
      <c r="F655" s="122"/>
      <c r="G655" s="122"/>
      <c r="H655" s="122"/>
      <c r="I655" s="122"/>
      <c r="J655" s="122"/>
      <c r="K655" s="122"/>
    </row>
    <row r="656" spans="3:11" x14ac:dyDescent="0.3">
      <c r="C656" s="122"/>
      <c r="E656" s="122"/>
      <c r="F656" s="122"/>
      <c r="G656" s="122"/>
      <c r="H656" s="122"/>
      <c r="I656" s="122"/>
      <c r="J656" s="122"/>
      <c r="K656" s="122"/>
    </row>
    <row r="657" spans="3:11" x14ac:dyDescent="0.3">
      <c r="C657" s="122"/>
      <c r="E657" s="122"/>
      <c r="F657" s="122"/>
      <c r="G657" s="122"/>
      <c r="H657" s="122"/>
      <c r="I657" s="122"/>
      <c r="J657" s="122"/>
      <c r="K657" s="122"/>
    </row>
    <row r="658" spans="3:11" x14ac:dyDescent="0.3">
      <c r="C658" s="122"/>
      <c r="E658" s="122"/>
      <c r="F658" s="122"/>
      <c r="G658" s="122"/>
      <c r="H658" s="122"/>
      <c r="I658" s="122"/>
      <c r="J658" s="122"/>
      <c r="K658" s="122"/>
    </row>
    <row r="659" spans="3:11" x14ac:dyDescent="0.3">
      <c r="C659" s="122"/>
      <c r="E659" s="122"/>
      <c r="F659" s="122"/>
      <c r="G659" s="122"/>
      <c r="H659" s="122"/>
      <c r="I659" s="122"/>
      <c r="J659" s="122"/>
      <c r="K659" s="122"/>
    </row>
    <row r="660" spans="3:11" x14ac:dyDescent="0.3">
      <c r="C660" s="122"/>
      <c r="E660" s="122"/>
      <c r="F660" s="122"/>
      <c r="G660" s="122"/>
      <c r="H660" s="122"/>
      <c r="I660" s="122"/>
      <c r="J660" s="122"/>
      <c r="K660" s="122"/>
    </row>
    <row r="661" spans="3:11" x14ac:dyDescent="0.3">
      <c r="C661" s="122"/>
      <c r="E661" s="122"/>
      <c r="F661" s="122"/>
      <c r="G661" s="122"/>
      <c r="H661" s="122"/>
      <c r="I661" s="122"/>
      <c r="J661" s="122"/>
      <c r="K661" s="122"/>
    </row>
    <row r="662" spans="3:11" x14ac:dyDescent="0.3">
      <c r="C662" s="122"/>
      <c r="E662" s="122"/>
      <c r="F662" s="122"/>
      <c r="G662" s="122"/>
      <c r="H662" s="122"/>
      <c r="I662" s="122"/>
      <c r="J662" s="122"/>
      <c r="K662" s="122"/>
    </row>
    <row r="663" spans="3:11" x14ac:dyDescent="0.3">
      <c r="C663" s="122"/>
      <c r="E663" s="122"/>
      <c r="F663" s="122"/>
      <c r="G663" s="122"/>
      <c r="H663" s="122"/>
      <c r="I663" s="122"/>
      <c r="J663" s="122"/>
      <c r="K663" s="122"/>
    </row>
    <row r="664" spans="3:11" x14ac:dyDescent="0.3">
      <c r="C664" s="122"/>
      <c r="E664" s="122"/>
      <c r="F664" s="122"/>
      <c r="G664" s="122"/>
      <c r="H664" s="122"/>
      <c r="I664" s="122"/>
      <c r="J664" s="122"/>
      <c r="K664" s="122"/>
    </row>
    <row r="665" spans="3:11" x14ac:dyDescent="0.3">
      <c r="C665" s="122"/>
      <c r="E665" s="122"/>
      <c r="F665" s="122"/>
      <c r="G665" s="122"/>
      <c r="H665" s="122"/>
      <c r="I665" s="122"/>
      <c r="J665" s="122"/>
      <c r="K665" s="122"/>
    </row>
    <row r="666" spans="3:11" x14ac:dyDescent="0.3">
      <c r="C666" s="122"/>
      <c r="E666" s="122"/>
      <c r="F666" s="122"/>
      <c r="G666" s="122"/>
      <c r="H666" s="122"/>
      <c r="I666" s="122"/>
      <c r="J666" s="122"/>
      <c r="K666" s="122"/>
    </row>
    <row r="667" spans="3:11" x14ac:dyDescent="0.3">
      <c r="C667" s="122"/>
      <c r="E667" s="122"/>
      <c r="F667" s="122"/>
      <c r="G667" s="122"/>
      <c r="H667" s="122"/>
      <c r="I667" s="122"/>
      <c r="J667" s="122"/>
      <c r="K667" s="122"/>
    </row>
    <row r="668" spans="3:11" x14ac:dyDescent="0.3">
      <c r="C668" s="122"/>
      <c r="E668" s="122"/>
      <c r="F668" s="122"/>
      <c r="G668" s="122"/>
      <c r="H668" s="122"/>
      <c r="I668" s="122"/>
      <c r="J668" s="122"/>
      <c r="K668" s="122"/>
    </row>
    <row r="669" spans="3:11" x14ac:dyDescent="0.3">
      <c r="C669" s="122"/>
      <c r="E669" s="122"/>
      <c r="F669" s="122"/>
      <c r="G669" s="122"/>
      <c r="H669" s="122"/>
      <c r="I669" s="122"/>
      <c r="J669" s="122"/>
      <c r="K669" s="122"/>
    </row>
    <row r="670" spans="3:11" x14ac:dyDescent="0.3">
      <c r="C670" s="122"/>
      <c r="E670" s="122"/>
      <c r="F670" s="122"/>
      <c r="G670" s="122"/>
      <c r="H670" s="122"/>
      <c r="I670" s="122"/>
      <c r="J670" s="122"/>
      <c r="K670" s="122"/>
    </row>
    <row r="671" spans="3:11" x14ac:dyDescent="0.3">
      <c r="C671" s="122"/>
      <c r="E671" s="122"/>
      <c r="F671" s="122"/>
      <c r="G671" s="122"/>
      <c r="H671" s="122"/>
      <c r="I671" s="122"/>
      <c r="J671" s="122"/>
      <c r="K671" s="122"/>
    </row>
    <row r="672" spans="3:11" x14ac:dyDescent="0.3">
      <c r="C672" s="122"/>
      <c r="E672" s="122"/>
      <c r="F672" s="122"/>
      <c r="G672" s="122"/>
      <c r="H672" s="122"/>
      <c r="I672" s="122"/>
      <c r="J672" s="122"/>
      <c r="K672" s="122"/>
    </row>
    <row r="673" spans="3:11" x14ac:dyDescent="0.3">
      <c r="C673" s="122"/>
      <c r="E673" s="122"/>
      <c r="F673" s="122"/>
      <c r="G673" s="122"/>
      <c r="H673" s="122"/>
      <c r="I673" s="122"/>
      <c r="J673" s="122"/>
      <c r="K673" s="122"/>
    </row>
    <row r="674" spans="3:11" x14ac:dyDescent="0.3">
      <c r="C674" s="122"/>
      <c r="E674" s="122"/>
      <c r="F674" s="122"/>
      <c r="G674" s="122"/>
      <c r="H674" s="122"/>
      <c r="I674" s="122"/>
      <c r="J674" s="122"/>
      <c r="K674" s="122"/>
    </row>
    <row r="675" spans="3:11" x14ac:dyDescent="0.3">
      <c r="C675" s="122"/>
      <c r="E675" s="122"/>
      <c r="F675" s="122"/>
      <c r="G675" s="122"/>
      <c r="H675" s="122"/>
      <c r="I675" s="122"/>
      <c r="J675" s="122"/>
      <c r="K675" s="122"/>
    </row>
    <row r="676" spans="3:11" x14ac:dyDescent="0.3">
      <c r="C676" s="122"/>
      <c r="E676" s="122"/>
      <c r="F676" s="122"/>
      <c r="G676" s="122"/>
      <c r="H676" s="122"/>
      <c r="I676" s="122"/>
      <c r="J676" s="122"/>
      <c r="K676" s="122"/>
    </row>
    <row r="677" spans="3:11" x14ac:dyDescent="0.3">
      <c r="C677" s="122"/>
      <c r="E677" s="122"/>
      <c r="F677" s="122"/>
      <c r="G677" s="122"/>
      <c r="H677" s="122"/>
      <c r="I677" s="122"/>
      <c r="J677" s="122"/>
      <c r="K677" s="122"/>
    </row>
    <row r="678" spans="3:11" x14ac:dyDescent="0.3">
      <c r="C678" s="122"/>
      <c r="E678" s="122"/>
      <c r="F678" s="122"/>
      <c r="G678" s="122"/>
      <c r="H678" s="122"/>
      <c r="I678" s="122"/>
      <c r="J678" s="122"/>
      <c r="K678" s="122"/>
    </row>
    <row r="679" spans="3:11" x14ac:dyDescent="0.3">
      <c r="C679" s="122"/>
      <c r="E679" s="122"/>
      <c r="F679" s="122"/>
      <c r="G679" s="122"/>
      <c r="H679" s="122"/>
      <c r="I679" s="122"/>
      <c r="J679" s="122"/>
      <c r="K679" s="122"/>
    </row>
    <row r="680" spans="3:11" x14ac:dyDescent="0.3">
      <c r="C680" s="122"/>
      <c r="E680" s="122"/>
      <c r="F680" s="122"/>
      <c r="G680" s="122"/>
      <c r="H680" s="122"/>
      <c r="I680" s="122"/>
      <c r="J680" s="122"/>
      <c r="K680" s="122"/>
    </row>
    <row r="681" spans="3:11" x14ac:dyDescent="0.3">
      <c r="C681" s="122"/>
      <c r="E681" s="122"/>
      <c r="F681" s="122"/>
      <c r="G681" s="122"/>
      <c r="H681" s="122"/>
      <c r="I681" s="122"/>
      <c r="J681" s="122"/>
      <c r="K681" s="122"/>
    </row>
    <row r="682" spans="3:11" x14ac:dyDescent="0.3">
      <c r="C682" s="122"/>
      <c r="E682" s="122"/>
      <c r="F682" s="122"/>
      <c r="G682" s="122"/>
      <c r="H682" s="122"/>
      <c r="I682" s="122"/>
      <c r="J682" s="122"/>
      <c r="K682" s="122"/>
    </row>
    <row r="683" spans="3:11" x14ac:dyDescent="0.3">
      <c r="C683" s="122"/>
      <c r="E683" s="122"/>
      <c r="F683" s="122"/>
      <c r="G683" s="122"/>
      <c r="H683" s="122"/>
      <c r="I683" s="122"/>
      <c r="J683" s="122"/>
      <c r="K683" s="122"/>
    </row>
    <row r="684" spans="3:11" x14ac:dyDescent="0.3">
      <c r="C684" s="122"/>
      <c r="E684" s="122"/>
      <c r="F684" s="122"/>
      <c r="G684" s="122"/>
      <c r="H684" s="122"/>
      <c r="I684" s="122"/>
      <c r="J684" s="122"/>
      <c r="K684" s="122"/>
    </row>
    <row r="685" spans="3:11" x14ac:dyDescent="0.3">
      <c r="C685" s="122"/>
      <c r="E685" s="122"/>
      <c r="F685" s="122"/>
      <c r="G685" s="122"/>
      <c r="H685" s="122"/>
      <c r="I685" s="122"/>
      <c r="J685" s="122"/>
      <c r="K685" s="122"/>
    </row>
    <row r="686" spans="3:11" x14ac:dyDescent="0.3">
      <c r="C686" s="122"/>
      <c r="E686" s="122"/>
      <c r="F686" s="122"/>
      <c r="G686" s="122"/>
      <c r="H686" s="122"/>
      <c r="I686" s="122"/>
      <c r="J686" s="122"/>
      <c r="K686" s="122"/>
    </row>
    <row r="687" spans="3:11" x14ac:dyDescent="0.3">
      <c r="C687" s="122"/>
      <c r="E687" s="122"/>
      <c r="F687" s="122"/>
      <c r="G687" s="122"/>
      <c r="H687" s="122"/>
      <c r="I687" s="122"/>
      <c r="J687" s="122"/>
      <c r="K687" s="122"/>
    </row>
    <row r="688" spans="3:11" x14ac:dyDescent="0.3">
      <c r="C688" s="122"/>
      <c r="E688" s="122"/>
      <c r="F688" s="122"/>
      <c r="G688" s="122"/>
      <c r="H688" s="122"/>
      <c r="I688" s="122"/>
      <c r="J688" s="122"/>
      <c r="K688" s="122"/>
    </row>
    <row r="689" spans="3:11" x14ac:dyDescent="0.3">
      <c r="C689" s="122"/>
      <c r="E689" s="122"/>
      <c r="F689" s="122"/>
      <c r="G689" s="122"/>
      <c r="H689" s="122"/>
      <c r="I689" s="122"/>
      <c r="J689" s="122"/>
      <c r="K689" s="122"/>
    </row>
    <row r="690" spans="3:11" x14ac:dyDescent="0.3">
      <c r="C690" s="122"/>
      <c r="E690" s="122"/>
      <c r="F690" s="122"/>
      <c r="G690" s="122"/>
      <c r="H690" s="122"/>
      <c r="I690" s="122"/>
      <c r="J690" s="122"/>
      <c r="K690" s="122"/>
    </row>
    <row r="691" spans="3:11" x14ac:dyDescent="0.3">
      <c r="C691" s="122"/>
      <c r="E691" s="122"/>
      <c r="F691" s="122"/>
      <c r="G691" s="122"/>
      <c r="H691" s="122"/>
      <c r="I691" s="122"/>
      <c r="J691" s="122"/>
      <c r="K691" s="122"/>
    </row>
    <row r="692" spans="3:11" x14ac:dyDescent="0.3">
      <c r="C692" s="122"/>
      <c r="E692" s="122"/>
      <c r="F692" s="122"/>
      <c r="G692" s="122"/>
      <c r="H692" s="122"/>
      <c r="I692" s="122"/>
      <c r="J692" s="122"/>
      <c r="K692" s="122"/>
    </row>
    <row r="693" spans="3:11" x14ac:dyDescent="0.3">
      <c r="C693" s="122"/>
      <c r="E693" s="122"/>
      <c r="F693" s="122"/>
      <c r="G693" s="122"/>
      <c r="H693" s="122"/>
      <c r="I693" s="122"/>
      <c r="J693" s="122"/>
      <c r="K693" s="122"/>
    </row>
    <row r="694" spans="3:11" x14ac:dyDescent="0.3">
      <c r="C694" s="122"/>
      <c r="E694" s="122"/>
      <c r="F694" s="122"/>
      <c r="G694" s="122"/>
      <c r="H694" s="122"/>
      <c r="I694" s="122"/>
      <c r="J694" s="122"/>
      <c r="K694" s="122"/>
    </row>
    <row r="695" spans="3:11" x14ac:dyDescent="0.3">
      <c r="C695" s="122"/>
      <c r="E695" s="122"/>
      <c r="F695" s="122"/>
      <c r="G695" s="122"/>
      <c r="H695" s="122"/>
      <c r="I695" s="122"/>
      <c r="J695" s="122"/>
      <c r="K695" s="122"/>
    </row>
    <row r="696" spans="3:11" x14ac:dyDescent="0.3">
      <c r="C696" s="122"/>
      <c r="E696" s="122"/>
      <c r="F696" s="122"/>
      <c r="G696" s="122"/>
      <c r="H696" s="122"/>
      <c r="I696" s="122"/>
      <c r="J696" s="122"/>
      <c r="K696" s="122"/>
    </row>
    <row r="697" spans="3:11" x14ac:dyDescent="0.3">
      <c r="C697" s="122"/>
      <c r="E697" s="122"/>
      <c r="F697" s="122"/>
      <c r="G697" s="122"/>
      <c r="H697" s="122"/>
      <c r="I697" s="122"/>
      <c r="J697" s="122"/>
      <c r="K697" s="122"/>
    </row>
    <row r="698" spans="3:11" x14ac:dyDescent="0.3">
      <c r="C698" s="122"/>
      <c r="E698" s="122"/>
      <c r="F698" s="122"/>
      <c r="G698" s="122"/>
      <c r="H698" s="122"/>
      <c r="I698" s="122"/>
      <c r="J698" s="122"/>
      <c r="K698" s="122"/>
    </row>
    <row r="699" spans="3:11" x14ac:dyDescent="0.3">
      <c r="C699" s="122"/>
      <c r="E699" s="122"/>
      <c r="F699" s="122"/>
      <c r="G699" s="122"/>
      <c r="H699" s="122"/>
      <c r="I699" s="122"/>
      <c r="J699" s="122"/>
      <c r="K699" s="122"/>
    </row>
    <row r="700" spans="3:11" x14ac:dyDescent="0.3">
      <c r="C700" s="122"/>
      <c r="E700" s="122"/>
      <c r="F700" s="122"/>
      <c r="G700" s="122"/>
      <c r="H700" s="122"/>
      <c r="I700" s="122"/>
      <c r="J700" s="122"/>
      <c r="K700" s="122"/>
    </row>
    <row r="701" spans="3:11" x14ac:dyDescent="0.3">
      <c r="C701" s="122"/>
      <c r="E701" s="122"/>
      <c r="F701" s="122"/>
      <c r="G701" s="122"/>
      <c r="H701" s="122"/>
      <c r="I701" s="122"/>
      <c r="J701" s="122"/>
      <c r="K701" s="122"/>
    </row>
    <row r="702" spans="3:11" x14ac:dyDescent="0.3">
      <c r="C702" s="122"/>
      <c r="E702" s="122"/>
      <c r="F702" s="122"/>
      <c r="G702" s="122"/>
      <c r="H702" s="122"/>
      <c r="I702" s="122"/>
      <c r="J702" s="122"/>
      <c r="K702" s="122"/>
    </row>
    <row r="703" spans="3:11" x14ac:dyDescent="0.3">
      <c r="C703" s="122"/>
      <c r="E703" s="122"/>
      <c r="F703" s="122"/>
      <c r="G703" s="122"/>
      <c r="H703" s="122"/>
      <c r="I703" s="122"/>
      <c r="J703" s="122"/>
      <c r="K703" s="122"/>
    </row>
    <row r="704" spans="3:11" x14ac:dyDescent="0.3">
      <c r="C704" s="122"/>
      <c r="E704" s="122"/>
      <c r="F704" s="122"/>
      <c r="G704" s="122"/>
      <c r="H704" s="122"/>
      <c r="I704" s="122"/>
      <c r="J704" s="122"/>
      <c r="K704" s="122"/>
    </row>
    <row r="705" spans="3:11" x14ac:dyDescent="0.3">
      <c r="C705" s="122"/>
      <c r="E705" s="122"/>
      <c r="F705" s="122"/>
      <c r="G705" s="122"/>
      <c r="H705" s="122"/>
      <c r="I705" s="122"/>
      <c r="J705" s="122"/>
      <c r="K705" s="122"/>
    </row>
    <row r="706" spans="3:11" x14ac:dyDescent="0.3">
      <c r="C706" s="122"/>
      <c r="E706" s="122"/>
      <c r="F706" s="122"/>
      <c r="G706" s="122"/>
      <c r="H706" s="122"/>
      <c r="I706" s="122"/>
      <c r="J706" s="122"/>
      <c r="K706" s="122"/>
    </row>
    <row r="707" spans="3:11" x14ac:dyDescent="0.3">
      <c r="C707" s="122"/>
      <c r="E707" s="122"/>
      <c r="F707" s="122"/>
      <c r="G707" s="122"/>
      <c r="H707" s="122"/>
      <c r="I707" s="122"/>
      <c r="J707" s="122"/>
      <c r="K707" s="122"/>
    </row>
    <row r="708" spans="3:11" x14ac:dyDescent="0.3">
      <c r="C708" s="122"/>
      <c r="E708" s="122"/>
      <c r="F708" s="122"/>
      <c r="G708" s="122"/>
      <c r="H708" s="122"/>
      <c r="I708" s="122"/>
      <c r="J708" s="122"/>
      <c r="K708" s="122"/>
    </row>
    <row r="709" spans="3:11" x14ac:dyDescent="0.3">
      <c r="C709" s="122"/>
      <c r="E709" s="122"/>
      <c r="F709" s="122"/>
      <c r="G709" s="122"/>
      <c r="H709" s="122"/>
      <c r="I709" s="122"/>
      <c r="J709" s="122"/>
      <c r="K709" s="122"/>
    </row>
    <row r="710" spans="3:11" x14ac:dyDescent="0.3">
      <c r="C710" s="122"/>
      <c r="E710" s="122"/>
      <c r="F710" s="122"/>
      <c r="G710" s="122"/>
      <c r="H710" s="122"/>
      <c r="I710" s="122"/>
      <c r="J710" s="122"/>
      <c r="K710" s="122"/>
    </row>
    <row r="711" spans="3:11" x14ac:dyDescent="0.3">
      <c r="C711" s="122"/>
      <c r="E711" s="122"/>
      <c r="F711" s="122"/>
      <c r="G711" s="122"/>
      <c r="H711" s="122"/>
      <c r="I711" s="122"/>
      <c r="J711" s="122"/>
      <c r="K711" s="122"/>
    </row>
    <row r="712" spans="3:11" x14ac:dyDescent="0.3">
      <c r="C712" s="122"/>
      <c r="E712" s="122"/>
      <c r="F712" s="122"/>
      <c r="G712" s="122"/>
      <c r="H712" s="122"/>
      <c r="I712" s="122"/>
      <c r="J712" s="122"/>
      <c r="K712" s="122"/>
    </row>
    <row r="713" spans="3:11" x14ac:dyDescent="0.3">
      <c r="C713" s="122"/>
      <c r="E713" s="122"/>
      <c r="F713" s="122"/>
      <c r="G713" s="122"/>
      <c r="H713" s="122"/>
      <c r="I713" s="122"/>
      <c r="J713" s="122"/>
      <c r="K713" s="122"/>
    </row>
    <row r="714" spans="3:11" x14ac:dyDescent="0.3">
      <c r="C714" s="122"/>
      <c r="E714" s="122"/>
      <c r="F714" s="122"/>
      <c r="G714" s="122"/>
      <c r="H714" s="122"/>
      <c r="I714" s="122"/>
      <c r="J714" s="122"/>
      <c r="K714" s="122"/>
    </row>
    <row r="715" spans="3:11" x14ac:dyDescent="0.3">
      <c r="C715" s="122"/>
      <c r="E715" s="122"/>
      <c r="F715" s="122"/>
      <c r="G715" s="122"/>
      <c r="H715" s="122"/>
      <c r="I715" s="122"/>
      <c r="J715" s="122"/>
      <c r="K715" s="122"/>
    </row>
    <row r="716" spans="3:11" x14ac:dyDescent="0.3">
      <c r="C716" s="122"/>
      <c r="E716" s="122"/>
      <c r="F716" s="122"/>
      <c r="G716" s="122"/>
      <c r="H716" s="122"/>
      <c r="I716" s="122"/>
      <c r="J716" s="122"/>
      <c r="K716" s="122"/>
    </row>
    <row r="717" spans="3:11" x14ac:dyDescent="0.3">
      <c r="C717" s="122"/>
      <c r="E717" s="122"/>
      <c r="F717" s="122"/>
      <c r="G717" s="122"/>
      <c r="H717" s="122"/>
      <c r="I717" s="122"/>
      <c r="J717" s="122"/>
      <c r="K717" s="122"/>
    </row>
    <row r="718" spans="3:11" x14ac:dyDescent="0.3">
      <c r="C718" s="122"/>
      <c r="E718" s="122"/>
      <c r="F718" s="122"/>
      <c r="G718" s="122"/>
      <c r="H718" s="122"/>
      <c r="I718" s="122"/>
      <c r="J718" s="122"/>
      <c r="K718" s="122"/>
    </row>
    <row r="719" spans="3:11" x14ac:dyDescent="0.3">
      <c r="C719" s="122"/>
      <c r="E719" s="122"/>
      <c r="F719" s="122"/>
      <c r="G719" s="122"/>
      <c r="H719" s="122"/>
      <c r="I719" s="122"/>
      <c r="J719" s="122"/>
      <c r="K719" s="122"/>
    </row>
    <row r="720" spans="3:11" x14ac:dyDescent="0.3">
      <c r="C720" s="122"/>
      <c r="E720" s="122"/>
      <c r="F720" s="122"/>
      <c r="G720" s="122"/>
      <c r="H720" s="122"/>
      <c r="I720" s="122"/>
      <c r="J720" s="122"/>
      <c r="K720" s="122"/>
    </row>
    <row r="721" spans="3:11" x14ac:dyDescent="0.3">
      <c r="C721" s="122"/>
      <c r="E721" s="122"/>
      <c r="F721" s="122"/>
      <c r="G721" s="122"/>
      <c r="H721" s="122"/>
      <c r="I721" s="122"/>
      <c r="J721" s="122"/>
      <c r="K721" s="122"/>
    </row>
    <row r="722" spans="3:11" x14ac:dyDescent="0.3">
      <c r="C722" s="122"/>
      <c r="E722" s="122"/>
      <c r="F722" s="122"/>
      <c r="G722" s="122"/>
      <c r="H722" s="122"/>
      <c r="I722" s="122"/>
      <c r="J722" s="122"/>
      <c r="K722" s="122"/>
    </row>
    <row r="723" spans="3:11" x14ac:dyDescent="0.3">
      <c r="C723" s="122"/>
      <c r="E723" s="122"/>
      <c r="F723" s="122"/>
      <c r="G723" s="122"/>
      <c r="H723" s="122"/>
      <c r="I723" s="122"/>
      <c r="J723" s="122"/>
      <c r="K723" s="122"/>
    </row>
    <row r="724" spans="3:11" x14ac:dyDescent="0.3">
      <c r="C724" s="122"/>
      <c r="E724" s="122"/>
      <c r="F724" s="122"/>
      <c r="G724" s="122"/>
      <c r="H724" s="122"/>
      <c r="I724" s="122"/>
      <c r="J724" s="122"/>
      <c r="K724" s="122"/>
    </row>
    <row r="725" spans="3:11" x14ac:dyDescent="0.3">
      <c r="C725" s="122"/>
      <c r="E725" s="122"/>
      <c r="F725" s="122"/>
      <c r="G725" s="122"/>
      <c r="H725" s="122"/>
      <c r="I725" s="122"/>
      <c r="J725" s="122"/>
      <c r="K725" s="122"/>
    </row>
    <row r="726" spans="3:11" x14ac:dyDescent="0.3">
      <c r="C726" s="122"/>
      <c r="E726" s="122"/>
      <c r="F726" s="122"/>
      <c r="G726" s="122"/>
      <c r="H726" s="122"/>
      <c r="I726" s="122"/>
      <c r="J726" s="122"/>
      <c r="K726" s="122"/>
    </row>
    <row r="727" spans="3:11" x14ac:dyDescent="0.3">
      <c r="C727" s="122"/>
      <c r="E727" s="122"/>
      <c r="F727" s="122"/>
      <c r="G727" s="122"/>
      <c r="H727" s="122"/>
      <c r="I727" s="122"/>
      <c r="J727" s="122"/>
      <c r="K727" s="122"/>
    </row>
    <row r="728" spans="3:11" x14ac:dyDescent="0.3">
      <c r="C728" s="122"/>
      <c r="E728" s="122"/>
      <c r="F728" s="122"/>
      <c r="G728" s="122"/>
      <c r="H728" s="122"/>
      <c r="I728" s="122"/>
      <c r="J728" s="122"/>
      <c r="K728" s="122"/>
    </row>
    <row r="729" spans="3:11" x14ac:dyDescent="0.3">
      <c r="C729" s="122"/>
      <c r="E729" s="122"/>
      <c r="F729" s="122"/>
      <c r="G729" s="122"/>
      <c r="H729" s="122"/>
      <c r="I729" s="122"/>
      <c r="J729" s="122"/>
      <c r="K729" s="122"/>
    </row>
    <row r="730" spans="3:11" x14ac:dyDescent="0.3">
      <c r="C730" s="122"/>
      <c r="E730" s="122"/>
      <c r="F730" s="122"/>
      <c r="G730" s="122"/>
      <c r="H730" s="122"/>
      <c r="I730" s="122"/>
      <c r="J730" s="122"/>
      <c r="K730" s="122"/>
    </row>
    <row r="731" spans="3:11" x14ac:dyDescent="0.3">
      <c r="C731" s="122"/>
      <c r="E731" s="122"/>
      <c r="F731" s="122"/>
      <c r="G731" s="122"/>
      <c r="H731" s="122"/>
      <c r="I731" s="122"/>
      <c r="J731" s="122"/>
      <c r="K731" s="122"/>
    </row>
    <row r="732" spans="3:11" x14ac:dyDescent="0.3">
      <c r="C732" s="122"/>
      <c r="E732" s="122"/>
      <c r="F732" s="122"/>
      <c r="G732" s="122"/>
      <c r="H732" s="122"/>
      <c r="I732" s="122"/>
      <c r="J732" s="122"/>
      <c r="K732" s="122"/>
    </row>
    <row r="733" spans="3:11" x14ac:dyDescent="0.3">
      <c r="C733" s="122"/>
      <c r="E733" s="122"/>
      <c r="F733" s="122"/>
      <c r="G733" s="122"/>
      <c r="H733" s="122"/>
      <c r="I733" s="122"/>
      <c r="J733" s="122"/>
      <c r="K733" s="122"/>
    </row>
    <row r="734" spans="3:11" x14ac:dyDescent="0.3">
      <c r="C734" s="122"/>
      <c r="E734" s="122"/>
      <c r="F734" s="122"/>
      <c r="G734" s="122"/>
      <c r="H734" s="122"/>
      <c r="I734" s="122"/>
      <c r="J734" s="122"/>
      <c r="K734" s="122"/>
    </row>
    <row r="735" spans="3:11" x14ac:dyDescent="0.3">
      <c r="C735" s="122"/>
      <c r="E735" s="122"/>
      <c r="F735" s="122"/>
      <c r="G735" s="122"/>
      <c r="H735" s="122"/>
      <c r="I735" s="122"/>
      <c r="J735" s="122"/>
      <c r="K735" s="122"/>
    </row>
    <row r="736" spans="3:11" x14ac:dyDescent="0.3">
      <c r="C736" s="122"/>
      <c r="E736" s="122"/>
      <c r="F736" s="122"/>
      <c r="G736" s="122"/>
      <c r="H736" s="122"/>
      <c r="I736" s="122"/>
      <c r="J736" s="122"/>
      <c r="K736" s="122"/>
    </row>
    <row r="737" spans="3:11" x14ac:dyDescent="0.3">
      <c r="C737" s="122"/>
      <c r="E737" s="122"/>
      <c r="F737" s="122"/>
      <c r="G737" s="122"/>
      <c r="H737" s="122"/>
      <c r="I737" s="122"/>
      <c r="J737" s="122"/>
      <c r="K737" s="122"/>
    </row>
    <row r="738" spans="3:11" x14ac:dyDescent="0.3">
      <c r="C738" s="122"/>
      <c r="E738" s="122"/>
      <c r="F738" s="122"/>
      <c r="G738" s="122"/>
      <c r="H738" s="122"/>
      <c r="I738" s="122"/>
      <c r="J738" s="122"/>
      <c r="K738" s="122"/>
    </row>
    <row r="739" spans="3:11" x14ac:dyDescent="0.3">
      <c r="C739" s="122"/>
      <c r="E739" s="122"/>
      <c r="F739" s="122"/>
      <c r="G739" s="122"/>
      <c r="H739" s="122"/>
      <c r="I739" s="122"/>
      <c r="J739" s="122"/>
      <c r="K739" s="122"/>
    </row>
    <row r="740" spans="3:11" x14ac:dyDescent="0.3">
      <c r="C740" s="122"/>
      <c r="E740" s="122"/>
      <c r="F740" s="122"/>
      <c r="G740" s="122"/>
      <c r="H740" s="122"/>
      <c r="I740" s="122"/>
      <c r="J740" s="122"/>
      <c r="K740" s="122"/>
    </row>
    <row r="741" spans="3:11" x14ac:dyDescent="0.3">
      <c r="C741" s="122"/>
      <c r="E741" s="122"/>
      <c r="F741" s="122"/>
      <c r="G741" s="122"/>
      <c r="H741" s="122"/>
      <c r="I741" s="122"/>
      <c r="J741" s="122"/>
      <c r="K741" s="122"/>
    </row>
    <row r="742" spans="3:11" x14ac:dyDescent="0.3">
      <c r="C742" s="122"/>
      <c r="E742" s="122"/>
      <c r="F742" s="122"/>
      <c r="G742" s="122"/>
      <c r="H742" s="122"/>
      <c r="I742" s="122"/>
      <c r="J742" s="122"/>
      <c r="K742" s="122"/>
    </row>
    <row r="743" spans="3:11" x14ac:dyDescent="0.3">
      <c r="C743" s="122"/>
      <c r="E743" s="122"/>
      <c r="F743" s="122"/>
      <c r="G743" s="122"/>
      <c r="H743" s="122"/>
      <c r="I743" s="122"/>
      <c r="J743" s="122"/>
      <c r="K743" s="122"/>
    </row>
    <row r="744" spans="3:11" x14ac:dyDescent="0.3">
      <c r="C744" s="122"/>
      <c r="E744" s="122"/>
      <c r="F744" s="122"/>
      <c r="G744" s="122"/>
      <c r="H744" s="122"/>
      <c r="I744" s="122"/>
      <c r="J744" s="122"/>
      <c r="K744" s="122"/>
    </row>
    <row r="745" spans="3:11" x14ac:dyDescent="0.3">
      <c r="C745" s="122"/>
      <c r="E745" s="122"/>
      <c r="F745" s="122"/>
      <c r="G745" s="122"/>
      <c r="H745" s="122"/>
      <c r="I745" s="122"/>
      <c r="J745" s="122"/>
      <c r="K745" s="122"/>
    </row>
    <row r="746" spans="3:11" x14ac:dyDescent="0.3">
      <c r="C746" s="122"/>
      <c r="E746" s="122"/>
      <c r="F746" s="122"/>
      <c r="G746" s="122"/>
      <c r="H746" s="122"/>
      <c r="I746" s="122"/>
      <c r="J746" s="122"/>
      <c r="K746" s="122"/>
    </row>
    <row r="747" spans="3:11" x14ac:dyDescent="0.3">
      <c r="C747" s="122"/>
      <c r="E747" s="122"/>
      <c r="F747" s="122"/>
      <c r="G747" s="122"/>
      <c r="H747" s="122"/>
      <c r="I747" s="122"/>
      <c r="J747" s="122"/>
      <c r="K747" s="122"/>
    </row>
    <row r="748" spans="3:11" x14ac:dyDescent="0.3">
      <c r="C748" s="122"/>
      <c r="E748" s="122"/>
      <c r="F748" s="122"/>
      <c r="G748" s="122"/>
      <c r="H748" s="122"/>
      <c r="I748" s="122"/>
      <c r="J748" s="122"/>
      <c r="K748" s="122"/>
    </row>
    <row r="749" spans="3:11" x14ac:dyDescent="0.3">
      <c r="C749" s="122"/>
      <c r="E749" s="122"/>
      <c r="F749" s="122"/>
      <c r="G749" s="122"/>
      <c r="H749" s="122"/>
      <c r="I749" s="122"/>
      <c r="J749" s="122"/>
      <c r="K749" s="122"/>
    </row>
    <row r="750" spans="3:11" x14ac:dyDescent="0.3">
      <c r="C750" s="122"/>
      <c r="E750" s="122"/>
      <c r="F750" s="122"/>
      <c r="G750" s="122"/>
      <c r="H750" s="122"/>
      <c r="I750" s="122"/>
      <c r="J750" s="122"/>
      <c r="K750" s="122"/>
    </row>
    <row r="751" spans="3:11" x14ac:dyDescent="0.3">
      <c r="C751" s="122"/>
      <c r="E751" s="122"/>
      <c r="F751" s="122"/>
      <c r="G751" s="122"/>
      <c r="H751" s="122"/>
      <c r="I751" s="122"/>
      <c r="J751" s="122"/>
      <c r="K751" s="122"/>
    </row>
    <row r="752" spans="3:11" x14ac:dyDescent="0.3">
      <c r="C752" s="122"/>
      <c r="E752" s="122"/>
      <c r="F752" s="122"/>
      <c r="G752" s="122"/>
      <c r="H752" s="122"/>
      <c r="I752" s="122"/>
      <c r="J752" s="122"/>
      <c r="K752" s="122"/>
    </row>
    <row r="753" spans="3:11" x14ac:dyDescent="0.3">
      <c r="C753" s="122"/>
      <c r="E753" s="122"/>
      <c r="F753" s="122"/>
      <c r="G753" s="122"/>
      <c r="H753" s="122"/>
      <c r="I753" s="122"/>
      <c r="J753" s="122"/>
      <c r="K753" s="122"/>
    </row>
    <row r="754" spans="3:11" x14ac:dyDescent="0.3">
      <c r="C754" s="122"/>
      <c r="E754" s="122"/>
      <c r="F754" s="122"/>
      <c r="G754" s="122"/>
      <c r="H754" s="122"/>
      <c r="I754" s="122"/>
      <c r="J754" s="122"/>
      <c r="K754" s="122"/>
    </row>
    <row r="755" spans="3:11" x14ac:dyDescent="0.3">
      <c r="C755" s="122"/>
      <c r="E755" s="122"/>
      <c r="F755" s="122"/>
      <c r="G755" s="122"/>
      <c r="H755" s="122"/>
      <c r="I755" s="122"/>
      <c r="J755" s="122"/>
      <c r="K755" s="122"/>
    </row>
    <row r="756" spans="3:11" x14ac:dyDescent="0.3">
      <c r="C756" s="122"/>
      <c r="E756" s="122"/>
      <c r="F756" s="122"/>
      <c r="G756" s="122"/>
      <c r="H756" s="122"/>
      <c r="I756" s="122"/>
      <c r="J756" s="122"/>
      <c r="K756" s="122"/>
    </row>
    <row r="757" spans="3:11" x14ac:dyDescent="0.3">
      <c r="C757" s="122"/>
      <c r="E757" s="122"/>
      <c r="F757" s="122"/>
      <c r="G757" s="122"/>
      <c r="H757" s="122"/>
      <c r="I757" s="122"/>
      <c r="J757" s="122"/>
      <c r="K757" s="122"/>
    </row>
    <row r="758" spans="3:11" x14ac:dyDescent="0.3">
      <c r="C758" s="122"/>
      <c r="E758" s="122"/>
      <c r="F758" s="122"/>
      <c r="G758" s="122"/>
      <c r="H758" s="122"/>
      <c r="I758" s="122"/>
      <c r="J758" s="122"/>
      <c r="K758" s="122"/>
    </row>
    <row r="759" spans="3:11" x14ac:dyDescent="0.3">
      <c r="C759" s="122"/>
      <c r="E759" s="122"/>
      <c r="F759" s="122"/>
      <c r="G759" s="122"/>
      <c r="H759" s="122"/>
      <c r="I759" s="122"/>
      <c r="J759" s="122"/>
      <c r="K759" s="122"/>
    </row>
    <row r="760" spans="3:11" x14ac:dyDescent="0.3">
      <c r="C760" s="122"/>
      <c r="E760" s="122"/>
      <c r="F760" s="122"/>
      <c r="G760" s="122"/>
      <c r="H760" s="122"/>
      <c r="I760" s="122"/>
      <c r="J760" s="122"/>
      <c r="K760" s="122"/>
    </row>
    <row r="761" spans="3:11" x14ac:dyDescent="0.3">
      <c r="C761" s="122"/>
      <c r="E761" s="122"/>
      <c r="F761" s="122"/>
      <c r="G761" s="122"/>
      <c r="H761" s="122"/>
      <c r="I761" s="122"/>
      <c r="J761" s="122"/>
      <c r="K761" s="122"/>
    </row>
    <row r="762" spans="3:11" x14ac:dyDescent="0.3">
      <c r="C762" s="122"/>
      <c r="E762" s="122"/>
      <c r="F762" s="122"/>
      <c r="G762" s="122"/>
      <c r="H762" s="122"/>
      <c r="I762" s="122"/>
      <c r="J762" s="122"/>
      <c r="K762" s="122"/>
    </row>
    <row r="763" spans="3:11" x14ac:dyDescent="0.3">
      <c r="C763" s="122"/>
      <c r="E763" s="122"/>
      <c r="F763" s="122"/>
      <c r="G763" s="122"/>
      <c r="H763" s="122"/>
      <c r="I763" s="122"/>
      <c r="J763" s="122"/>
      <c r="K763" s="122"/>
    </row>
    <row r="764" spans="3:11" x14ac:dyDescent="0.3">
      <c r="C764" s="122"/>
      <c r="E764" s="122"/>
      <c r="F764" s="122"/>
      <c r="G764" s="122"/>
      <c r="H764" s="122"/>
      <c r="I764" s="122"/>
      <c r="J764" s="122"/>
      <c r="K764" s="122"/>
    </row>
    <row r="765" spans="3:11" x14ac:dyDescent="0.3">
      <c r="C765" s="122"/>
      <c r="E765" s="122"/>
      <c r="F765" s="122"/>
      <c r="G765" s="122"/>
      <c r="H765" s="122"/>
      <c r="I765" s="122"/>
      <c r="J765" s="122"/>
      <c r="K765" s="122"/>
    </row>
    <row r="766" spans="3:11" x14ac:dyDescent="0.3">
      <c r="C766" s="122"/>
      <c r="E766" s="122"/>
      <c r="F766" s="122"/>
      <c r="G766" s="122"/>
      <c r="H766" s="122"/>
      <c r="I766" s="122"/>
      <c r="J766" s="122"/>
      <c r="K766" s="122"/>
    </row>
    <row r="767" spans="3:11" x14ac:dyDescent="0.3">
      <c r="C767" s="122"/>
      <c r="E767" s="122"/>
      <c r="F767" s="122"/>
      <c r="G767" s="122"/>
      <c r="H767" s="122"/>
      <c r="I767" s="122"/>
      <c r="J767" s="122"/>
      <c r="K767" s="122"/>
    </row>
    <row r="768" spans="3:11" x14ac:dyDescent="0.3">
      <c r="C768" s="122"/>
      <c r="E768" s="122"/>
      <c r="F768" s="122"/>
      <c r="G768" s="122"/>
      <c r="H768" s="122"/>
      <c r="I768" s="122"/>
      <c r="J768" s="122"/>
      <c r="K768" s="122"/>
    </row>
    <row r="769" spans="3:11" x14ac:dyDescent="0.3">
      <c r="C769" s="122"/>
      <c r="E769" s="122"/>
      <c r="F769" s="122"/>
      <c r="G769" s="122"/>
      <c r="H769" s="122"/>
      <c r="I769" s="122"/>
      <c r="J769" s="122"/>
      <c r="K769" s="122"/>
    </row>
    <row r="770" spans="3:11" x14ac:dyDescent="0.3">
      <c r="C770" s="122"/>
      <c r="E770" s="122"/>
      <c r="F770" s="122"/>
      <c r="G770" s="122"/>
      <c r="H770" s="122"/>
      <c r="I770" s="122"/>
      <c r="J770" s="122"/>
      <c r="K770" s="122"/>
    </row>
    <row r="771" spans="3:11" x14ac:dyDescent="0.3">
      <c r="C771" s="122"/>
      <c r="E771" s="122"/>
      <c r="F771" s="122"/>
      <c r="G771" s="122"/>
      <c r="H771" s="122"/>
      <c r="I771" s="122"/>
      <c r="J771" s="122"/>
      <c r="K771" s="122"/>
    </row>
    <row r="772" spans="3:11" x14ac:dyDescent="0.3">
      <c r="C772" s="122"/>
      <c r="E772" s="122"/>
      <c r="F772" s="122"/>
      <c r="G772" s="122"/>
      <c r="H772" s="122"/>
      <c r="I772" s="122"/>
      <c r="J772" s="122"/>
      <c r="K772" s="122"/>
    </row>
    <row r="773" spans="3:11" x14ac:dyDescent="0.3">
      <c r="C773" s="122"/>
      <c r="E773" s="122"/>
      <c r="F773" s="122"/>
      <c r="G773" s="122"/>
      <c r="H773" s="122"/>
      <c r="I773" s="122"/>
      <c r="J773" s="122"/>
      <c r="K773" s="122"/>
    </row>
    <row r="774" spans="3:11" x14ac:dyDescent="0.3">
      <c r="C774" s="122"/>
      <c r="E774" s="122"/>
      <c r="F774" s="122"/>
      <c r="G774" s="122"/>
      <c r="H774" s="122"/>
      <c r="I774" s="122"/>
      <c r="J774" s="122"/>
      <c r="K774" s="122"/>
    </row>
    <row r="775" spans="3:11" x14ac:dyDescent="0.3">
      <c r="C775" s="122"/>
      <c r="E775" s="122"/>
      <c r="F775" s="122"/>
      <c r="G775" s="122"/>
      <c r="H775" s="122"/>
      <c r="I775" s="122"/>
      <c r="J775" s="122"/>
      <c r="K775" s="122"/>
    </row>
    <row r="776" spans="3:11" x14ac:dyDescent="0.3">
      <c r="C776" s="122"/>
      <c r="E776" s="122"/>
      <c r="F776" s="122"/>
      <c r="G776" s="122"/>
      <c r="H776" s="122"/>
      <c r="I776" s="122"/>
      <c r="J776" s="122"/>
      <c r="K776" s="122"/>
    </row>
    <row r="777" spans="3:11" x14ac:dyDescent="0.3">
      <c r="C777" s="122"/>
      <c r="E777" s="122"/>
      <c r="F777" s="122"/>
      <c r="G777" s="122"/>
      <c r="H777" s="122"/>
      <c r="I777" s="122"/>
      <c r="J777" s="122"/>
      <c r="K777" s="122"/>
    </row>
    <row r="778" spans="3:11" x14ac:dyDescent="0.3">
      <c r="C778" s="122"/>
      <c r="E778" s="122"/>
      <c r="F778" s="122"/>
      <c r="G778" s="122"/>
      <c r="H778" s="122"/>
      <c r="I778" s="122"/>
      <c r="J778" s="122"/>
      <c r="K778" s="122"/>
    </row>
    <row r="779" spans="3:11" x14ac:dyDescent="0.3">
      <c r="C779" s="122"/>
      <c r="E779" s="122"/>
      <c r="F779" s="122"/>
      <c r="G779" s="122"/>
      <c r="H779" s="122"/>
      <c r="I779" s="122"/>
      <c r="J779" s="122"/>
      <c r="K779" s="122"/>
    </row>
    <row r="780" spans="3:11" x14ac:dyDescent="0.3">
      <c r="C780" s="122"/>
      <c r="E780" s="122"/>
      <c r="F780" s="122"/>
      <c r="G780" s="122"/>
      <c r="H780" s="122"/>
      <c r="I780" s="122"/>
      <c r="J780" s="122"/>
      <c r="K780" s="122"/>
    </row>
    <row r="781" spans="3:11" x14ac:dyDescent="0.3">
      <c r="C781" s="122"/>
      <c r="E781" s="122"/>
      <c r="F781" s="122"/>
      <c r="G781" s="122"/>
      <c r="H781" s="122"/>
      <c r="I781" s="122"/>
      <c r="J781" s="122"/>
      <c r="K781" s="122"/>
    </row>
    <row r="782" spans="3:11" x14ac:dyDescent="0.3">
      <c r="C782" s="122"/>
      <c r="E782" s="122"/>
      <c r="F782" s="122"/>
      <c r="G782" s="122"/>
      <c r="H782" s="122"/>
      <c r="I782" s="122"/>
      <c r="J782" s="122"/>
      <c r="K782" s="122"/>
    </row>
    <row r="783" spans="3:11" x14ac:dyDescent="0.3">
      <c r="C783" s="122"/>
      <c r="E783" s="122"/>
      <c r="F783" s="122"/>
      <c r="G783" s="122"/>
      <c r="H783" s="122"/>
      <c r="I783" s="122"/>
      <c r="J783" s="122"/>
      <c r="K783" s="122"/>
    </row>
    <row r="784" spans="3:11" x14ac:dyDescent="0.3">
      <c r="C784" s="122"/>
      <c r="E784" s="122"/>
      <c r="F784" s="122"/>
      <c r="G784" s="122"/>
      <c r="H784" s="122"/>
      <c r="I784" s="122"/>
      <c r="J784" s="122"/>
      <c r="K784" s="122"/>
    </row>
    <row r="785" spans="3:11" x14ac:dyDescent="0.3">
      <c r="C785" s="122"/>
      <c r="E785" s="122"/>
      <c r="F785" s="122"/>
      <c r="G785" s="122"/>
      <c r="H785" s="122"/>
      <c r="I785" s="122"/>
      <c r="J785" s="122"/>
      <c r="K785" s="122"/>
    </row>
    <row r="786" spans="3:11" x14ac:dyDescent="0.3">
      <c r="C786" s="122"/>
      <c r="E786" s="122"/>
      <c r="F786" s="122"/>
      <c r="G786" s="122"/>
      <c r="H786" s="122"/>
      <c r="I786" s="122"/>
      <c r="J786" s="122"/>
      <c r="K786" s="122"/>
    </row>
    <row r="787" spans="3:11" x14ac:dyDescent="0.3">
      <c r="C787" s="122"/>
      <c r="E787" s="122"/>
      <c r="F787" s="122"/>
      <c r="G787" s="122"/>
      <c r="H787" s="122"/>
      <c r="I787" s="122"/>
      <c r="J787" s="122"/>
      <c r="K787" s="122"/>
    </row>
    <row r="788" spans="3:11" x14ac:dyDescent="0.3">
      <c r="C788" s="122"/>
      <c r="E788" s="122"/>
      <c r="F788" s="122"/>
      <c r="G788" s="122"/>
      <c r="H788" s="122"/>
      <c r="I788" s="122"/>
      <c r="J788" s="122"/>
      <c r="K788" s="122"/>
    </row>
    <row r="789" spans="3:11" x14ac:dyDescent="0.3">
      <c r="C789" s="122"/>
      <c r="E789" s="122"/>
      <c r="F789" s="122"/>
      <c r="G789" s="122"/>
      <c r="H789" s="122"/>
      <c r="I789" s="122"/>
      <c r="J789" s="122"/>
      <c r="K789" s="122"/>
    </row>
    <row r="790" spans="3:11" x14ac:dyDescent="0.3">
      <c r="C790" s="122"/>
      <c r="E790" s="122"/>
      <c r="F790" s="122"/>
      <c r="G790" s="122"/>
      <c r="H790" s="122"/>
      <c r="I790" s="122"/>
      <c r="J790" s="122"/>
      <c r="K790" s="122"/>
    </row>
    <row r="791" spans="3:11" x14ac:dyDescent="0.3">
      <c r="C791" s="122"/>
      <c r="E791" s="122"/>
      <c r="F791" s="122"/>
      <c r="G791" s="122"/>
      <c r="H791" s="122"/>
      <c r="I791" s="122"/>
      <c r="J791" s="122"/>
      <c r="K791" s="122"/>
    </row>
    <row r="792" spans="3:11" x14ac:dyDescent="0.3">
      <c r="C792" s="122"/>
      <c r="E792" s="122"/>
      <c r="F792" s="122"/>
      <c r="G792" s="122"/>
      <c r="H792" s="122"/>
      <c r="I792" s="122"/>
      <c r="J792" s="122"/>
      <c r="K792" s="122"/>
    </row>
    <row r="793" spans="3:11" x14ac:dyDescent="0.3">
      <c r="C793" s="122"/>
      <c r="E793" s="122"/>
      <c r="F793" s="122"/>
      <c r="G793" s="122"/>
      <c r="H793" s="122"/>
      <c r="I793" s="122"/>
      <c r="J793" s="122"/>
      <c r="K793" s="122"/>
    </row>
    <row r="794" spans="3:11" x14ac:dyDescent="0.3">
      <c r="C794" s="122"/>
      <c r="E794" s="122"/>
      <c r="F794" s="122"/>
      <c r="G794" s="122"/>
      <c r="H794" s="122"/>
      <c r="I794" s="122"/>
      <c r="J794" s="122"/>
      <c r="K794" s="122"/>
    </row>
    <row r="795" spans="3:11" x14ac:dyDescent="0.3">
      <c r="C795" s="122"/>
      <c r="E795" s="122"/>
      <c r="F795" s="122"/>
      <c r="G795" s="122"/>
      <c r="H795" s="122"/>
      <c r="I795" s="122"/>
      <c r="J795" s="122"/>
      <c r="K795" s="122"/>
    </row>
    <row r="796" spans="3:11" x14ac:dyDescent="0.3">
      <c r="C796" s="122"/>
      <c r="E796" s="122"/>
      <c r="F796" s="122"/>
      <c r="G796" s="122"/>
      <c r="H796" s="122"/>
      <c r="I796" s="122"/>
      <c r="J796" s="122"/>
      <c r="K796" s="122"/>
    </row>
    <row r="797" spans="3:11" x14ac:dyDescent="0.3">
      <c r="C797" s="122"/>
      <c r="E797" s="122"/>
      <c r="F797" s="122"/>
      <c r="G797" s="122"/>
      <c r="H797" s="122"/>
      <c r="I797" s="122"/>
      <c r="J797" s="122"/>
      <c r="K797" s="122"/>
    </row>
    <row r="798" spans="3:11" x14ac:dyDescent="0.3">
      <c r="C798" s="122"/>
      <c r="E798" s="122"/>
      <c r="F798" s="122"/>
      <c r="G798" s="122"/>
      <c r="H798" s="122"/>
      <c r="I798" s="122"/>
      <c r="J798" s="122"/>
      <c r="K798" s="122"/>
    </row>
    <row r="799" spans="3:11" x14ac:dyDescent="0.3">
      <c r="C799" s="122"/>
      <c r="E799" s="122"/>
      <c r="F799" s="122"/>
      <c r="G799" s="122"/>
      <c r="H799" s="122"/>
      <c r="I799" s="122"/>
      <c r="J799" s="122"/>
      <c r="K799" s="122"/>
    </row>
    <row r="800" spans="3:11" x14ac:dyDescent="0.3">
      <c r="C800" s="122"/>
      <c r="E800" s="122"/>
      <c r="F800" s="122"/>
      <c r="G800" s="122"/>
      <c r="H800" s="122"/>
      <c r="I800" s="122"/>
      <c r="J800" s="122"/>
      <c r="K800" s="122"/>
    </row>
    <row r="801" spans="3:11" x14ac:dyDescent="0.3">
      <c r="C801" s="122"/>
      <c r="E801" s="122"/>
      <c r="F801" s="122"/>
      <c r="G801" s="122"/>
      <c r="H801" s="122"/>
      <c r="I801" s="122"/>
      <c r="J801" s="122"/>
      <c r="K801" s="122"/>
    </row>
    <row r="802" spans="3:11" x14ac:dyDescent="0.3">
      <c r="C802" s="122"/>
      <c r="E802" s="122"/>
      <c r="F802" s="122"/>
      <c r="G802" s="122"/>
      <c r="H802" s="122"/>
      <c r="I802" s="122"/>
      <c r="J802" s="122"/>
      <c r="K802" s="122"/>
    </row>
    <row r="803" spans="3:11" x14ac:dyDescent="0.3">
      <c r="C803" s="122"/>
      <c r="E803" s="122"/>
      <c r="F803" s="122"/>
      <c r="G803" s="122"/>
      <c r="H803" s="122"/>
      <c r="I803" s="122"/>
      <c r="J803" s="122"/>
      <c r="K803" s="122"/>
    </row>
    <row r="804" spans="3:11" x14ac:dyDescent="0.3">
      <c r="C804" s="122"/>
      <c r="E804" s="122"/>
      <c r="F804" s="122"/>
      <c r="G804" s="122"/>
      <c r="H804" s="122"/>
      <c r="I804" s="122"/>
      <c r="J804" s="122"/>
      <c r="K804" s="122"/>
    </row>
    <row r="805" spans="3:11" x14ac:dyDescent="0.3">
      <c r="C805" s="122"/>
      <c r="E805" s="122"/>
      <c r="F805" s="122"/>
      <c r="G805" s="122"/>
      <c r="H805" s="122"/>
      <c r="I805" s="122"/>
      <c r="J805" s="122"/>
      <c r="K805" s="122"/>
    </row>
    <row r="806" spans="3:11" x14ac:dyDescent="0.3">
      <c r="C806" s="122"/>
      <c r="E806" s="122"/>
      <c r="F806" s="122"/>
      <c r="G806" s="122"/>
      <c r="H806" s="122"/>
      <c r="I806" s="122"/>
      <c r="J806" s="122"/>
      <c r="K806" s="122"/>
    </row>
    <row r="807" spans="3:11" x14ac:dyDescent="0.3">
      <c r="C807" s="122"/>
      <c r="E807" s="122"/>
      <c r="F807" s="122"/>
      <c r="G807" s="122"/>
      <c r="H807" s="122"/>
      <c r="I807" s="122"/>
      <c r="J807" s="122"/>
      <c r="K807" s="122"/>
    </row>
    <row r="808" spans="3:11" x14ac:dyDescent="0.3">
      <c r="C808" s="122"/>
      <c r="E808" s="122"/>
      <c r="F808" s="122"/>
      <c r="G808" s="122"/>
      <c r="H808" s="122"/>
      <c r="I808" s="122"/>
      <c r="J808" s="122"/>
      <c r="K808" s="122"/>
    </row>
    <row r="809" spans="3:11" x14ac:dyDescent="0.3">
      <c r="C809" s="122"/>
      <c r="E809" s="122"/>
      <c r="F809" s="122"/>
      <c r="G809" s="122"/>
      <c r="H809" s="122"/>
      <c r="I809" s="122"/>
      <c r="J809" s="122"/>
      <c r="K809" s="122"/>
    </row>
    <row r="810" spans="3:11" x14ac:dyDescent="0.3">
      <c r="C810" s="122"/>
      <c r="E810" s="122"/>
      <c r="F810" s="122"/>
      <c r="G810" s="122"/>
      <c r="H810" s="122"/>
      <c r="I810" s="122"/>
      <c r="J810" s="122"/>
      <c r="K810" s="122"/>
    </row>
    <row r="811" spans="3:11" x14ac:dyDescent="0.3">
      <c r="C811" s="122"/>
      <c r="E811" s="122"/>
      <c r="F811" s="122"/>
      <c r="G811" s="122"/>
      <c r="H811" s="122"/>
      <c r="I811" s="122"/>
      <c r="J811" s="122"/>
      <c r="K811" s="122"/>
    </row>
    <row r="812" spans="3:11" x14ac:dyDescent="0.3">
      <c r="C812" s="122"/>
      <c r="E812" s="122"/>
      <c r="F812" s="122"/>
      <c r="G812" s="122"/>
      <c r="H812" s="122"/>
      <c r="I812" s="122"/>
      <c r="J812" s="122"/>
      <c r="K812" s="122"/>
    </row>
    <row r="813" spans="3:11" x14ac:dyDescent="0.3">
      <c r="C813" s="122"/>
      <c r="E813" s="122"/>
      <c r="F813" s="122"/>
      <c r="G813" s="122"/>
      <c r="H813" s="122"/>
      <c r="I813" s="122"/>
      <c r="J813" s="122"/>
      <c r="K813" s="122"/>
    </row>
    <row r="814" spans="3:11" x14ac:dyDescent="0.3">
      <c r="C814" s="122"/>
      <c r="E814" s="122"/>
      <c r="F814" s="122"/>
      <c r="G814" s="122"/>
      <c r="H814" s="122"/>
      <c r="I814" s="122"/>
      <c r="J814" s="122"/>
      <c r="K814" s="122"/>
    </row>
    <row r="815" spans="3:11" x14ac:dyDescent="0.3">
      <c r="C815" s="122"/>
      <c r="E815" s="122"/>
      <c r="F815" s="122"/>
      <c r="G815" s="122"/>
      <c r="H815" s="122"/>
      <c r="I815" s="122"/>
      <c r="J815" s="122"/>
      <c r="K815" s="122"/>
    </row>
    <row r="816" spans="3:11" x14ac:dyDescent="0.3">
      <c r="C816" s="122"/>
      <c r="E816" s="122"/>
      <c r="F816" s="122"/>
      <c r="G816" s="122"/>
      <c r="H816" s="122"/>
      <c r="I816" s="122"/>
      <c r="J816" s="122"/>
      <c r="K816" s="122"/>
    </row>
    <row r="817" spans="3:11" x14ac:dyDescent="0.3">
      <c r="C817" s="122"/>
      <c r="E817" s="122"/>
      <c r="F817" s="122"/>
      <c r="G817" s="122"/>
      <c r="H817" s="122"/>
      <c r="I817" s="122"/>
      <c r="J817" s="122"/>
      <c r="K817" s="122"/>
    </row>
    <row r="818" spans="3:11" x14ac:dyDescent="0.3">
      <c r="C818" s="122"/>
      <c r="E818" s="122"/>
      <c r="F818" s="122"/>
      <c r="G818" s="122"/>
      <c r="H818" s="122"/>
      <c r="I818" s="122"/>
      <c r="J818" s="122"/>
      <c r="K818" s="122"/>
    </row>
    <row r="819" spans="3:11" x14ac:dyDescent="0.3">
      <c r="C819" s="122"/>
      <c r="E819" s="122"/>
      <c r="F819" s="122"/>
      <c r="G819" s="122"/>
      <c r="H819" s="122"/>
      <c r="I819" s="122"/>
      <c r="J819" s="122"/>
      <c r="K819" s="122"/>
    </row>
    <row r="820" spans="3:11" x14ac:dyDescent="0.3">
      <c r="C820" s="122"/>
      <c r="E820" s="122"/>
      <c r="F820" s="122"/>
      <c r="G820" s="122"/>
      <c r="H820" s="122"/>
      <c r="I820" s="122"/>
      <c r="J820" s="122"/>
      <c r="K820" s="122"/>
    </row>
    <row r="821" spans="3:11" x14ac:dyDescent="0.3">
      <c r="C821" s="122"/>
      <c r="E821" s="122"/>
      <c r="F821" s="122"/>
      <c r="G821" s="122"/>
      <c r="H821" s="122"/>
      <c r="I821" s="122"/>
      <c r="J821" s="122"/>
      <c r="K821" s="122"/>
    </row>
    <row r="822" spans="3:11" x14ac:dyDescent="0.3">
      <c r="C822" s="122"/>
      <c r="E822" s="122"/>
      <c r="F822" s="122"/>
      <c r="G822" s="122"/>
      <c r="H822" s="122"/>
      <c r="I822" s="122"/>
      <c r="J822" s="122"/>
      <c r="K822" s="122"/>
    </row>
    <row r="823" spans="3:11" x14ac:dyDescent="0.3">
      <c r="C823" s="122"/>
      <c r="E823" s="122"/>
      <c r="F823" s="122"/>
      <c r="G823" s="122"/>
      <c r="H823" s="122"/>
      <c r="I823" s="122"/>
      <c r="J823" s="122"/>
      <c r="K823" s="122"/>
    </row>
    <row r="824" spans="3:11" x14ac:dyDescent="0.3">
      <c r="C824" s="122"/>
      <c r="E824" s="122"/>
      <c r="F824" s="122"/>
      <c r="G824" s="122"/>
      <c r="H824" s="122"/>
      <c r="I824" s="122"/>
      <c r="J824" s="122"/>
      <c r="K824" s="122"/>
    </row>
    <row r="825" spans="3:11" x14ac:dyDescent="0.3">
      <c r="C825" s="122"/>
      <c r="E825" s="122"/>
      <c r="F825" s="122"/>
      <c r="G825" s="122"/>
      <c r="H825" s="122"/>
      <c r="I825" s="122"/>
      <c r="J825" s="122"/>
      <c r="K825" s="122"/>
    </row>
    <row r="826" spans="3:11" x14ac:dyDescent="0.3">
      <c r="C826" s="122"/>
      <c r="E826" s="122"/>
      <c r="F826" s="122"/>
      <c r="G826" s="122"/>
      <c r="H826" s="122"/>
      <c r="I826" s="122"/>
      <c r="J826" s="122"/>
      <c r="K826" s="122"/>
    </row>
    <row r="827" spans="3:11" x14ac:dyDescent="0.3">
      <c r="C827" s="122"/>
      <c r="E827" s="122"/>
      <c r="F827" s="122"/>
      <c r="G827" s="122"/>
      <c r="H827" s="122"/>
      <c r="I827" s="122"/>
      <c r="J827" s="122"/>
      <c r="K827" s="122"/>
    </row>
    <row r="828" spans="3:11" x14ac:dyDescent="0.3">
      <c r="C828" s="122"/>
      <c r="E828" s="122"/>
      <c r="F828" s="122"/>
      <c r="G828" s="122"/>
      <c r="H828" s="122"/>
      <c r="I828" s="122"/>
      <c r="J828" s="122"/>
      <c r="K828" s="122"/>
    </row>
    <row r="829" spans="3:11" x14ac:dyDescent="0.3">
      <c r="C829" s="122"/>
      <c r="E829" s="122"/>
      <c r="F829" s="122"/>
      <c r="G829" s="122"/>
      <c r="H829" s="122"/>
      <c r="I829" s="122"/>
      <c r="J829" s="122"/>
      <c r="K829" s="122"/>
    </row>
    <row r="830" spans="3:11" x14ac:dyDescent="0.3">
      <c r="C830" s="122"/>
      <c r="E830" s="122"/>
      <c r="F830" s="122"/>
      <c r="G830" s="122"/>
      <c r="H830" s="122"/>
      <c r="I830" s="122"/>
      <c r="J830" s="122"/>
      <c r="K830" s="122"/>
    </row>
    <row r="831" spans="3:11" x14ac:dyDescent="0.3">
      <c r="C831" s="122"/>
      <c r="E831" s="122"/>
      <c r="F831" s="122"/>
      <c r="G831" s="122"/>
      <c r="H831" s="122"/>
      <c r="I831" s="122"/>
      <c r="J831" s="122"/>
      <c r="K831" s="122"/>
    </row>
    <row r="832" spans="3:11" x14ac:dyDescent="0.3">
      <c r="C832" s="122"/>
      <c r="E832" s="122"/>
      <c r="F832" s="122"/>
      <c r="G832" s="122"/>
      <c r="H832" s="122"/>
      <c r="I832" s="122"/>
      <c r="J832" s="122"/>
      <c r="K832" s="122"/>
    </row>
    <row r="833" spans="3:11" x14ac:dyDescent="0.3">
      <c r="C833" s="122"/>
      <c r="E833" s="122"/>
      <c r="F833" s="122"/>
      <c r="G833" s="122"/>
      <c r="H833" s="122"/>
      <c r="I833" s="122"/>
      <c r="J833" s="122"/>
      <c r="K833" s="122"/>
    </row>
    <row r="834" spans="3:11" x14ac:dyDescent="0.3">
      <c r="C834" s="122"/>
      <c r="E834" s="122"/>
      <c r="F834" s="122"/>
      <c r="G834" s="122"/>
      <c r="H834" s="122"/>
      <c r="I834" s="122"/>
      <c r="J834" s="122"/>
      <c r="K834" s="122"/>
    </row>
    <row r="835" spans="3:11" x14ac:dyDescent="0.3">
      <c r="C835" s="122"/>
      <c r="E835" s="122"/>
      <c r="F835" s="122"/>
      <c r="G835" s="122"/>
      <c r="H835" s="122"/>
      <c r="I835" s="122"/>
      <c r="J835" s="122"/>
      <c r="K835" s="122"/>
    </row>
    <row r="836" spans="3:11" x14ac:dyDescent="0.3">
      <c r="C836" s="122"/>
      <c r="E836" s="122"/>
      <c r="F836" s="122"/>
      <c r="G836" s="122"/>
      <c r="H836" s="122"/>
      <c r="I836" s="122"/>
      <c r="J836" s="122"/>
      <c r="K836" s="122"/>
    </row>
    <row r="837" spans="3:11" x14ac:dyDescent="0.3">
      <c r="C837" s="122"/>
      <c r="E837" s="122"/>
      <c r="F837" s="122"/>
      <c r="G837" s="122"/>
      <c r="H837" s="122"/>
      <c r="I837" s="122"/>
      <c r="J837" s="122"/>
      <c r="K837" s="122"/>
    </row>
    <row r="838" spans="3:11" x14ac:dyDescent="0.3">
      <c r="C838" s="122"/>
      <c r="E838" s="122"/>
      <c r="F838" s="122"/>
      <c r="G838" s="122"/>
      <c r="H838" s="122"/>
      <c r="I838" s="122"/>
      <c r="J838" s="122"/>
      <c r="K838" s="122"/>
    </row>
    <row r="839" spans="3:11" x14ac:dyDescent="0.3">
      <c r="C839" s="122"/>
      <c r="E839" s="122"/>
      <c r="F839" s="122"/>
      <c r="G839" s="122"/>
      <c r="H839" s="122"/>
      <c r="I839" s="122"/>
      <c r="J839" s="122"/>
      <c r="K839" s="122"/>
    </row>
    <row r="840" spans="3:11" x14ac:dyDescent="0.3">
      <c r="C840" s="122"/>
      <c r="E840" s="122"/>
      <c r="F840" s="122"/>
      <c r="G840" s="122"/>
      <c r="H840" s="122"/>
      <c r="I840" s="122"/>
      <c r="J840" s="122"/>
      <c r="K840" s="122"/>
    </row>
    <row r="841" spans="3:11" x14ac:dyDescent="0.3">
      <c r="C841" s="122"/>
      <c r="E841" s="122"/>
      <c r="F841" s="122"/>
      <c r="G841" s="122"/>
      <c r="H841" s="122"/>
      <c r="I841" s="122"/>
      <c r="J841" s="122"/>
      <c r="K841" s="122"/>
    </row>
    <row r="842" spans="3:11" x14ac:dyDescent="0.3">
      <c r="C842" s="122"/>
      <c r="E842" s="122"/>
      <c r="F842" s="122"/>
      <c r="G842" s="122"/>
      <c r="H842" s="122"/>
      <c r="I842" s="122"/>
      <c r="J842" s="122"/>
      <c r="K842" s="122"/>
    </row>
    <row r="843" spans="3:11" x14ac:dyDescent="0.3">
      <c r="C843" s="122"/>
      <c r="E843" s="122"/>
      <c r="F843" s="122"/>
      <c r="G843" s="122"/>
      <c r="H843" s="122"/>
      <c r="I843" s="122"/>
      <c r="J843" s="122"/>
      <c r="K843" s="122"/>
    </row>
    <row r="844" spans="3:11" x14ac:dyDescent="0.3">
      <c r="C844" s="122"/>
      <c r="E844" s="122"/>
      <c r="F844" s="122"/>
      <c r="G844" s="122"/>
      <c r="H844" s="122"/>
      <c r="I844" s="122"/>
      <c r="J844" s="122"/>
      <c r="K844" s="122"/>
    </row>
    <row r="845" spans="3:11" x14ac:dyDescent="0.3">
      <c r="C845" s="122"/>
      <c r="E845" s="122"/>
      <c r="F845" s="122"/>
      <c r="G845" s="122"/>
      <c r="H845" s="122"/>
      <c r="I845" s="122"/>
      <c r="J845" s="122"/>
      <c r="K845" s="122"/>
    </row>
    <row r="846" spans="3:11" x14ac:dyDescent="0.3">
      <c r="C846" s="122"/>
      <c r="E846" s="122"/>
      <c r="F846" s="122"/>
      <c r="G846" s="122"/>
      <c r="H846" s="122"/>
      <c r="I846" s="122"/>
      <c r="J846" s="122"/>
      <c r="K846" s="122"/>
    </row>
    <row r="847" spans="3:11" x14ac:dyDescent="0.3">
      <c r="C847" s="122"/>
      <c r="E847" s="122"/>
      <c r="F847" s="122"/>
      <c r="G847" s="122"/>
      <c r="H847" s="122"/>
      <c r="I847" s="122"/>
      <c r="J847" s="122"/>
      <c r="K847" s="122"/>
    </row>
    <row r="848" spans="3:11" x14ac:dyDescent="0.3">
      <c r="C848" s="122"/>
      <c r="E848" s="122"/>
      <c r="F848" s="122"/>
      <c r="G848" s="122"/>
      <c r="H848" s="122"/>
      <c r="I848" s="122"/>
      <c r="J848" s="122"/>
      <c r="K848" s="122"/>
    </row>
    <row r="849" spans="3:11" x14ac:dyDescent="0.3">
      <c r="C849" s="122"/>
      <c r="E849" s="122"/>
      <c r="F849" s="122"/>
      <c r="G849" s="122"/>
      <c r="H849" s="122"/>
      <c r="I849" s="122"/>
      <c r="J849" s="122"/>
      <c r="K849" s="122"/>
    </row>
    <row r="850" spans="3:11" x14ac:dyDescent="0.3">
      <c r="C850" s="122"/>
      <c r="E850" s="122"/>
      <c r="F850" s="122"/>
      <c r="G850" s="122"/>
      <c r="H850" s="122"/>
      <c r="I850" s="122"/>
      <c r="J850" s="122"/>
      <c r="K850" s="122"/>
    </row>
    <row r="851" spans="3:11" x14ac:dyDescent="0.3">
      <c r="C851" s="122"/>
      <c r="E851" s="122"/>
      <c r="F851" s="122"/>
      <c r="G851" s="122"/>
      <c r="H851" s="122"/>
      <c r="I851" s="122"/>
      <c r="J851" s="122"/>
      <c r="K851" s="122"/>
    </row>
    <row r="852" spans="3:11" x14ac:dyDescent="0.3">
      <c r="C852" s="122"/>
      <c r="E852" s="122"/>
      <c r="F852" s="122"/>
      <c r="G852" s="122"/>
      <c r="H852" s="122"/>
      <c r="I852" s="122"/>
      <c r="J852" s="122"/>
      <c r="K852" s="122"/>
    </row>
    <row r="853" spans="3:11" x14ac:dyDescent="0.3">
      <c r="C853" s="122"/>
      <c r="E853" s="122"/>
      <c r="F853" s="122"/>
      <c r="G853" s="122"/>
      <c r="H853" s="122"/>
      <c r="I853" s="122"/>
      <c r="J853" s="122"/>
      <c r="K853" s="122"/>
    </row>
    <row r="854" spans="3:11" x14ac:dyDescent="0.3">
      <c r="C854" s="122"/>
      <c r="E854" s="122"/>
      <c r="F854" s="122"/>
      <c r="G854" s="122"/>
      <c r="H854" s="122"/>
      <c r="I854" s="122"/>
      <c r="J854" s="122"/>
      <c r="K854" s="122"/>
    </row>
    <row r="855" spans="3:11" x14ac:dyDescent="0.3">
      <c r="C855" s="122"/>
      <c r="E855" s="122"/>
      <c r="F855" s="122"/>
      <c r="G855" s="122"/>
      <c r="H855" s="122"/>
      <c r="I855" s="122"/>
      <c r="J855" s="122"/>
      <c r="K855" s="122"/>
    </row>
    <row r="856" spans="3:11" x14ac:dyDescent="0.3">
      <c r="C856" s="122"/>
      <c r="E856" s="122"/>
      <c r="F856" s="122"/>
      <c r="G856" s="122"/>
      <c r="H856" s="122"/>
      <c r="I856" s="122"/>
      <c r="J856" s="122"/>
      <c r="K856" s="122"/>
    </row>
    <row r="857" spans="3:11" x14ac:dyDescent="0.3">
      <c r="C857" s="122"/>
      <c r="E857" s="122"/>
      <c r="F857" s="122"/>
      <c r="G857" s="122"/>
      <c r="H857" s="122"/>
      <c r="I857" s="122"/>
      <c r="J857" s="122"/>
      <c r="K857" s="122"/>
    </row>
    <row r="858" spans="3:11" x14ac:dyDescent="0.3">
      <c r="C858" s="122"/>
      <c r="E858" s="122"/>
      <c r="F858" s="122"/>
      <c r="G858" s="122"/>
      <c r="H858" s="122"/>
      <c r="I858" s="122"/>
      <c r="J858" s="122"/>
      <c r="K858" s="122"/>
    </row>
    <row r="859" spans="3:11" x14ac:dyDescent="0.3">
      <c r="C859" s="122"/>
      <c r="E859" s="122"/>
      <c r="F859" s="122"/>
      <c r="G859" s="122"/>
      <c r="H859" s="122"/>
      <c r="I859" s="122"/>
      <c r="J859" s="122"/>
      <c r="K859" s="122"/>
    </row>
    <row r="860" spans="3:11" x14ac:dyDescent="0.3">
      <c r="C860" s="122"/>
      <c r="E860" s="122"/>
      <c r="F860" s="122"/>
      <c r="G860" s="122"/>
      <c r="H860" s="122"/>
      <c r="I860" s="122"/>
      <c r="J860" s="122"/>
      <c r="K860" s="122"/>
    </row>
    <row r="861" spans="3:11" x14ac:dyDescent="0.3">
      <c r="C861" s="122"/>
      <c r="E861" s="122"/>
      <c r="F861" s="122"/>
      <c r="G861" s="122"/>
      <c r="H861" s="122"/>
      <c r="I861" s="122"/>
      <c r="J861" s="122"/>
      <c r="K861" s="122"/>
    </row>
    <row r="862" spans="3:11" x14ac:dyDescent="0.3">
      <c r="C862" s="122"/>
      <c r="E862" s="122"/>
      <c r="F862" s="122"/>
      <c r="G862" s="122"/>
      <c r="H862" s="122"/>
      <c r="I862" s="122"/>
      <c r="J862" s="122"/>
      <c r="K862" s="122"/>
    </row>
    <row r="863" spans="3:11" x14ac:dyDescent="0.3">
      <c r="C863" s="122"/>
      <c r="E863" s="122"/>
      <c r="F863" s="122"/>
      <c r="G863" s="122"/>
      <c r="H863" s="122"/>
      <c r="I863" s="122"/>
      <c r="J863" s="122"/>
      <c r="K863" s="122"/>
    </row>
    <row r="864" spans="3:11" x14ac:dyDescent="0.3">
      <c r="C864" s="122"/>
      <c r="E864" s="122"/>
      <c r="F864" s="122"/>
      <c r="G864" s="122"/>
      <c r="H864" s="122"/>
      <c r="I864" s="122"/>
      <c r="J864" s="122"/>
      <c r="K864" s="122"/>
    </row>
    <row r="865" spans="3:11" x14ac:dyDescent="0.3">
      <c r="C865" s="122"/>
      <c r="E865" s="122"/>
      <c r="F865" s="122"/>
      <c r="G865" s="122"/>
      <c r="H865" s="122"/>
      <c r="I865" s="122"/>
      <c r="J865" s="122"/>
      <c r="K865" s="122"/>
    </row>
    <row r="866" spans="3:11" x14ac:dyDescent="0.3">
      <c r="C866" s="122"/>
      <c r="E866" s="122"/>
      <c r="F866" s="122"/>
      <c r="G866" s="122"/>
      <c r="H866" s="122"/>
      <c r="I866" s="122"/>
      <c r="J866" s="122"/>
      <c r="K866" s="122"/>
    </row>
    <row r="867" spans="3:11" x14ac:dyDescent="0.3">
      <c r="C867" s="122"/>
      <c r="E867" s="122"/>
      <c r="F867" s="122"/>
      <c r="G867" s="122"/>
      <c r="H867" s="122"/>
      <c r="I867" s="122"/>
      <c r="J867" s="122"/>
      <c r="K867" s="122"/>
    </row>
    <row r="868" spans="3:11" x14ac:dyDescent="0.3">
      <c r="C868" s="122"/>
      <c r="E868" s="122"/>
      <c r="F868" s="122"/>
      <c r="G868" s="122"/>
      <c r="H868" s="122"/>
      <c r="I868" s="122"/>
      <c r="J868" s="122"/>
      <c r="K868" s="122"/>
    </row>
    <row r="869" spans="3:11" x14ac:dyDescent="0.3">
      <c r="C869" s="122"/>
      <c r="E869" s="122"/>
      <c r="F869" s="122"/>
      <c r="G869" s="122"/>
      <c r="H869" s="122"/>
      <c r="I869" s="122"/>
      <c r="J869" s="122"/>
      <c r="K869" s="122"/>
    </row>
    <row r="870" spans="3:11" x14ac:dyDescent="0.3">
      <c r="C870" s="122"/>
      <c r="E870" s="122"/>
      <c r="F870" s="122"/>
      <c r="G870" s="122"/>
      <c r="H870" s="122"/>
      <c r="I870" s="122"/>
      <c r="J870" s="122"/>
      <c r="K870" s="122"/>
    </row>
    <row r="871" spans="3:11" x14ac:dyDescent="0.3">
      <c r="C871" s="122"/>
      <c r="E871" s="122"/>
      <c r="F871" s="122"/>
      <c r="G871" s="122"/>
      <c r="H871" s="122"/>
      <c r="I871" s="122"/>
      <c r="J871" s="122"/>
      <c r="K871" s="122"/>
    </row>
    <row r="872" spans="3:11" x14ac:dyDescent="0.3">
      <c r="C872" s="122"/>
      <c r="E872" s="122"/>
      <c r="F872" s="122"/>
      <c r="G872" s="122"/>
      <c r="H872" s="122"/>
      <c r="I872" s="122"/>
      <c r="J872" s="122"/>
      <c r="K872" s="122"/>
    </row>
    <row r="873" spans="3:11" x14ac:dyDescent="0.3">
      <c r="C873" s="122"/>
      <c r="E873" s="122"/>
      <c r="F873" s="122"/>
      <c r="G873" s="122"/>
      <c r="H873" s="122"/>
      <c r="I873" s="122"/>
      <c r="J873" s="122"/>
      <c r="K873" s="122"/>
    </row>
    <row r="874" spans="3:11" x14ac:dyDescent="0.3">
      <c r="C874" s="122"/>
      <c r="E874" s="122"/>
      <c r="F874" s="122"/>
      <c r="G874" s="122"/>
      <c r="H874" s="122"/>
      <c r="I874" s="122"/>
      <c r="J874" s="122"/>
      <c r="K874" s="122"/>
    </row>
    <row r="875" spans="3:11" x14ac:dyDescent="0.3">
      <c r="C875" s="122"/>
      <c r="E875" s="122"/>
      <c r="F875" s="122"/>
      <c r="G875" s="122"/>
      <c r="H875" s="122"/>
      <c r="I875" s="122"/>
      <c r="J875" s="122"/>
      <c r="K875" s="122"/>
    </row>
    <row r="876" spans="3:11" x14ac:dyDescent="0.3">
      <c r="C876" s="122"/>
      <c r="E876" s="122"/>
      <c r="F876" s="122"/>
      <c r="G876" s="122"/>
      <c r="H876" s="122"/>
      <c r="I876" s="122"/>
      <c r="J876" s="122"/>
      <c r="K876" s="122"/>
    </row>
    <row r="877" spans="3:11" x14ac:dyDescent="0.3">
      <c r="C877" s="122"/>
      <c r="E877" s="122"/>
      <c r="F877" s="122"/>
      <c r="G877" s="122"/>
      <c r="H877" s="122"/>
      <c r="I877" s="122"/>
      <c r="J877" s="122"/>
      <c r="K877" s="122"/>
    </row>
    <row r="878" spans="3:11" x14ac:dyDescent="0.3">
      <c r="C878" s="122"/>
      <c r="E878" s="122"/>
      <c r="F878" s="122"/>
      <c r="G878" s="122"/>
      <c r="H878" s="122"/>
      <c r="I878" s="122"/>
      <c r="J878" s="122"/>
      <c r="K878" s="122"/>
    </row>
    <row r="879" spans="3:11" x14ac:dyDescent="0.3">
      <c r="C879" s="122"/>
      <c r="E879" s="122"/>
      <c r="F879" s="122"/>
      <c r="G879" s="122"/>
      <c r="H879" s="122"/>
      <c r="I879" s="122"/>
      <c r="J879" s="122"/>
      <c r="K879" s="122"/>
    </row>
    <row r="880" spans="3:11" x14ac:dyDescent="0.3">
      <c r="C880" s="122"/>
      <c r="E880" s="122"/>
      <c r="F880" s="122"/>
      <c r="G880" s="122"/>
      <c r="H880" s="122"/>
      <c r="I880" s="122"/>
      <c r="J880" s="122"/>
      <c r="K880" s="122"/>
    </row>
    <row r="881" spans="3:11" x14ac:dyDescent="0.3">
      <c r="C881" s="122"/>
      <c r="E881" s="122"/>
      <c r="F881" s="122"/>
      <c r="G881" s="122"/>
      <c r="H881" s="122"/>
      <c r="I881" s="122"/>
      <c r="J881" s="122"/>
      <c r="K881" s="122"/>
    </row>
    <row r="882" spans="3:11" x14ac:dyDescent="0.3">
      <c r="C882" s="122"/>
      <c r="E882" s="122"/>
      <c r="F882" s="122"/>
      <c r="G882" s="122"/>
      <c r="H882" s="122"/>
      <c r="I882" s="122"/>
      <c r="J882" s="122"/>
      <c r="K882" s="122"/>
    </row>
    <row r="883" spans="3:11" x14ac:dyDescent="0.3">
      <c r="C883" s="122"/>
      <c r="E883" s="122"/>
      <c r="F883" s="122"/>
      <c r="G883" s="122"/>
      <c r="H883" s="122"/>
      <c r="I883" s="122"/>
      <c r="J883" s="122"/>
      <c r="K883" s="122"/>
    </row>
    <row r="884" spans="3:11" x14ac:dyDescent="0.3">
      <c r="C884" s="122"/>
      <c r="E884" s="122"/>
      <c r="F884" s="122"/>
      <c r="G884" s="122"/>
      <c r="H884" s="122"/>
      <c r="I884" s="122"/>
      <c r="J884" s="122"/>
      <c r="K884" s="122"/>
    </row>
    <row r="885" spans="3:11" x14ac:dyDescent="0.3">
      <c r="C885" s="122"/>
      <c r="E885" s="122"/>
      <c r="F885" s="122"/>
      <c r="G885" s="122"/>
      <c r="H885" s="122"/>
      <c r="I885" s="122"/>
      <c r="J885" s="122"/>
      <c r="K885" s="122"/>
    </row>
    <row r="886" spans="3:11" x14ac:dyDescent="0.3">
      <c r="C886" s="122"/>
      <c r="E886" s="122"/>
      <c r="F886" s="122"/>
      <c r="G886" s="122"/>
      <c r="H886" s="122"/>
      <c r="I886" s="122"/>
      <c r="J886" s="122"/>
      <c r="K886" s="122"/>
    </row>
    <row r="887" spans="3:11" x14ac:dyDescent="0.3">
      <c r="C887" s="122"/>
      <c r="E887" s="122"/>
      <c r="F887" s="122"/>
      <c r="G887" s="122"/>
      <c r="H887" s="122"/>
      <c r="I887" s="122"/>
      <c r="J887" s="122"/>
      <c r="K887" s="122"/>
    </row>
    <row r="888" spans="3:11" x14ac:dyDescent="0.3">
      <c r="C888" s="122"/>
      <c r="E888" s="122"/>
      <c r="F888" s="122"/>
      <c r="G888" s="122"/>
      <c r="H888" s="122"/>
      <c r="I888" s="122"/>
      <c r="J888" s="122"/>
      <c r="K888" s="122"/>
    </row>
    <row r="889" spans="3:11" x14ac:dyDescent="0.3">
      <c r="C889" s="122"/>
      <c r="E889" s="122"/>
      <c r="F889" s="122"/>
      <c r="G889" s="122"/>
      <c r="H889" s="122"/>
      <c r="I889" s="122"/>
      <c r="J889" s="122"/>
      <c r="K889" s="122"/>
    </row>
    <row r="890" spans="3:11" x14ac:dyDescent="0.3">
      <c r="C890" s="122"/>
      <c r="E890" s="122"/>
      <c r="F890" s="122"/>
      <c r="G890" s="122"/>
      <c r="H890" s="122"/>
      <c r="I890" s="122"/>
      <c r="J890" s="122"/>
      <c r="K890" s="122"/>
    </row>
    <row r="891" spans="3:11" x14ac:dyDescent="0.3">
      <c r="C891" s="122"/>
      <c r="E891" s="122"/>
      <c r="F891" s="122"/>
      <c r="G891" s="122"/>
      <c r="H891" s="122"/>
      <c r="I891" s="122"/>
      <c r="J891" s="122"/>
      <c r="K891" s="122"/>
    </row>
    <row r="892" spans="3:11" x14ac:dyDescent="0.3">
      <c r="C892" s="122"/>
      <c r="E892" s="122"/>
      <c r="F892" s="122"/>
      <c r="G892" s="122"/>
      <c r="H892" s="122"/>
      <c r="I892" s="122"/>
      <c r="J892" s="122"/>
      <c r="K892" s="122"/>
    </row>
    <row r="893" spans="3:11" x14ac:dyDescent="0.3">
      <c r="C893" s="122"/>
      <c r="E893" s="122"/>
      <c r="F893" s="122"/>
      <c r="G893" s="122"/>
      <c r="H893" s="122"/>
      <c r="I893" s="122"/>
      <c r="J893" s="122"/>
      <c r="K893" s="122"/>
    </row>
    <row r="894" spans="3:11" x14ac:dyDescent="0.3">
      <c r="C894" s="122"/>
      <c r="E894" s="122"/>
      <c r="F894" s="122"/>
      <c r="G894" s="122"/>
      <c r="H894" s="122"/>
      <c r="I894" s="122"/>
      <c r="J894" s="122"/>
      <c r="K894" s="122"/>
    </row>
    <row r="895" spans="3:11" x14ac:dyDescent="0.3">
      <c r="C895" s="122"/>
      <c r="E895" s="122"/>
      <c r="F895" s="122"/>
      <c r="G895" s="122"/>
      <c r="H895" s="122"/>
      <c r="I895" s="122"/>
      <c r="J895" s="122"/>
      <c r="K895" s="122"/>
    </row>
    <row r="896" spans="3:11" x14ac:dyDescent="0.3">
      <c r="C896" s="122"/>
      <c r="E896" s="122"/>
      <c r="F896" s="122"/>
      <c r="G896" s="122"/>
      <c r="H896" s="122"/>
      <c r="I896" s="122"/>
      <c r="J896" s="122"/>
      <c r="K896" s="122"/>
    </row>
    <row r="897" spans="3:11" x14ac:dyDescent="0.3">
      <c r="C897" s="122"/>
      <c r="E897" s="122"/>
      <c r="F897" s="122"/>
      <c r="G897" s="122"/>
      <c r="H897" s="122"/>
      <c r="I897" s="122"/>
      <c r="J897" s="122"/>
      <c r="K897" s="122"/>
    </row>
    <row r="898" spans="3:11" x14ac:dyDescent="0.3">
      <c r="C898" s="122"/>
      <c r="E898" s="122"/>
      <c r="F898" s="122"/>
      <c r="G898" s="122"/>
      <c r="H898" s="122"/>
      <c r="I898" s="122"/>
      <c r="J898" s="122"/>
      <c r="K898" s="122"/>
    </row>
    <row r="899" spans="3:11" x14ac:dyDescent="0.3">
      <c r="C899" s="122"/>
      <c r="E899" s="122"/>
      <c r="F899" s="122"/>
      <c r="G899" s="122"/>
      <c r="H899" s="122"/>
      <c r="I899" s="122"/>
      <c r="J899" s="122"/>
      <c r="K899" s="122"/>
    </row>
    <row r="900" spans="3:11" x14ac:dyDescent="0.3">
      <c r="C900" s="122"/>
      <c r="E900" s="122"/>
      <c r="F900" s="122"/>
      <c r="G900" s="122"/>
      <c r="H900" s="122"/>
      <c r="I900" s="122"/>
      <c r="J900" s="122"/>
      <c r="K900" s="122"/>
    </row>
    <row r="901" spans="3:11" x14ac:dyDescent="0.3">
      <c r="C901" s="122"/>
      <c r="E901" s="122"/>
      <c r="F901" s="122"/>
      <c r="G901" s="122"/>
      <c r="H901" s="122"/>
      <c r="I901" s="122"/>
      <c r="J901" s="122"/>
      <c r="K901" s="122"/>
    </row>
    <row r="902" spans="3:11" x14ac:dyDescent="0.3">
      <c r="C902" s="122"/>
      <c r="E902" s="122"/>
      <c r="F902" s="122"/>
      <c r="G902" s="122"/>
      <c r="H902" s="122"/>
      <c r="I902" s="122"/>
      <c r="J902" s="122"/>
      <c r="K902" s="122"/>
    </row>
    <row r="903" spans="3:11" x14ac:dyDescent="0.3">
      <c r="C903" s="122"/>
      <c r="E903" s="122"/>
      <c r="F903" s="122"/>
      <c r="G903" s="122"/>
      <c r="H903" s="122"/>
      <c r="I903" s="122"/>
      <c r="J903" s="122"/>
      <c r="K903" s="122"/>
    </row>
    <row r="904" spans="3:11" x14ac:dyDescent="0.3">
      <c r="C904" s="122"/>
      <c r="E904" s="122"/>
      <c r="F904" s="122"/>
      <c r="G904" s="122"/>
      <c r="H904" s="122"/>
      <c r="I904" s="122"/>
      <c r="J904" s="122"/>
      <c r="K904" s="122"/>
    </row>
    <row r="905" spans="3:11" x14ac:dyDescent="0.3">
      <c r="C905" s="122"/>
      <c r="E905" s="122"/>
      <c r="F905" s="122"/>
      <c r="G905" s="122"/>
      <c r="H905" s="122"/>
      <c r="I905" s="122"/>
      <c r="J905" s="122"/>
      <c r="K905" s="122"/>
    </row>
    <row r="906" spans="3:11" x14ac:dyDescent="0.3">
      <c r="C906" s="122"/>
      <c r="E906" s="122"/>
      <c r="F906" s="122"/>
      <c r="G906" s="122"/>
      <c r="H906" s="122"/>
      <c r="I906" s="122"/>
      <c r="J906" s="122"/>
      <c r="K906" s="122"/>
    </row>
    <row r="907" spans="3:11" x14ac:dyDescent="0.3">
      <c r="C907" s="122"/>
      <c r="E907" s="122"/>
      <c r="F907" s="122"/>
      <c r="G907" s="122"/>
      <c r="H907" s="122"/>
      <c r="I907" s="122"/>
      <c r="J907" s="122"/>
      <c r="K907" s="122"/>
    </row>
    <row r="908" spans="3:11" x14ac:dyDescent="0.3">
      <c r="C908" s="122"/>
      <c r="E908" s="122"/>
      <c r="F908" s="122"/>
      <c r="G908" s="122"/>
      <c r="H908" s="122"/>
      <c r="I908" s="122"/>
      <c r="J908" s="122"/>
      <c r="K908" s="122"/>
    </row>
    <row r="909" spans="3:11" x14ac:dyDescent="0.3">
      <c r="C909" s="122"/>
      <c r="E909" s="122"/>
      <c r="F909" s="122"/>
      <c r="G909" s="122"/>
      <c r="H909" s="122"/>
      <c r="I909" s="122"/>
      <c r="J909" s="122"/>
      <c r="K909" s="122"/>
    </row>
    <row r="910" spans="3:11" x14ac:dyDescent="0.3">
      <c r="C910" s="122"/>
      <c r="E910" s="122"/>
      <c r="F910" s="122"/>
      <c r="G910" s="122"/>
      <c r="H910" s="122"/>
      <c r="I910" s="122"/>
      <c r="J910" s="122"/>
      <c r="K910" s="122"/>
    </row>
    <row r="911" spans="3:11" x14ac:dyDescent="0.3">
      <c r="C911" s="122"/>
      <c r="E911" s="122"/>
      <c r="F911" s="122"/>
      <c r="G911" s="122"/>
      <c r="H911" s="122"/>
      <c r="I911" s="122"/>
      <c r="J911" s="122"/>
      <c r="K911" s="122"/>
    </row>
    <row r="912" spans="3:11" x14ac:dyDescent="0.3">
      <c r="C912" s="122"/>
      <c r="E912" s="122"/>
      <c r="F912" s="122"/>
      <c r="G912" s="122"/>
      <c r="H912" s="122"/>
      <c r="I912" s="122"/>
      <c r="J912" s="122"/>
      <c r="K912" s="122"/>
    </row>
    <row r="913" spans="3:11" x14ac:dyDescent="0.3">
      <c r="C913" s="122"/>
      <c r="E913" s="122"/>
      <c r="F913" s="122"/>
      <c r="G913" s="122"/>
      <c r="H913" s="122"/>
      <c r="I913" s="122"/>
      <c r="J913" s="122"/>
      <c r="K913" s="122"/>
    </row>
    <row r="914" spans="3:11" x14ac:dyDescent="0.3">
      <c r="C914" s="122"/>
      <c r="E914" s="122"/>
      <c r="F914" s="122"/>
      <c r="G914" s="122"/>
      <c r="H914" s="122"/>
      <c r="I914" s="122"/>
      <c r="J914" s="122"/>
      <c r="K914" s="122"/>
    </row>
    <row r="915" spans="3:11" x14ac:dyDescent="0.3">
      <c r="C915" s="122"/>
      <c r="E915" s="122"/>
      <c r="F915" s="122"/>
      <c r="G915" s="122"/>
      <c r="H915" s="122"/>
      <c r="I915" s="122"/>
      <c r="J915" s="122"/>
      <c r="K915" s="122"/>
    </row>
    <row r="916" spans="3:11" x14ac:dyDescent="0.3">
      <c r="C916" s="122"/>
      <c r="E916" s="122"/>
      <c r="F916" s="122"/>
      <c r="G916" s="122"/>
      <c r="H916" s="122"/>
      <c r="I916" s="122"/>
      <c r="J916" s="122"/>
      <c r="K916" s="122"/>
    </row>
    <row r="917" spans="3:11" x14ac:dyDescent="0.3">
      <c r="C917" s="122"/>
      <c r="E917" s="122"/>
      <c r="F917" s="122"/>
      <c r="G917" s="122"/>
      <c r="H917" s="122"/>
      <c r="I917" s="122"/>
      <c r="J917" s="122"/>
      <c r="K917" s="122"/>
    </row>
    <row r="918" spans="3:11" x14ac:dyDescent="0.3">
      <c r="C918" s="122"/>
      <c r="E918" s="122"/>
      <c r="F918" s="122"/>
      <c r="G918" s="122"/>
      <c r="H918" s="122"/>
      <c r="I918" s="122"/>
      <c r="J918" s="122"/>
      <c r="K918" s="122"/>
    </row>
    <row r="919" spans="3:11" x14ac:dyDescent="0.3">
      <c r="C919" s="122"/>
      <c r="E919" s="122"/>
      <c r="F919" s="122"/>
      <c r="G919" s="122"/>
      <c r="H919" s="122"/>
      <c r="I919" s="122"/>
      <c r="J919" s="122"/>
      <c r="K919" s="122"/>
    </row>
    <row r="920" spans="3:11" x14ac:dyDescent="0.3">
      <c r="C920" s="122"/>
      <c r="E920" s="122"/>
      <c r="F920" s="122"/>
      <c r="G920" s="122"/>
      <c r="H920" s="122"/>
      <c r="I920" s="122"/>
      <c r="J920" s="122"/>
      <c r="K920" s="122"/>
    </row>
    <row r="921" spans="3:11" x14ac:dyDescent="0.3">
      <c r="C921" s="122"/>
      <c r="E921" s="122"/>
      <c r="F921" s="122"/>
      <c r="G921" s="122"/>
      <c r="H921" s="122"/>
      <c r="I921" s="122"/>
      <c r="J921" s="122"/>
      <c r="K921" s="122"/>
    </row>
    <row r="922" spans="3:11" x14ac:dyDescent="0.3">
      <c r="C922" s="122"/>
      <c r="E922" s="122"/>
      <c r="F922" s="122"/>
      <c r="G922" s="122"/>
      <c r="H922" s="122"/>
      <c r="I922" s="122"/>
      <c r="J922" s="122"/>
      <c r="K922" s="122"/>
    </row>
    <row r="923" spans="3:11" x14ac:dyDescent="0.3">
      <c r="C923" s="122"/>
      <c r="E923" s="122"/>
      <c r="F923" s="122"/>
      <c r="G923" s="122"/>
      <c r="H923" s="122"/>
      <c r="I923" s="122"/>
      <c r="J923" s="122"/>
      <c r="K923" s="122"/>
    </row>
    <row r="924" spans="3:11" x14ac:dyDescent="0.3">
      <c r="C924" s="122"/>
      <c r="E924" s="122"/>
      <c r="F924" s="122"/>
      <c r="G924" s="122"/>
      <c r="H924" s="122"/>
      <c r="I924" s="122"/>
      <c r="J924" s="122"/>
      <c r="K924" s="122"/>
    </row>
    <row r="925" spans="3:11" x14ac:dyDescent="0.3">
      <c r="C925" s="122"/>
      <c r="E925" s="122"/>
      <c r="F925" s="122"/>
      <c r="G925" s="122"/>
      <c r="H925" s="122"/>
      <c r="I925" s="122"/>
      <c r="J925" s="122"/>
      <c r="K925" s="122"/>
    </row>
    <row r="926" spans="3:11" x14ac:dyDescent="0.3">
      <c r="C926" s="122"/>
      <c r="E926" s="122"/>
      <c r="F926" s="122"/>
      <c r="G926" s="122"/>
      <c r="H926" s="122"/>
      <c r="I926" s="122"/>
      <c r="J926" s="122"/>
      <c r="K926" s="122"/>
    </row>
    <row r="927" spans="3:11" x14ac:dyDescent="0.3">
      <c r="C927" s="122"/>
      <c r="E927" s="122"/>
      <c r="F927" s="122"/>
      <c r="G927" s="122"/>
      <c r="H927" s="122"/>
      <c r="I927" s="122"/>
      <c r="J927" s="122"/>
      <c r="K927" s="122"/>
    </row>
    <row r="928" spans="3:11" x14ac:dyDescent="0.3">
      <c r="C928" s="122"/>
      <c r="E928" s="122"/>
      <c r="F928" s="122"/>
      <c r="G928" s="122"/>
      <c r="H928" s="122"/>
      <c r="I928" s="122"/>
      <c r="J928" s="122"/>
      <c r="K928" s="122"/>
    </row>
    <row r="929" spans="3:11" x14ac:dyDescent="0.3">
      <c r="C929" s="122"/>
      <c r="E929" s="122"/>
      <c r="F929" s="122"/>
      <c r="G929" s="122"/>
      <c r="H929" s="122"/>
      <c r="I929" s="122"/>
      <c r="J929" s="122"/>
      <c r="K929" s="122"/>
    </row>
    <row r="930" spans="3:11" x14ac:dyDescent="0.3">
      <c r="C930" s="122"/>
      <c r="E930" s="122"/>
      <c r="F930" s="122"/>
      <c r="G930" s="122"/>
      <c r="H930" s="122"/>
      <c r="I930" s="122"/>
      <c r="J930" s="122"/>
      <c r="K930" s="122"/>
    </row>
    <row r="931" spans="3:11" x14ac:dyDescent="0.3">
      <c r="C931" s="122"/>
      <c r="E931" s="122"/>
      <c r="F931" s="122"/>
      <c r="G931" s="122"/>
      <c r="H931" s="122"/>
      <c r="I931" s="122"/>
      <c r="J931" s="122"/>
      <c r="K931" s="122"/>
    </row>
    <row r="932" spans="3:11" x14ac:dyDescent="0.3">
      <c r="C932" s="122"/>
      <c r="E932" s="122"/>
      <c r="F932" s="122"/>
      <c r="G932" s="122"/>
      <c r="H932" s="122"/>
      <c r="I932" s="122"/>
      <c r="J932" s="122"/>
      <c r="K932" s="122"/>
    </row>
    <row r="933" spans="3:11" x14ac:dyDescent="0.3">
      <c r="C933" s="122"/>
      <c r="E933" s="122"/>
      <c r="F933" s="122"/>
      <c r="G933" s="122"/>
      <c r="H933" s="122"/>
      <c r="I933" s="122"/>
      <c r="J933" s="122"/>
      <c r="K933" s="122"/>
    </row>
    <row r="934" spans="3:11" x14ac:dyDescent="0.3">
      <c r="C934" s="122"/>
      <c r="E934" s="122"/>
      <c r="F934" s="122"/>
      <c r="G934" s="122"/>
      <c r="H934" s="122"/>
      <c r="I934" s="122"/>
      <c r="J934" s="122"/>
      <c r="K934" s="122"/>
    </row>
    <row r="935" spans="3:11" x14ac:dyDescent="0.3">
      <c r="C935" s="122"/>
      <c r="E935" s="122"/>
      <c r="F935" s="122"/>
      <c r="G935" s="122"/>
      <c r="H935" s="122"/>
      <c r="I935" s="122"/>
      <c r="J935" s="122"/>
      <c r="K935" s="122"/>
    </row>
    <row r="936" spans="3:11" x14ac:dyDescent="0.3">
      <c r="C936" s="122"/>
      <c r="E936" s="122"/>
      <c r="F936" s="122"/>
      <c r="G936" s="122"/>
      <c r="H936" s="122"/>
      <c r="I936" s="122"/>
      <c r="J936" s="122"/>
      <c r="K936" s="122"/>
    </row>
    <row r="937" spans="3:11" x14ac:dyDescent="0.3">
      <c r="C937" s="122"/>
      <c r="E937" s="122"/>
      <c r="F937" s="122"/>
      <c r="G937" s="122"/>
      <c r="H937" s="122"/>
      <c r="I937" s="122"/>
      <c r="J937" s="122"/>
      <c r="K937" s="122"/>
    </row>
    <row r="938" spans="3:11" x14ac:dyDescent="0.3">
      <c r="C938" s="122"/>
      <c r="E938" s="122"/>
      <c r="F938" s="122"/>
      <c r="G938" s="122"/>
      <c r="H938" s="122"/>
      <c r="I938" s="122"/>
      <c r="J938" s="122"/>
      <c r="K938" s="122"/>
    </row>
    <row r="939" spans="3:11" x14ac:dyDescent="0.3">
      <c r="C939" s="122"/>
      <c r="E939" s="122"/>
      <c r="F939" s="122"/>
      <c r="G939" s="122"/>
      <c r="H939" s="122"/>
      <c r="I939" s="122"/>
      <c r="J939" s="122"/>
      <c r="K939" s="122"/>
    </row>
    <row r="940" spans="3:11" x14ac:dyDescent="0.3">
      <c r="C940" s="122"/>
      <c r="E940" s="122"/>
      <c r="F940" s="122"/>
      <c r="G940" s="122"/>
      <c r="H940" s="122"/>
      <c r="I940" s="122"/>
      <c r="J940" s="122"/>
      <c r="K940" s="122"/>
    </row>
    <row r="941" spans="3:11" x14ac:dyDescent="0.3">
      <c r="C941" s="122"/>
      <c r="E941" s="122"/>
      <c r="F941" s="122"/>
      <c r="G941" s="122"/>
      <c r="H941" s="122"/>
      <c r="I941" s="122"/>
      <c r="J941" s="122"/>
      <c r="K941" s="122"/>
    </row>
    <row r="942" spans="3:11" x14ac:dyDescent="0.3">
      <c r="C942" s="122"/>
      <c r="E942" s="122"/>
      <c r="F942" s="122"/>
      <c r="G942" s="122"/>
      <c r="H942" s="122"/>
      <c r="I942" s="122"/>
      <c r="J942" s="122"/>
      <c r="K942" s="122"/>
    </row>
    <row r="943" spans="3:11" x14ac:dyDescent="0.3">
      <c r="C943" s="122"/>
      <c r="E943" s="122"/>
      <c r="F943" s="122"/>
      <c r="G943" s="122"/>
      <c r="H943" s="122"/>
      <c r="I943" s="122"/>
      <c r="J943" s="122"/>
      <c r="K943" s="122"/>
    </row>
    <row r="944" spans="3:11" x14ac:dyDescent="0.3">
      <c r="C944" s="122"/>
      <c r="E944" s="122"/>
      <c r="F944" s="122"/>
      <c r="G944" s="122"/>
      <c r="H944" s="122"/>
      <c r="I944" s="122"/>
      <c r="J944" s="122"/>
      <c r="K944" s="122"/>
    </row>
    <row r="945" spans="3:11" x14ac:dyDescent="0.3">
      <c r="C945" s="122"/>
      <c r="E945" s="122"/>
      <c r="F945" s="122"/>
      <c r="G945" s="122"/>
      <c r="H945" s="122"/>
      <c r="I945" s="122"/>
      <c r="J945" s="122"/>
      <c r="K945" s="122"/>
    </row>
    <row r="946" spans="3:11" x14ac:dyDescent="0.3">
      <c r="C946" s="122"/>
      <c r="E946" s="122"/>
      <c r="F946" s="122"/>
      <c r="G946" s="122"/>
      <c r="H946" s="122"/>
      <c r="I946" s="122"/>
      <c r="J946" s="122"/>
      <c r="K946" s="122"/>
    </row>
    <row r="947" spans="3:11" x14ac:dyDescent="0.3">
      <c r="C947" s="122"/>
      <c r="E947" s="122"/>
      <c r="F947" s="122"/>
      <c r="G947" s="122"/>
      <c r="H947" s="122"/>
      <c r="I947" s="122"/>
      <c r="J947" s="122"/>
      <c r="K947" s="122"/>
    </row>
    <row r="948" spans="3:11" x14ac:dyDescent="0.3">
      <c r="C948" s="122"/>
      <c r="E948" s="122"/>
      <c r="F948" s="122"/>
      <c r="G948" s="122"/>
      <c r="H948" s="122"/>
      <c r="I948" s="122"/>
      <c r="J948" s="122"/>
      <c r="K948" s="122"/>
    </row>
    <row r="949" spans="3:11" x14ac:dyDescent="0.3">
      <c r="C949" s="122"/>
      <c r="E949" s="122"/>
      <c r="F949" s="122"/>
      <c r="G949" s="122"/>
      <c r="H949" s="122"/>
      <c r="I949" s="122"/>
      <c r="J949" s="122"/>
      <c r="K949" s="122"/>
    </row>
    <row r="950" spans="3:11" x14ac:dyDescent="0.3">
      <c r="C950" s="122"/>
      <c r="E950" s="122"/>
      <c r="F950" s="122"/>
      <c r="G950" s="122"/>
      <c r="H950" s="122"/>
      <c r="I950" s="122"/>
      <c r="J950" s="122"/>
      <c r="K950" s="122"/>
    </row>
    <row r="951" spans="3:11" x14ac:dyDescent="0.3">
      <c r="C951" s="122"/>
      <c r="E951" s="122"/>
      <c r="F951" s="122"/>
      <c r="G951" s="122"/>
      <c r="H951" s="122"/>
      <c r="I951" s="122"/>
      <c r="J951" s="122"/>
      <c r="K951" s="122"/>
    </row>
    <row r="952" spans="3:11" x14ac:dyDescent="0.3">
      <c r="C952" s="122"/>
      <c r="E952" s="122"/>
      <c r="F952" s="122"/>
      <c r="G952" s="122"/>
      <c r="H952" s="122"/>
      <c r="I952" s="122"/>
      <c r="J952" s="122"/>
      <c r="K952" s="122"/>
    </row>
    <row r="953" spans="3:11" x14ac:dyDescent="0.3">
      <c r="C953" s="122"/>
      <c r="E953" s="122"/>
      <c r="F953" s="122"/>
      <c r="G953" s="122"/>
      <c r="H953" s="122"/>
      <c r="I953" s="122"/>
      <c r="J953" s="122"/>
      <c r="K953" s="122"/>
    </row>
    <row r="954" spans="3:11" x14ac:dyDescent="0.3">
      <c r="C954" s="122"/>
      <c r="E954" s="122"/>
      <c r="F954" s="122"/>
      <c r="G954" s="122"/>
      <c r="H954" s="122"/>
      <c r="I954" s="122"/>
      <c r="J954" s="122"/>
      <c r="K954" s="122"/>
    </row>
    <row r="955" spans="3:11" x14ac:dyDescent="0.3">
      <c r="C955" s="122"/>
      <c r="E955" s="122"/>
      <c r="F955" s="122"/>
      <c r="G955" s="122"/>
      <c r="H955" s="122"/>
      <c r="I955" s="122"/>
      <c r="J955" s="122"/>
      <c r="K955" s="122"/>
    </row>
    <row r="956" spans="3:11" x14ac:dyDescent="0.3">
      <c r="C956" s="122"/>
      <c r="E956" s="122"/>
      <c r="F956" s="122"/>
      <c r="G956" s="122"/>
      <c r="H956" s="122"/>
      <c r="I956" s="122"/>
      <c r="J956" s="122"/>
      <c r="K956" s="122"/>
    </row>
    <row r="957" spans="3:11" x14ac:dyDescent="0.3">
      <c r="C957" s="122"/>
      <c r="E957" s="122"/>
      <c r="F957" s="122"/>
      <c r="G957" s="122"/>
      <c r="H957" s="122"/>
      <c r="I957" s="122"/>
      <c r="J957" s="122"/>
      <c r="K957" s="122"/>
    </row>
    <row r="958" spans="3:11" x14ac:dyDescent="0.3">
      <c r="C958" s="122"/>
      <c r="E958" s="122"/>
      <c r="F958" s="122"/>
      <c r="G958" s="122"/>
      <c r="H958" s="122"/>
      <c r="I958" s="122"/>
      <c r="J958" s="122"/>
      <c r="K958" s="122"/>
    </row>
    <row r="959" spans="3:11" x14ac:dyDescent="0.3">
      <c r="C959" s="122"/>
      <c r="E959" s="122"/>
      <c r="F959" s="122"/>
      <c r="G959" s="122"/>
      <c r="H959" s="122"/>
      <c r="I959" s="122"/>
      <c r="J959" s="122"/>
      <c r="K959" s="122"/>
    </row>
    <row r="960" spans="3:11" x14ac:dyDescent="0.3">
      <c r="C960" s="122"/>
      <c r="E960" s="122"/>
      <c r="F960" s="122"/>
      <c r="G960" s="122"/>
      <c r="H960" s="122"/>
      <c r="I960" s="122"/>
      <c r="J960" s="122"/>
      <c r="K960" s="122"/>
    </row>
    <row r="961" spans="3:11" x14ac:dyDescent="0.3">
      <c r="C961" s="122"/>
      <c r="E961" s="122"/>
      <c r="F961" s="122"/>
      <c r="G961" s="122"/>
      <c r="H961" s="122"/>
      <c r="I961" s="122"/>
      <c r="J961" s="122"/>
      <c r="K961" s="122"/>
    </row>
    <row r="962" spans="3:11" x14ac:dyDescent="0.3">
      <c r="C962" s="122"/>
      <c r="E962" s="122"/>
      <c r="F962" s="122"/>
      <c r="G962" s="122"/>
      <c r="H962" s="122"/>
      <c r="I962" s="122"/>
      <c r="J962" s="122"/>
      <c r="K962" s="122"/>
    </row>
    <row r="963" spans="3:11" x14ac:dyDescent="0.3">
      <c r="C963" s="122"/>
      <c r="E963" s="122"/>
      <c r="F963" s="122"/>
      <c r="G963" s="122"/>
      <c r="H963" s="122"/>
      <c r="I963" s="122"/>
      <c r="J963" s="122"/>
      <c r="K963" s="122"/>
    </row>
    <row r="964" spans="3:11" x14ac:dyDescent="0.3">
      <c r="C964" s="122"/>
      <c r="E964" s="122"/>
      <c r="F964" s="122"/>
      <c r="G964" s="122"/>
      <c r="H964" s="122"/>
      <c r="I964" s="122"/>
      <c r="J964" s="122"/>
      <c r="K964" s="122"/>
    </row>
    <row r="965" spans="3:11" x14ac:dyDescent="0.3">
      <c r="C965" s="122"/>
      <c r="E965" s="122"/>
      <c r="F965" s="122"/>
      <c r="G965" s="122"/>
      <c r="H965" s="122"/>
      <c r="I965" s="122"/>
      <c r="J965" s="122"/>
      <c r="K965" s="122"/>
    </row>
    <row r="966" spans="3:11" x14ac:dyDescent="0.3">
      <c r="C966" s="122"/>
      <c r="E966" s="122"/>
      <c r="F966" s="122"/>
      <c r="G966" s="122"/>
      <c r="H966" s="122"/>
      <c r="I966" s="122"/>
      <c r="J966" s="122"/>
      <c r="K966" s="122"/>
    </row>
    <row r="967" spans="3:11" x14ac:dyDescent="0.3">
      <c r="C967" s="122"/>
      <c r="E967" s="122"/>
      <c r="F967" s="122"/>
      <c r="G967" s="122"/>
      <c r="H967" s="122"/>
      <c r="I967" s="122"/>
      <c r="J967" s="122"/>
      <c r="K967" s="122"/>
    </row>
    <row r="968" spans="3:11" x14ac:dyDescent="0.3">
      <c r="C968" s="122"/>
      <c r="E968" s="122"/>
      <c r="F968" s="122"/>
      <c r="G968" s="122"/>
      <c r="H968" s="122"/>
      <c r="I968" s="122"/>
      <c r="J968" s="122"/>
      <c r="K968" s="122"/>
    </row>
    <row r="969" spans="3:11" x14ac:dyDescent="0.3">
      <c r="C969" s="122"/>
      <c r="E969" s="122"/>
      <c r="F969" s="122"/>
      <c r="G969" s="122"/>
      <c r="H969" s="122"/>
      <c r="I969" s="122"/>
      <c r="J969" s="122"/>
      <c r="K969" s="122"/>
    </row>
    <row r="970" spans="3:11" x14ac:dyDescent="0.3">
      <c r="C970" s="122"/>
      <c r="E970" s="122"/>
      <c r="F970" s="122"/>
      <c r="G970" s="122"/>
      <c r="H970" s="122"/>
      <c r="I970" s="122"/>
      <c r="J970" s="122"/>
      <c r="K970" s="122"/>
    </row>
    <row r="971" spans="3:11" x14ac:dyDescent="0.3">
      <c r="C971" s="122"/>
      <c r="E971" s="122"/>
      <c r="F971" s="122"/>
      <c r="G971" s="122"/>
      <c r="H971" s="122"/>
      <c r="I971" s="122"/>
      <c r="J971" s="122"/>
      <c r="K971" s="122"/>
    </row>
    <row r="972" spans="3:11" x14ac:dyDescent="0.3">
      <c r="C972" s="122"/>
      <c r="E972" s="122"/>
      <c r="F972" s="122"/>
      <c r="G972" s="122"/>
      <c r="H972" s="122"/>
      <c r="I972" s="122"/>
      <c r="J972" s="122"/>
      <c r="K972" s="122"/>
    </row>
    <row r="973" spans="3:11" x14ac:dyDescent="0.3">
      <c r="C973" s="122"/>
      <c r="E973" s="122"/>
      <c r="F973" s="122"/>
      <c r="G973" s="122"/>
      <c r="H973" s="122"/>
      <c r="I973" s="122"/>
      <c r="J973" s="122"/>
      <c r="K973" s="122"/>
    </row>
    <row r="974" spans="3:11" x14ac:dyDescent="0.3">
      <c r="C974" s="122"/>
      <c r="E974" s="122"/>
      <c r="F974" s="122"/>
      <c r="G974" s="122"/>
      <c r="H974" s="122"/>
      <c r="I974" s="122"/>
      <c r="J974" s="122"/>
      <c r="K974" s="122"/>
    </row>
    <row r="975" spans="3:11" x14ac:dyDescent="0.3">
      <c r="C975" s="122"/>
      <c r="E975" s="122"/>
      <c r="F975" s="122"/>
      <c r="G975" s="122"/>
      <c r="H975" s="122"/>
      <c r="I975" s="122"/>
      <c r="J975" s="122"/>
      <c r="K975" s="122"/>
    </row>
    <row r="976" spans="3:11" x14ac:dyDescent="0.3">
      <c r="C976" s="122"/>
      <c r="E976" s="122"/>
      <c r="F976" s="122"/>
      <c r="G976" s="122"/>
      <c r="H976" s="122"/>
      <c r="I976" s="122"/>
      <c r="J976" s="122"/>
      <c r="K976" s="122"/>
    </row>
    <row r="977" spans="3:11" x14ac:dyDescent="0.3">
      <c r="C977" s="122"/>
      <c r="E977" s="122"/>
      <c r="F977" s="122"/>
      <c r="G977" s="122"/>
      <c r="H977" s="122"/>
      <c r="I977" s="122"/>
      <c r="J977" s="122"/>
      <c r="K977" s="122"/>
    </row>
    <row r="978" spans="3:11" x14ac:dyDescent="0.3">
      <c r="C978" s="122"/>
      <c r="E978" s="122"/>
      <c r="F978" s="122"/>
      <c r="G978" s="122"/>
      <c r="H978" s="122"/>
      <c r="I978" s="122"/>
      <c r="J978" s="122"/>
      <c r="K978" s="122"/>
    </row>
    <row r="979" spans="3:11" x14ac:dyDescent="0.3">
      <c r="C979" s="122"/>
      <c r="E979" s="122"/>
      <c r="F979" s="122"/>
      <c r="G979" s="122"/>
      <c r="H979" s="122"/>
      <c r="I979" s="122"/>
      <c r="J979" s="122"/>
      <c r="K979" s="122"/>
    </row>
    <row r="980" spans="3:11" x14ac:dyDescent="0.3">
      <c r="C980" s="122"/>
      <c r="E980" s="122"/>
      <c r="F980" s="122"/>
      <c r="G980" s="122"/>
      <c r="H980" s="122"/>
      <c r="I980" s="122"/>
      <c r="J980" s="122"/>
      <c r="K980" s="122"/>
    </row>
    <row r="981" spans="3:11" x14ac:dyDescent="0.3">
      <c r="C981" s="122"/>
      <c r="E981" s="122"/>
      <c r="F981" s="122"/>
      <c r="G981" s="122"/>
      <c r="H981" s="122"/>
      <c r="I981" s="122"/>
      <c r="J981" s="122"/>
      <c r="K981" s="122"/>
    </row>
    <row r="982" spans="3:11" x14ac:dyDescent="0.3">
      <c r="C982" s="122"/>
      <c r="E982" s="122"/>
      <c r="F982" s="122"/>
      <c r="G982" s="122"/>
      <c r="H982" s="122"/>
      <c r="I982" s="122"/>
      <c r="J982" s="122"/>
      <c r="K982" s="122"/>
    </row>
    <row r="983" spans="3:11" x14ac:dyDescent="0.3">
      <c r="C983" s="122"/>
      <c r="E983" s="122"/>
      <c r="F983" s="122"/>
      <c r="G983" s="122"/>
      <c r="H983" s="122"/>
      <c r="I983" s="122"/>
      <c r="J983" s="122"/>
      <c r="K983" s="122"/>
    </row>
    <row r="984" spans="3:11" x14ac:dyDescent="0.3">
      <c r="C984" s="122"/>
      <c r="E984" s="122"/>
      <c r="F984" s="122"/>
      <c r="G984" s="122"/>
      <c r="H984" s="122"/>
      <c r="I984" s="122"/>
      <c r="J984" s="122"/>
      <c r="K984" s="122"/>
    </row>
    <row r="985" spans="3:11" x14ac:dyDescent="0.3">
      <c r="C985" s="122"/>
      <c r="E985" s="122"/>
      <c r="F985" s="122"/>
      <c r="G985" s="122"/>
      <c r="H985" s="122"/>
      <c r="I985" s="122"/>
      <c r="J985" s="122"/>
      <c r="K985" s="122"/>
    </row>
    <row r="986" spans="3:11" x14ac:dyDescent="0.3">
      <c r="C986" s="122"/>
      <c r="E986" s="122"/>
      <c r="F986" s="122"/>
      <c r="G986" s="122"/>
      <c r="H986" s="122"/>
      <c r="I986" s="122"/>
      <c r="J986" s="122"/>
      <c r="K986" s="122"/>
    </row>
    <row r="987" spans="3:11" x14ac:dyDescent="0.3">
      <c r="C987" s="122"/>
      <c r="E987" s="122"/>
      <c r="F987" s="122"/>
      <c r="G987" s="122"/>
      <c r="H987" s="122"/>
      <c r="I987" s="122"/>
      <c r="J987" s="122"/>
      <c r="K987" s="122"/>
    </row>
    <row r="988" spans="3:11" x14ac:dyDescent="0.3">
      <c r="C988" s="122"/>
      <c r="E988" s="122"/>
      <c r="F988" s="122"/>
      <c r="G988" s="122"/>
      <c r="H988" s="122"/>
      <c r="I988" s="122"/>
      <c r="J988" s="122"/>
      <c r="K988" s="122"/>
    </row>
    <row r="989" spans="3:11" x14ac:dyDescent="0.3">
      <c r="C989" s="122"/>
      <c r="E989" s="122"/>
      <c r="F989" s="122"/>
      <c r="G989" s="122"/>
      <c r="H989" s="122"/>
      <c r="I989" s="122"/>
      <c r="J989" s="122"/>
      <c r="K989" s="122"/>
    </row>
    <row r="990" spans="3:11" x14ac:dyDescent="0.3">
      <c r="C990" s="122"/>
      <c r="E990" s="122"/>
      <c r="F990" s="122"/>
      <c r="G990" s="122"/>
      <c r="H990" s="122"/>
      <c r="I990" s="122"/>
      <c r="J990" s="122"/>
      <c r="K990" s="122"/>
    </row>
    <row r="991" spans="3:11" x14ac:dyDescent="0.3">
      <c r="C991" s="122"/>
      <c r="E991" s="122"/>
      <c r="F991" s="122"/>
      <c r="G991" s="122"/>
      <c r="H991" s="122"/>
      <c r="I991" s="122"/>
      <c r="J991" s="122"/>
      <c r="K991" s="122"/>
    </row>
    <row r="992" spans="3:11" x14ac:dyDescent="0.3">
      <c r="C992" s="122"/>
      <c r="E992" s="122"/>
      <c r="F992" s="122"/>
      <c r="G992" s="122"/>
      <c r="H992" s="122"/>
      <c r="I992" s="122"/>
      <c r="J992" s="122"/>
      <c r="K992" s="122"/>
    </row>
    <row r="993" spans="3:11" x14ac:dyDescent="0.3">
      <c r="C993" s="122"/>
      <c r="E993" s="122"/>
      <c r="F993" s="122"/>
      <c r="G993" s="122"/>
      <c r="H993" s="122"/>
      <c r="I993" s="122"/>
      <c r="J993" s="122"/>
      <c r="K993" s="122"/>
    </row>
    <row r="994" spans="3:11" x14ac:dyDescent="0.3">
      <c r="C994" s="122"/>
      <c r="E994" s="122"/>
      <c r="F994" s="122"/>
      <c r="G994" s="122"/>
      <c r="H994" s="122"/>
      <c r="I994" s="122"/>
      <c r="J994" s="122"/>
      <c r="K994" s="122"/>
    </row>
    <row r="995" spans="3:11" x14ac:dyDescent="0.3">
      <c r="C995" s="122"/>
      <c r="E995" s="122"/>
      <c r="F995" s="122"/>
      <c r="G995" s="122"/>
      <c r="H995" s="122"/>
      <c r="I995" s="122"/>
      <c r="J995" s="122"/>
      <c r="K995" s="122"/>
    </row>
    <row r="996" spans="3:11" x14ac:dyDescent="0.3">
      <c r="C996" s="122"/>
      <c r="E996" s="122"/>
      <c r="F996" s="122"/>
      <c r="G996" s="122"/>
      <c r="H996" s="122"/>
      <c r="I996" s="122"/>
      <c r="J996" s="122"/>
      <c r="K996" s="122"/>
    </row>
    <row r="997" spans="3:11" x14ac:dyDescent="0.3">
      <c r="C997" s="122"/>
      <c r="E997" s="122"/>
      <c r="F997" s="122"/>
      <c r="G997" s="122"/>
      <c r="H997" s="122"/>
      <c r="I997" s="122"/>
      <c r="J997" s="122"/>
      <c r="K997" s="122"/>
    </row>
    <row r="998" spans="3:11" x14ac:dyDescent="0.3">
      <c r="C998" s="122"/>
      <c r="E998" s="122"/>
      <c r="F998" s="122"/>
      <c r="G998" s="122"/>
      <c r="H998" s="122"/>
      <c r="I998" s="122"/>
      <c r="J998" s="122"/>
      <c r="K998" s="122"/>
    </row>
    <row r="999" spans="3:11" x14ac:dyDescent="0.3">
      <c r="C999" s="122"/>
      <c r="E999" s="122"/>
      <c r="F999" s="122"/>
      <c r="G999" s="122"/>
      <c r="H999" s="122"/>
      <c r="I999" s="122"/>
      <c r="J999" s="122"/>
      <c r="K999" s="122"/>
    </row>
    <row r="1000" spans="3:11" x14ac:dyDescent="0.3">
      <c r="C1000" s="122"/>
      <c r="E1000" s="122"/>
      <c r="F1000" s="122"/>
      <c r="G1000" s="122"/>
      <c r="H1000" s="122"/>
      <c r="I1000" s="122"/>
      <c r="J1000" s="122"/>
      <c r="K1000" s="122"/>
    </row>
  </sheetData>
  <sheetProtection algorithmName="SHA-512" hashValue="SIlsysPQJW1PSMK8qAIwdr7ON9p9Mr/bVBlER4am+UAWne+BL3f0P4sufZQ7ImaUs5/nbnn6npqdHEikEcel7g==" saltValue="V93YuO1eomH1u5C/A8csTg==" spinCount="100000" sheet="1" objects="1" scenarios="1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AAD9-BE1A-4EA7-8C29-F6462B076779}">
  <dimension ref="A1:I6"/>
  <sheetViews>
    <sheetView showGridLines="0" showRowColHeaders="0" zoomScale="130" zoomScaleNormal="130" workbookViewId="0">
      <selection activeCell="F3" sqref="F3"/>
    </sheetView>
  </sheetViews>
  <sheetFormatPr defaultRowHeight="14.4" x14ac:dyDescent="0.3"/>
  <cols>
    <col min="1" max="1" width="6.77734375" customWidth="1"/>
    <col min="2" max="2" width="8.109375" customWidth="1"/>
    <col min="3" max="3" width="22" customWidth="1"/>
    <col min="4" max="4" width="21.109375" customWidth="1"/>
    <col min="5" max="5" width="10.77734375" customWidth="1"/>
    <col min="6" max="6" width="22.77734375" customWidth="1"/>
    <col min="7" max="7" width="21.77734375" customWidth="1"/>
    <col min="8" max="8" width="12" customWidth="1"/>
    <col min="9" max="9" width="25" customWidth="1"/>
  </cols>
  <sheetData>
    <row r="1" spans="1:9" ht="20.399999999999999" customHeight="1" x14ac:dyDescent="0.3">
      <c r="A1" s="131" t="s">
        <v>16</v>
      </c>
      <c r="B1" s="21"/>
      <c r="C1" s="147" t="s">
        <v>1</v>
      </c>
      <c r="D1" s="148">
        <f>Data5!A4*100+Data5!A5</f>
        <v>509</v>
      </c>
      <c r="E1" s="32"/>
      <c r="F1" s="35"/>
      <c r="G1" s="34"/>
      <c r="H1" s="33"/>
      <c r="I1" s="110"/>
    </row>
    <row r="2" spans="1:9" ht="29.4" customHeight="1" x14ac:dyDescent="0.3">
      <c r="B2" s="23"/>
      <c r="C2" s="98" t="s">
        <v>18</v>
      </c>
      <c r="D2" s="140">
        <f>Data5!L1</f>
        <v>0.5</v>
      </c>
      <c r="E2" s="30"/>
      <c r="F2" s="96" t="s">
        <v>0</v>
      </c>
      <c r="G2" s="142">
        <f>Data5!AA2</f>
        <v>3.9667324499999988E-3</v>
      </c>
      <c r="H2" s="109"/>
      <c r="I2" s="95"/>
    </row>
    <row r="3" spans="1:9" ht="28.8" customHeight="1" x14ac:dyDescent="0.3">
      <c r="B3" s="23"/>
      <c r="C3" s="100" t="s">
        <v>8</v>
      </c>
      <c r="D3" s="101">
        <f>Data5!A3</f>
        <v>0.09</v>
      </c>
      <c r="E3" s="30"/>
      <c r="F3" s="97" t="s">
        <v>12</v>
      </c>
      <c r="G3" s="146">
        <f>DEGREES(2*ATAN(Data5!T1*(D3/0.2)))</f>
        <v>23.637232199529407</v>
      </c>
      <c r="H3" s="109"/>
      <c r="I3" s="94"/>
    </row>
    <row r="4" spans="1:9" ht="18" customHeight="1" x14ac:dyDescent="0.3">
      <c r="C4" s="138"/>
      <c r="D4" s="139"/>
      <c r="E4" s="141"/>
      <c r="F4" s="52"/>
      <c r="G4" s="53"/>
      <c r="I4" s="154"/>
    </row>
    <row r="5" spans="1:9" ht="25.8" customHeight="1" x14ac:dyDescent="0.3">
      <c r="C5" s="135"/>
      <c r="D5" s="136"/>
    </row>
    <row r="6" spans="1:9" ht="24.6" customHeight="1" x14ac:dyDescent="0.3">
      <c r="C6" s="135"/>
      <c r="D6" s="137"/>
    </row>
  </sheetData>
  <sheetProtection algorithmName="SHA-512" hashValue="Jyv3yp7Z7rIF2GZlZ3gI1euvZ/egJcD57C4/SoumTKHWP61eQUUxvmD5rznE12xc0vEdG0QBjoKrhF8g2mausQ==" saltValue="Ogs4QFk01G/ln7ecLEPqZQ==" spinCount="100000" sheet="1" objects="1" scenarios="1"/>
  <hyperlinks>
    <hyperlink ref="A1" location="Start_page!A1" display="BACK" xr:uid="{B6625215-A1C1-4FFF-85B6-2B5AF29788D1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Spinner 1">
              <controlPr locked="0" defaultSize="0" autoPict="0">
                <anchor moveWithCells="1">
                  <from>
                    <xdr:col>4</xdr:col>
                    <xdr:colOff>0</xdr:colOff>
                    <xdr:row>2</xdr:row>
                    <xdr:rowOff>30480</xdr:rowOff>
                  </from>
                  <to>
                    <xdr:col>4</xdr:col>
                    <xdr:colOff>144780</xdr:colOff>
                    <xdr:row>2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Spinner 2">
              <controlPr locked="0" defaultSize="0" autoPict="0">
                <anchor moveWithCells="1">
                  <from>
                    <xdr:col>4</xdr:col>
                    <xdr:colOff>0</xdr:colOff>
                    <xdr:row>1</xdr:row>
                    <xdr:rowOff>45720</xdr:rowOff>
                  </from>
                  <to>
                    <xdr:col>4</xdr:col>
                    <xdr:colOff>144780</xdr:colOff>
                    <xdr:row>1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6" name="Check Box 4">
              <controlPr locked="0" defaultSize="0" autoFill="0" autoLine="0" autoPict="0">
                <anchor moveWithCells="1">
                  <from>
                    <xdr:col>8</xdr:col>
                    <xdr:colOff>167640</xdr:colOff>
                    <xdr:row>1</xdr:row>
                    <xdr:rowOff>83820</xdr:rowOff>
                  </from>
                  <to>
                    <xdr:col>8</xdr:col>
                    <xdr:colOff>1295400</xdr:colOff>
                    <xdr:row>1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7" name="Check Box 5">
              <controlPr locked="0" defaultSize="0" autoFill="0" autoLine="0" autoPict="0">
                <anchor moveWithCells="1">
                  <from>
                    <xdr:col>8</xdr:col>
                    <xdr:colOff>167640</xdr:colOff>
                    <xdr:row>1</xdr:row>
                    <xdr:rowOff>358140</xdr:rowOff>
                  </from>
                  <to>
                    <xdr:col>8</xdr:col>
                    <xdr:colOff>1485900</xdr:colOff>
                    <xdr:row>2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Start_page</vt:lpstr>
      <vt:lpstr>Data1</vt:lpstr>
      <vt:lpstr>NACA_4-digit</vt:lpstr>
      <vt:lpstr>Data2</vt:lpstr>
      <vt:lpstr>NACA_5-digit</vt:lpstr>
      <vt:lpstr>Data3</vt:lpstr>
      <vt:lpstr>NACA_4mod</vt:lpstr>
      <vt:lpstr>Data4</vt:lpstr>
      <vt:lpstr>NACA_5mod</vt:lpstr>
      <vt:lpstr>Data5</vt:lpstr>
      <vt:lpstr>NACA_16-series</vt:lpstr>
      <vt:lpstr>'NACA_16-series'!Print_Area</vt:lpstr>
      <vt:lpstr>'NACA_4-digit'!Print_Area</vt:lpstr>
      <vt:lpstr>NACA_4mod!Print_Area</vt:lpstr>
      <vt:lpstr>'NACA_5-digit'!Print_Area</vt:lpstr>
      <vt:lpstr>NACA_5mod!Print_Area</vt:lpstr>
      <vt:lpstr>Start_page!Print_Area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Nghĩa Trần</dc:creator>
  <cp:lastModifiedBy>Trung Nghĩa Trần</cp:lastModifiedBy>
  <cp:lastPrinted>2026-02-24T13:31:28Z</cp:lastPrinted>
  <dcterms:created xsi:type="dcterms:W3CDTF">2025-12-11T09:48:11Z</dcterms:created>
  <dcterms:modified xsi:type="dcterms:W3CDTF">2026-02-24T13:32:01Z</dcterms:modified>
</cp:coreProperties>
</file>